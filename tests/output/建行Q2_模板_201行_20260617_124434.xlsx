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79" firstSheet="0" activeTab="3" autoFilterDateGrouping="1"/>
  </bookViews>
  <sheets>
    <sheet name="年度财务收支表" sheetId="1" state="visible" r:id="rId1"/>
    <sheet name="汇总表" sheetId="2" state="visible" r:id="rId2"/>
    <sheet name="1.建行Q1" sheetId="3" state="visible" r:id="rId3"/>
    <sheet name="1.建行Q2" sheetId="4" state="visible" r:id="rId4"/>
    <sheet name="2、账户" sheetId="5" state="hidden" r:id="rId5"/>
    <sheet name="3、账户" sheetId="6" state="hidden" r:id="rId6"/>
    <sheet name="4、账户" sheetId="7" state="hidden" r:id="rId7"/>
    <sheet name="5、支付宝" sheetId="8" state="hidden" r:id="rId8"/>
    <sheet name="6、现金" sheetId="9" state="hidden" r:id="rId9"/>
    <sheet name="7、备用表" sheetId="10" state="hidden" r:id="rId10"/>
  </sheets>
  <externalReferences>
    <externalReference r:id="rId11"/>
    <externalReference r:id="rId12"/>
  </externalReferences>
  <definedNames>
    <definedName name="存货初始数据">'[1]13 在外库存-2'!$A$1:$W$1</definedName>
    <definedName name="分析">#REF!</definedName>
    <definedName name="核算项目余额表">#REF!</definedName>
    <definedName name="即时库存表">#REF!</definedName>
    <definedName name="科目余额表">#REF!</definedName>
    <definedName name="名称">#REF!</definedName>
    <definedName name="数据啊">#REF!</definedName>
    <definedName name="委托代销明细表">#REF!</definedName>
    <definedName name="委托代销收益分析表">#REF!</definedName>
    <definedName name="现金">#REF!</definedName>
    <definedName name="销售订单汇总表">#REF!</definedName>
    <definedName name="序时簿中心">#REF!</definedName>
    <definedName name="资金">#REF!</definedName>
    <definedName name="分析" localSheetId="1">#REF!</definedName>
    <definedName name="核算项目余额表" localSheetId="1">#REF!</definedName>
    <definedName name="即时库存表" localSheetId="1">#REF!</definedName>
    <definedName name="科目余额表" localSheetId="1">#REF!</definedName>
    <definedName name="名称" localSheetId="1">#REF!</definedName>
    <definedName name="数据啊" localSheetId="1">#REF!</definedName>
    <definedName name="委托代销明细表" localSheetId="1">#REF!</definedName>
    <definedName name="委托代销收益分析表" localSheetId="1">#REF!</definedName>
    <definedName name="现金" localSheetId="1">#REF!</definedName>
    <definedName name="销售订单汇总表" localSheetId="1">#REF!</definedName>
    <definedName name="序时簿中心" localSheetId="1">#REF!</definedName>
    <definedName name="资金" localSheetId="1">#REF!</definedName>
    <definedName name="_xlnm._FilterDatabase" localSheetId="1" hidden="1">'汇总表'!$A$3:$BF$9</definedName>
    <definedName name="_xlnm._FilterDatabase" localSheetId="2" hidden="1">'1.建行Q1'!$A$3:$BE$29</definedName>
    <definedName name="_xlnm._FilterDatabase" localSheetId="3" hidden="1">'1.建行Q2'!$A$3:$BE$29</definedName>
    <definedName name="分析" localSheetId="4">#REF!</definedName>
    <definedName name="核算项目余额表" localSheetId="4">#REF!</definedName>
    <definedName name="即时库存表" localSheetId="4">#REF!</definedName>
    <definedName name="科目余额表" localSheetId="4">#REF!</definedName>
    <definedName name="名称" localSheetId="4">#REF!</definedName>
    <definedName name="数据啊" localSheetId="4">#REF!</definedName>
    <definedName name="委托代销明细表" localSheetId="4">#REF!</definedName>
    <definedName name="委托代销收益分析表" localSheetId="4">#REF!</definedName>
    <definedName name="现金" localSheetId="4">#REF!</definedName>
    <definedName name="销售订单汇总表" localSheetId="4">#REF!</definedName>
    <definedName name="序时簿中心" localSheetId="4">#REF!</definedName>
    <definedName name="资金" localSheetId="4">#REF!</definedName>
    <definedName name="_xlnm._FilterDatabase" localSheetId="4" hidden="1">'2、账户'!$A$3:$BE$126</definedName>
    <definedName name="分析" localSheetId="5">#REF!</definedName>
    <definedName name="核算项目余额表" localSheetId="5">#REF!</definedName>
    <definedName name="即时库存表" localSheetId="5">#REF!</definedName>
    <definedName name="科目余额表" localSheetId="5">#REF!</definedName>
    <definedName name="名称" localSheetId="5">#REF!</definedName>
    <definedName name="数据啊" localSheetId="5">#REF!</definedName>
    <definedName name="委托代销明细表" localSheetId="5">#REF!</definedName>
    <definedName name="委托代销收益分析表" localSheetId="5">#REF!</definedName>
    <definedName name="现金" localSheetId="5">#REF!</definedName>
    <definedName name="销售订单汇总表" localSheetId="5">#REF!</definedName>
    <definedName name="序时簿中心" localSheetId="5">#REF!</definedName>
    <definedName name="资金" localSheetId="5">#REF!</definedName>
    <definedName name="_xlnm._FilterDatabase" localSheetId="5" hidden="1">'3、账户'!$A$3:$BE$126</definedName>
    <definedName name="分析" localSheetId="6">#REF!</definedName>
    <definedName name="核算项目余额表" localSheetId="6">#REF!</definedName>
    <definedName name="即时库存表" localSheetId="6">#REF!</definedName>
    <definedName name="科目余额表" localSheetId="6">#REF!</definedName>
    <definedName name="名称" localSheetId="6">#REF!</definedName>
    <definedName name="数据啊" localSheetId="6">#REF!</definedName>
    <definedName name="委托代销明细表" localSheetId="6">#REF!</definedName>
    <definedName name="委托代销收益分析表" localSheetId="6">#REF!</definedName>
    <definedName name="现金" localSheetId="6">#REF!</definedName>
    <definedName name="销售订单汇总表" localSheetId="6">#REF!</definedName>
    <definedName name="序时簿中心" localSheetId="6">#REF!</definedName>
    <definedName name="资金" localSheetId="6">#REF!</definedName>
    <definedName name="_xlnm._FilterDatabase" localSheetId="6" hidden="1">'4、账户'!$A$3:$BE$126</definedName>
    <definedName name="分析" localSheetId="7">#REF!</definedName>
    <definedName name="核算项目余额表" localSheetId="7">#REF!</definedName>
    <definedName name="即时库存表" localSheetId="7">#REF!</definedName>
    <definedName name="科目余额表" localSheetId="7">#REF!</definedName>
    <definedName name="名称" localSheetId="7">#REF!</definedName>
    <definedName name="数据啊" localSheetId="7">#REF!</definedName>
    <definedName name="委托代销明细表" localSheetId="7">#REF!</definedName>
    <definedName name="委托代销收益分析表" localSheetId="7">#REF!</definedName>
    <definedName name="现金" localSheetId="7">#REF!</definedName>
    <definedName name="销售订单汇总表" localSheetId="7">#REF!</definedName>
    <definedName name="序时簿中心" localSheetId="7">#REF!</definedName>
    <definedName name="资金" localSheetId="7">#REF!</definedName>
    <definedName name="_xlnm._FilterDatabase" localSheetId="7" hidden="1">'5、支付宝'!$A$3:$BE$126</definedName>
    <definedName name="分析" localSheetId="8">#REF!</definedName>
    <definedName name="核算项目余额表" localSheetId="8">#REF!</definedName>
    <definedName name="即时库存表" localSheetId="8">#REF!</definedName>
    <definedName name="科目余额表" localSheetId="8">#REF!</definedName>
    <definedName name="名称" localSheetId="8">#REF!</definedName>
    <definedName name="数据啊" localSheetId="8">#REF!</definedName>
    <definedName name="委托代销明细表" localSheetId="8">#REF!</definedName>
    <definedName name="委托代销收益分析表" localSheetId="8">#REF!</definedName>
    <definedName name="现金" localSheetId="8">#REF!</definedName>
    <definedName name="销售订单汇总表" localSheetId="8">#REF!</definedName>
    <definedName name="序时簿中心" localSheetId="8">#REF!</definedName>
    <definedName name="资金" localSheetId="8">#REF!</definedName>
    <definedName name="_xlnm._FilterDatabase" localSheetId="8" hidden="1">'6、现金'!$A$3:$BE$126</definedName>
    <definedName name="分析" localSheetId="9">#REF!</definedName>
    <definedName name="核算项目余额表" localSheetId="9">#REF!</definedName>
    <definedName name="即时库存表" localSheetId="9">#REF!</definedName>
    <definedName name="科目余额表" localSheetId="9">#REF!</definedName>
    <definedName name="名称" localSheetId="9">#REF!</definedName>
    <definedName name="数据啊" localSheetId="9">#REF!</definedName>
    <definedName name="委托代销明细表" localSheetId="9">#REF!</definedName>
    <definedName name="委托代销收益分析表" localSheetId="9">#REF!</definedName>
    <definedName name="现金" localSheetId="9">#REF!</definedName>
    <definedName name="销售订单汇总表" localSheetId="9">#REF!</definedName>
    <definedName name="序时簿中心" localSheetId="9">#REF!</definedName>
    <definedName name="资金" localSheetId="9">#REF!</definedName>
    <definedName name="_xlnm._FilterDatabase" localSheetId="9" hidden="1">'7、备用表'!$A$3:$BE$126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F800]dddd\,\ mmmm\ dd\,\ yyyy"/>
    <numFmt numFmtId="165" formatCode="_ * #,##0.00_ ;_ * \-#,##0.00_ ;_ * &quot;-&quot;??_ ;_ @_ "/>
    <numFmt numFmtId="166" formatCode="#,##0.00_);[Red]\(#,##0.00\)"/>
    <numFmt numFmtId="167" formatCode="0.00_);[Red]\(0.00\)"/>
    <numFmt numFmtId="168" formatCode="yyyy/m/d;@"/>
    <numFmt numFmtId="169" formatCode="[$-409]yyyy/mm/dd;@"/>
    <numFmt numFmtId="170" formatCode="#,##0.00_ "/>
    <numFmt numFmtId="171" formatCode="#,##0.00_ ;[Red]\-#,##0.00\ "/>
  </numFmts>
  <fonts count="49">
    <font>
      <name val="宋体"/>
      <charset val="134"/>
      <sz val="12"/>
    </font>
    <font>
      <name val="微软雅黑 Light"/>
      <charset val="134"/>
      <family val="2"/>
      <b val="1"/>
      <sz val="8"/>
    </font>
    <font>
      <name val="微软雅黑 Light"/>
      <charset val="134"/>
      <family val="2"/>
      <sz val="8"/>
    </font>
    <font>
      <name val="微软雅黑 Light"/>
      <charset val="134"/>
      <family val="2"/>
      <sz val="9"/>
    </font>
    <font>
      <name val="微软雅黑 Light"/>
      <charset val="134"/>
      <family val="2"/>
      <sz val="12"/>
    </font>
    <font>
      <name val="微软雅黑 Light"/>
      <charset val="134"/>
      <family val="2"/>
      <color rgb="FF800080"/>
      <sz val="12"/>
      <u val="single"/>
    </font>
    <font>
      <name val="微软雅黑 Light"/>
      <charset val="134"/>
      <family val="2"/>
      <sz val="10"/>
    </font>
    <font>
      <name val="微软雅黑 Light"/>
      <charset val="134"/>
      <family val="2"/>
      <sz val="7"/>
    </font>
    <font>
      <name val="微软雅黑 Light"/>
      <charset val="134"/>
      <family val="2"/>
      <sz val="11"/>
    </font>
    <font>
      <name val="微软雅黑 Light"/>
      <charset val="134"/>
      <family val="2"/>
      <color theme="10"/>
      <sz val="12"/>
      <u val="single"/>
    </font>
    <font>
      <name val="微软雅黑"/>
      <charset val="134"/>
      <family val="2"/>
      <b val="1"/>
      <sz val="8"/>
    </font>
    <font>
      <name val="微软雅黑"/>
      <charset val="134"/>
      <family val="2"/>
      <sz val="8"/>
    </font>
    <font>
      <name val="宋体"/>
      <charset val="134"/>
      <family val="3"/>
      <sz val="8"/>
      <scheme val="minor"/>
    </font>
    <font>
      <name val="宋体"/>
      <charset val="134"/>
      <family val="3"/>
      <sz val="8"/>
    </font>
    <font>
      <name val="宋体"/>
      <charset val="134"/>
      <family val="3"/>
      <color rgb="FF800080"/>
      <sz val="12"/>
      <u val="single"/>
    </font>
    <font>
      <name val="Arial Light"/>
      <family val="2"/>
      <b val="1"/>
      <color rgb="FF000000"/>
      <sz val="10"/>
    </font>
    <font>
      <name val="Arial Light"/>
      <family val="2"/>
      <color rgb="FF000000"/>
      <sz val="10"/>
    </font>
    <font>
      <name val="宋体"/>
      <charset val="134"/>
      <family val="3"/>
      <sz val="10"/>
    </font>
    <font>
      <name val="微软雅黑"/>
      <charset val="134"/>
      <family val="2"/>
      <sz val="7"/>
    </font>
    <font>
      <name val="Arial"/>
      <family val="2"/>
      <sz val="8"/>
    </font>
    <font>
      <name val="微软雅黑 "/>
      <charset val="134"/>
      <sz val="8"/>
    </font>
    <font>
      <name val="宋体"/>
      <charset val="134"/>
      <family val="3"/>
      <sz val="7"/>
    </font>
    <font>
      <name val="微软雅黑"/>
      <charset val="134"/>
      <family val="2"/>
      <sz val="10"/>
    </font>
    <font>
      <name val="微软雅黑"/>
      <charset val="134"/>
      <family val="2"/>
      <sz val="9"/>
    </font>
    <font>
      <name val="微软雅黑"/>
      <charset val="134"/>
      <family val="2"/>
      <sz val="12"/>
    </font>
    <font>
      <name val="宋体"/>
      <charset val="134"/>
      <family val="3"/>
      <color theme="10"/>
      <sz val="12"/>
      <u val="single"/>
    </font>
    <font>
      <name val="微软雅黑"/>
      <charset val="134"/>
      <family val="2"/>
      <color theme="1" tint="0.249977111117893"/>
      <sz val="11"/>
    </font>
    <font>
      <name val="微软雅黑"/>
      <charset val="134"/>
      <family val="2"/>
      <color theme="1" tint="0.249977111117893"/>
      <sz val="14"/>
    </font>
    <font>
      <name val="微软雅黑"/>
      <charset val="134"/>
      <family val="2"/>
      <color theme="0"/>
      <sz val="26"/>
    </font>
    <font>
      <name val="微软雅黑"/>
      <charset val="134"/>
      <family val="2"/>
      <color theme="0"/>
      <sz val="8"/>
    </font>
    <font>
      <name val="微软雅黑"/>
      <charset val="134"/>
      <family val="2"/>
      <color theme="1" tint="0.249977111117893"/>
      <sz val="8"/>
    </font>
    <font>
      <name val="微软雅黑"/>
      <charset val="134"/>
      <family val="2"/>
      <b val="1"/>
      <color theme="0"/>
      <sz val="11"/>
    </font>
    <font>
      <name val="微软雅黑"/>
      <charset val="134"/>
      <family val="2"/>
      <b val="1"/>
      <color theme="0"/>
      <sz val="8"/>
    </font>
    <font>
      <name val="微软雅黑"/>
      <charset val="134"/>
      <family val="2"/>
      <sz val="11"/>
    </font>
    <font>
      <name val="微软雅黑"/>
      <charset val="134"/>
      <family val="2"/>
      <color theme="0"/>
      <sz val="14"/>
    </font>
    <font>
      <name val="微软雅黑"/>
      <charset val="134"/>
      <family val="2"/>
      <color theme="0"/>
      <sz val="12"/>
    </font>
    <font>
      <name val="微软雅黑"/>
      <charset val="134"/>
      <family val="2"/>
      <color theme="0"/>
      <sz val="11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sz val="18"/>
    </font>
    <font>
      <name val="微软雅黑"/>
      <charset val="134"/>
      <family val="2"/>
      <b val="1"/>
      <sz val="12"/>
    </font>
    <font>
      <name val="微软雅黑"/>
      <charset val="134"/>
      <family val="2"/>
      <b val="1"/>
      <sz val="14"/>
    </font>
    <font>
      <name val="微软雅黑 Light"/>
      <charset val="134"/>
      <family val="2"/>
      <b val="1"/>
      <color theme="0"/>
      <sz val="10"/>
    </font>
    <font>
      <name val="宋体"/>
      <charset val="134"/>
      <family val="3"/>
      <color theme="1"/>
      <sz val="11"/>
      <scheme val="minor"/>
    </font>
    <font>
      <name val="微软雅黑 Light"/>
      <charset val="134"/>
      <family val="2"/>
      <color rgb="FFFF0000"/>
      <sz val="9"/>
    </font>
    <font>
      <name val="Arial"/>
      <family val="2"/>
      <b val="1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9"/>
    </font>
    <font>
      <name val="宋体"/>
      <charset val="134"/>
      <family val="3"/>
      <b val="1"/>
      <sz val="9"/>
    </font>
    <font>
      <name val="宋体"/>
      <charset val="134"/>
      <family val="3"/>
      <sz val="12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0C1E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4" tint="0.3999145481734672"/>
        <bgColor indexed="64"/>
      </patternFill>
    </fill>
    <fill>
      <patternFill patternType="solid">
        <fgColor rgb="FFE3F7F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7284C"/>
        <bgColor indexed="64"/>
      </patternFill>
    </fill>
    <fill>
      <patternFill patternType="solid">
        <fgColor theme="0" tint="-0.1499069185460982"/>
        <bgColor indexed="64"/>
      </patternFill>
    </fill>
  </fills>
  <borders count="14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medium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medium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thin">
        <color theme="5"/>
      </top>
      <bottom/>
      <diagonal/>
    </border>
    <border>
      <left style="medium">
        <color theme="5"/>
      </left>
      <right style="hair">
        <color theme="5" tint="0.3998840296639912"/>
      </right>
      <top style="thin">
        <color theme="5"/>
      </top>
      <bottom/>
      <diagonal/>
    </border>
    <border>
      <left style="hair">
        <color theme="5" tint="0.3998840296639912"/>
      </left>
      <right style="hair">
        <color theme="5" tint="0.3998840296639912"/>
      </right>
      <top style="thin">
        <color theme="5"/>
      </top>
      <bottom/>
      <diagonal/>
    </border>
    <border>
      <left style="hair">
        <color theme="5" tint="0.3998840296639912"/>
      </left>
      <right style="medium">
        <color theme="5"/>
      </right>
      <top style="thin">
        <color theme="5"/>
      </top>
      <bottom/>
      <diagonal/>
    </border>
    <border>
      <left style="medium">
        <color rgb="FFFF6C0D"/>
      </left>
      <right/>
      <top style="medium">
        <color rgb="FFFF6C0D"/>
      </top>
      <bottom style="medium">
        <color theme="5"/>
      </bottom>
      <diagonal/>
    </border>
    <border>
      <left/>
      <right/>
      <top style="medium">
        <color rgb="FFFF6C0D"/>
      </top>
      <bottom style="medium">
        <color theme="5"/>
      </bottom>
      <diagonal/>
    </border>
    <border>
      <left/>
      <right style="medium">
        <color rgb="FFFF6C0D"/>
      </right>
      <top style="medium">
        <color rgb="FFFF6C0D"/>
      </top>
      <bottom style="medium">
        <color theme="5"/>
      </bottom>
      <diagonal/>
    </border>
    <border>
      <left style="medium">
        <color rgb="FFFF6C0D"/>
      </left>
      <right/>
      <top style="medium">
        <color theme="5"/>
      </top>
      <bottom style="medium">
        <color rgb="FFFF6C0D"/>
      </bottom>
      <diagonal/>
    </border>
    <border>
      <left/>
      <right/>
      <top style="medium">
        <color theme="5"/>
      </top>
      <bottom style="medium">
        <color rgb="FFFF6C0D"/>
      </bottom>
      <diagonal/>
    </border>
    <border>
      <left/>
      <right style="medium">
        <color rgb="FFFF6C0D"/>
      </right>
      <top style="medium">
        <color theme="5"/>
      </top>
      <bottom style="medium">
        <color rgb="FFFF6C0D"/>
      </bottom>
      <diagonal/>
    </border>
    <border>
      <left style="thin">
        <color rgb="FFFF6C0D"/>
      </left>
      <right style="thin">
        <color rgb="FFFF6C0D"/>
      </right>
      <top style="thin">
        <color rgb="FFFF6C0D"/>
      </top>
      <bottom style="thin">
        <color rgb="FFFF6C0D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43" fontId="48" fillId="0" borderId="0" applyAlignment="1">
      <alignment vertical="center"/>
    </xf>
    <xf numFmtId="0" fontId="25" fillId="0" borderId="0" applyAlignment="1" applyProtection="1">
      <alignment vertical="top"/>
      <protection locked="0" hidden="0"/>
    </xf>
    <xf numFmtId="0" fontId="48" fillId="0" borderId="0"/>
    <xf numFmtId="0" fontId="42" fillId="0" borderId="0" applyAlignment="1">
      <alignment vertical="center"/>
    </xf>
    <xf numFmtId="0" fontId="48" fillId="0" borderId="0"/>
    <xf numFmtId="0" fontId="48" fillId="0" borderId="0" applyAlignment="1">
      <alignment vertical="center"/>
    </xf>
  </cellStyleXfs>
  <cellXfs count="1103">
    <xf numFmtId="0" fontId="0" fillId="0" borderId="0" pivotButton="0" quotePrefix="0" xfId="0"/>
    <xf numFmtId="0" fontId="1" fillId="0" borderId="0" applyAlignment="1" pivotButton="0" quotePrefix="0" xfId="3">
      <alignment horizontal="center" vertical="center" wrapText="1" shrinkToFit="1"/>
    </xf>
    <xf numFmtId="0" fontId="2" fillId="0" borderId="0" applyAlignment="1" pivotButton="0" quotePrefix="0" xfId="0">
      <alignment horizontal="center" vertical="center" wrapText="1" shrinkToFit="1"/>
    </xf>
    <xf numFmtId="0" fontId="3" fillId="0" borderId="0" applyAlignment="1" pivotButton="0" quotePrefix="0" xfId="0">
      <alignment vertical="center" wrapText="1" shrinkToFit="1"/>
    </xf>
    <xf numFmtId="0" fontId="2" fillId="0" borderId="0" applyAlignment="1" pivotButton="0" quotePrefix="0" xfId="0">
      <alignment vertical="center" wrapText="1" shrinkToFit="1"/>
    </xf>
    <xf numFmtId="164" fontId="2" fillId="0" borderId="0" applyAlignment="1" pivotButton="0" quotePrefix="0" xfId="0">
      <alignment vertical="center" wrapText="1" shrinkToFit="1"/>
    </xf>
    <xf numFmtId="165" fontId="4" fillId="0" borderId="0" applyAlignment="1" pivotButton="0" quotePrefix="0" xfId="1">
      <alignment vertical="center" wrapText="1" shrinkToFit="1"/>
    </xf>
    <xf numFmtId="0" fontId="4" fillId="0" borderId="0" applyAlignment="1" pivotButton="0" quotePrefix="0" xfId="0">
      <alignment vertical="center" wrapText="1" shrinkToFit="1"/>
    </xf>
    <xf numFmtId="0" fontId="4" fillId="0" borderId="0" applyAlignment="1" pivotButton="0" quotePrefix="0" xfId="0">
      <alignment horizontal="center" vertical="center" wrapText="1" shrinkToFit="1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2">
      <alignment vertical="center" wrapText="1" shrinkToFit="1"/>
    </xf>
    <xf numFmtId="165" fontId="6" fillId="0" borderId="0" applyAlignment="1" pivotButton="0" quotePrefix="0" xfId="0">
      <alignment vertical="center" wrapText="1" shrinkToFit="1"/>
    </xf>
    <xf numFmtId="165" fontId="1" fillId="0" borderId="0" applyAlignment="1" pivotButton="0" quotePrefix="0" xfId="1">
      <alignment horizontal="center" vertical="center" wrapText="1" shrinkToFit="1"/>
    </xf>
    <xf numFmtId="165" fontId="2" fillId="2" borderId="18" applyAlignment="1" pivotButton="0" quotePrefix="0" xfId="5">
      <alignment horizontal="center" vertical="center" wrapText="1"/>
    </xf>
    <xf numFmtId="166" fontId="2" fillId="2" borderId="19" applyAlignment="1" pivotButton="0" quotePrefix="0" xfId="0">
      <alignment horizontal="center" vertical="center" wrapText="1" shrinkToFit="1"/>
    </xf>
    <xf numFmtId="165" fontId="2" fillId="8" borderId="14" applyAlignment="1" pivotButton="0" quotePrefix="0" xfId="5">
      <alignment horizontal="center" vertical="center" wrapText="1" shrinkToFit="1"/>
    </xf>
    <xf numFmtId="165" fontId="2" fillId="8" borderId="21" applyAlignment="1" pivotButton="0" quotePrefix="0" xfId="5">
      <alignment horizontal="center" vertical="center" wrapText="1" shrinkToFit="1"/>
    </xf>
    <xf numFmtId="165" fontId="2" fillId="8" borderId="15" applyAlignment="1" pivotButton="0" quotePrefix="0" xfId="5">
      <alignment horizontal="center" vertical="center" wrapText="1" shrinkToFit="1"/>
    </xf>
    <xf numFmtId="165" fontId="2" fillId="8" borderId="22" applyAlignment="1" pivotButton="0" quotePrefix="0" xfId="5">
      <alignment horizontal="center" vertical="center" wrapText="1" shrinkToFit="1"/>
    </xf>
    <xf numFmtId="165" fontId="2" fillId="3" borderId="15" applyAlignment="1" pivotButton="0" quotePrefix="0" xfId="0">
      <alignment horizontal="center" vertical="center" wrapText="1"/>
    </xf>
    <xf numFmtId="165" fontId="2" fillId="3" borderId="23" applyAlignment="1" pivotButton="0" quotePrefix="0" xfId="0">
      <alignment horizontal="center" vertical="center" wrapText="1"/>
    </xf>
    <xf numFmtId="165" fontId="2" fillId="4" borderId="12" applyAlignment="1" pivotButton="0" quotePrefix="0" xfId="0">
      <alignment horizontal="center" vertical="center" wrapText="1" shrinkToFit="1"/>
    </xf>
    <xf numFmtId="165" fontId="2" fillId="4" borderId="15" applyAlignment="1" pivotButton="0" quotePrefix="0" xfId="0">
      <alignment horizontal="center" vertical="center" wrapText="1" shrinkToFit="1"/>
    </xf>
    <xf numFmtId="165" fontId="2" fillId="4" borderId="22" applyAlignment="1" pivotButton="0" quotePrefix="0" xfId="0">
      <alignment horizontal="center" vertical="center" wrapText="1" shrinkToFit="1"/>
    </xf>
    <xf numFmtId="165" fontId="7" fillId="5" borderId="21" applyAlignment="1" pivotButton="0" quotePrefix="0" xfId="0">
      <alignment horizontal="center" vertical="center" wrapText="1" shrinkToFit="1"/>
    </xf>
    <xf numFmtId="0" fontId="7" fillId="5" borderId="23" applyAlignment="1" pivotButton="0" quotePrefix="0" xfId="0">
      <alignment horizontal="center" vertical="center" wrapText="1" shrinkToFit="1"/>
    </xf>
    <xf numFmtId="165" fontId="7" fillId="6" borderId="12" applyAlignment="1" pivotButton="0" quotePrefix="0" xfId="0">
      <alignment horizontal="center" vertical="center" wrapText="1" shrinkToFit="1"/>
    </xf>
    <xf numFmtId="165" fontId="7" fillId="6" borderId="15" applyAlignment="1" pivotButton="0" quotePrefix="0" xfId="0">
      <alignment horizontal="center" vertical="center" wrapText="1" shrinkToFit="1"/>
    </xf>
    <xf numFmtId="165" fontId="7" fillId="6" borderId="22" applyAlignment="1" pivotButton="0" quotePrefix="0" xfId="0">
      <alignment horizontal="center" vertical="center" wrapText="1" shrinkToFit="1"/>
    </xf>
    <xf numFmtId="165" fontId="7" fillId="7" borderId="21" applyAlignment="1" pivotButton="0" quotePrefix="0" xfId="0">
      <alignment horizontal="center" vertical="center" wrapText="1" shrinkToFit="1"/>
    </xf>
    <xf numFmtId="165" fontId="7" fillId="7" borderId="15" applyAlignment="1" pivotButton="0" quotePrefix="0" xfId="0">
      <alignment horizontal="center" vertical="center" wrapText="1" shrinkToFit="1"/>
    </xf>
    <xf numFmtId="165" fontId="7" fillId="7" borderId="22" applyAlignment="1" pivotButton="0" quotePrefix="0" xfId="0">
      <alignment horizontal="center" vertical="center" wrapText="1" shrinkToFit="1"/>
    </xf>
    <xf numFmtId="165" fontId="2" fillId="0" borderId="0" applyAlignment="1" pivotButton="0" quotePrefix="0" xfId="1">
      <alignment horizontal="center" vertical="center" wrapText="1" shrinkToFit="1"/>
    </xf>
    <xf numFmtId="165" fontId="3" fillId="9" borderId="25" applyAlignment="1" pivotButton="0" quotePrefix="0" xfId="1">
      <alignment vertical="center" wrapText="1" shrinkToFit="1"/>
    </xf>
    <xf numFmtId="0" fontId="3" fillId="9" borderId="25" applyAlignment="1" pivotButton="0" quotePrefix="0" xfId="0">
      <alignment vertical="center" wrapText="1" shrinkToFit="1"/>
    </xf>
    <xf numFmtId="0" fontId="6" fillId="9" borderId="25" applyAlignment="1" pivotButton="0" quotePrefix="0" xfId="0">
      <alignment vertical="center" wrapText="1" shrinkToFit="1"/>
    </xf>
    <xf numFmtId="0" fontId="3" fillId="9" borderId="25" applyAlignment="1" pivotButton="0" quotePrefix="0" xfId="0">
      <alignment horizontal="center" vertical="center" wrapText="1" shrinkToFit="1"/>
    </xf>
    <xf numFmtId="0" fontId="3" fillId="9" borderId="26" applyAlignment="1" pivotButton="0" quotePrefix="0" xfId="0">
      <alignment vertical="center" wrapText="1" shrinkToFit="1"/>
    </xf>
    <xf numFmtId="165" fontId="3" fillId="0" borderId="0" applyAlignment="1" pivotButton="0" quotePrefix="0" xfId="1">
      <alignment vertical="center" wrapText="1" shrinkToFit="1"/>
    </xf>
    <xf numFmtId="0" fontId="2" fillId="0" borderId="27" applyAlignment="1" pivotButton="0" quotePrefix="0" xfId="3">
      <alignment horizontal="right" vertical="center" wrapText="1" shrinkToFit="1"/>
    </xf>
    <xf numFmtId="14" fontId="2" fillId="0" borderId="28" applyAlignment="1" pivotButton="0" quotePrefix="0" xfId="3">
      <alignment horizontal="right" vertical="center" shrinkToFit="1"/>
    </xf>
    <xf numFmtId="165" fontId="2" fillId="0" borderId="29" applyAlignment="1" pivotButton="0" quotePrefix="0" xfId="1">
      <alignment vertical="center" wrapText="1" shrinkToFit="1"/>
    </xf>
    <xf numFmtId="165" fontId="2" fillId="0" borderId="30" applyAlignment="1" pivotButton="0" quotePrefix="0" xfId="1">
      <alignment vertical="center" wrapText="1" shrinkToFit="1"/>
    </xf>
    <xf numFmtId="165" fontId="3" fillId="9" borderId="31" applyAlignment="1" pivotButton="0" quotePrefix="0" xfId="1">
      <alignment vertical="center" wrapText="1" shrinkToFit="1"/>
    </xf>
    <xf numFmtId="165" fontId="2" fillId="0" borderId="32" applyAlignment="1" pivotButton="0" quotePrefix="0" xfId="1">
      <alignment vertical="center" wrapText="1" shrinkToFit="1"/>
    </xf>
    <xf numFmtId="165" fontId="2" fillId="0" borderId="33" applyAlignment="1" pivotButton="0" quotePrefix="0" xfId="1">
      <alignment vertical="center" wrapText="1" shrinkToFit="1"/>
    </xf>
    <xf numFmtId="165" fontId="2" fillId="0" borderId="34" applyAlignment="1" pivotButton="0" quotePrefix="0" xfId="1">
      <alignment vertical="center" wrapText="1" shrinkToFit="1"/>
    </xf>
    <xf numFmtId="165" fontId="2" fillId="0" borderId="35" applyAlignment="1" pivotButton="0" quotePrefix="0" xfId="1">
      <alignment vertical="center" wrapText="1" shrinkToFit="1"/>
    </xf>
    <xf numFmtId="165" fontId="2" fillId="0" borderId="30" applyAlignment="1" pivotButton="0" quotePrefix="0" xfId="1">
      <alignment horizontal="center" vertical="center" wrapText="1" shrinkToFit="1"/>
    </xf>
    <xf numFmtId="165" fontId="2" fillId="0" borderId="36" applyAlignment="1" pivotButton="0" quotePrefix="0" xfId="1">
      <alignment vertical="center" wrapText="1" shrinkToFit="1"/>
    </xf>
    <xf numFmtId="165" fontId="3" fillId="9" borderId="33" applyAlignment="1" pivotButton="0" quotePrefix="0" xfId="1">
      <alignment vertical="center" wrapText="1" shrinkToFit="1"/>
    </xf>
    <xf numFmtId="0" fontId="8" fillId="0" borderId="37" applyAlignment="1" pivotButton="0" quotePrefix="0" xfId="5">
      <alignment horizontal="center" vertical="center" shrinkToFit="1"/>
    </xf>
    <xf numFmtId="165" fontId="2" fillId="0" borderId="38" applyAlignment="1" pivotButton="0" quotePrefix="0" xfId="1">
      <alignment horizontal="center" vertical="center" wrapText="1" shrinkToFit="1"/>
    </xf>
    <xf numFmtId="167" fontId="2" fillId="0" borderId="39" applyAlignment="1" pivotButton="0" quotePrefix="0" xfId="3">
      <alignment horizontal="center" vertical="center" shrinkToFit="1"/>
    </xf>
    <xf numFmtId="165" fontId="7" fillId="0" borderId="40" applyAlignment="1" pivotButton="0" quotePrefix="0" xfId="1">
      <alignment vertical="center" wrapText="1" shrinkToFit="1"/>
    </xf>
    <xf numFmtId="165" fontId="7" fillId="0" borderId="29" applyAlignment="1" pivotButton="0" quotePrefix="0" xfId="1">
      <alignment vertical="center" wrapText="1" shrinkToFit="1"/>
    </xf>
    <xf numFmtId="165" fontId="7" fillId="0" borderId="30" applyAlignment="1" pivotButton="0" quotePrefix="0" xfId="1">
      <alignment vertical="center" wrapText="1" shrinkToFit="1"/>
    </xf>
    <xf numFmtId="165" fontId="7" fillId="0" borderId="30" applyAlignment="1" pivotButton="0" quotePrefix="0" xfId="1">
      <alignment horizontal="center" vertical="center" wrapText="1" shrinkToFit="1"/>
    </xf>
    <xf numFmtId="165" fontId="7" fillId="0" borderId="41" applyAlignment="1" pivotButton="0" quotePrefix="0" xfId="1">
      <alignment vertical="center" wrapText="1" shrinkToFit="1"/>
    </xf>
    <xf numFmtId="165" fontId="7" fillId="0" borderId="42" applyAlignment="1" pivotButton="0" quotePrefix="0" xfId="1">
      <alignment vertical="center" wrapText="1" shrinkToFit="1"/>
    </xf>
    <xf numFmtId="165" fontId="7" fillId="0" borderId="27" applyAlignment="1" pivotButton="0" quotePrefix="0" xfId="1">
      <alignment vertical="center" wrapText="1" shrinkToFit="1"/>
    </xf>
    <xf numFmtId="0" fontId="2" fillId="0" borderId="43" applyAlignment="1" pivotButton="0" quotePrefix="0" xfId="3">
      <alignment horizontal="right" vertical="center" wrapText="1" shrinkToFit="1"/>
    </xf>
    <xf numFmtId="165" fontId="2" fillId="0" borderId="44" applyAlignment="1" pivotButton="0" quotePrefix="0" xfId="1">
      <alignment vertical="center" wrapText="1" shrinkToFit="1"/>
    </xf>
    <xf numFmtId="165" fontId="2" fillId="0" borderId="45" applyAlignment="1" pivotButton="0" quotePrefix="0" xfId="1">
      <alignment vertical="center" wrapText="1" shrinkToFit="1"/>
    </xf>
    <xf numFmtId="165" fontId="3" fillId="9" borderId="46" applyAlignment="1" pivotButton="0" quotePrefix="0" xfId="1">
      <alignment vertical="center" wrapText="1" shrinkToFit="1"/>
    </xf>
    <xf numFmtId="165" fontId="2" fillId="0" borderId="47" applyAlignment="1" pivotButton="0" quotePrefix="0" xfId="1">
      <alignment vertical="center" wrapText="1" shrinkToFit="1"/>
    </xf>
    <xf numFmtId="166" fontId="2" fillId="0" borderId="48" applyAlignment="1" pivotButton="0" quotePrefix="0" xfId="1">
      <alignment vertical="center" wrapText="1" shrinkToFit="1"/>
    </xf>
    <xf numFmtId="165" fontId="2" fillId="0" borderId="49" applyAlignment="1" pivotButton="0" quotePrefix="0" xfId="1">
      <alignment vertical="center" wrapText="1" shrinkToFit="1"/>
    </xf>
    <xf numFmtId="165" fontId="2" fillId="0" borderId="50" applyAlignment="1" pivotButton="0" quotePrefix="0" xfId="1">
      <alignment vertical="center" wrapText="1" shrinkToFit="1"/>
    </xf>
    <xf numFmtId="165" fontId="2" fillId="0" borderId="45" applyAlignment="1" pivotButton="0" quotePrefix="0" xfId="1">
      <alignment horizontal="center" vertical="center" wrapText="1" shrinkToFit="1"/>
    </xf>
    <xf numFmtId="165" fontId="2" fillId="0" borderId="28" applyAlignment="1" pivotButton="0" quotePrefix="0" xfId="1">
      <alignment vertical="center" wrapText="1" shrinkToFit="1"/>
    </xf>
    <xf numFmtId="0" fontId="8" fillId="0" borderId="51" applyAlignment="1" pivotButton="0" quotePrefix="0" xfId="5">
      <alignment horizontal="center" vertical="center" shrinkToFit="1"/>
    </xf>
    <xf numFmtId="0" fontId="2" fillId="0" borderId="46" applyAlignment="1" pivotButton="0" quotePrefix="0" xfId="5">
      <alignment horizontal="center" vertical="center" shrinkToFit="1"/>
    </xf>
    <xf numFmtId="165" fontId="7" fillId="0" borderId="51" applyAlignment="1" pivotButton="0" quotePrefix="0" xfId="1">
      <alignment vertical="center" wrapText="1" shrinkToFit="1"/>
    </xf>
    <xf numFmtId="165" fontId="7" fillId="0" borderId="44" applyAlignment="1" pivotButton="0" quotePrefix="0" xfId="1">
      <alignment vertical="center" wrapText="1" shrinkToFit="1"/>
    </xf>
    <xf numFmtId="165" fontId="7" fillId="0" borderId="45" applyAlignment="1" pivotButton="0" quotePrefix="0" xfId="1">
      <alignment vertical="center" wrapText="1" shrinkToFit="1"/>
    </xf>
    <xf numFmtId="165" fontId="7" fillId="0" borderId="45" applyAlignment="1" pivotButton="0" quotePrefix="0" xfId="1">
      <alignment horizontal="center" vertical="center" wrapText="1" shrinkToFit="1"/>
    </xf>
    <xf numFmtId="165" fontId="7" fillId="0" borderId="52" applyAlignment="1" pivotButton="0" quotePrefix="0" xfId="1">
      <alignment vertical="center" wrapText="1" shrinkToFit="1"/>
    </xf>
    <xf numFmtId="165" fontId="7" fillId="0" borderId="53" applyAlignment="1" pivotButton="0" quotePrefix="0" xfId="1">
      <alignment vertical="center" wrapText="1" shrinkToFit="1"/>
    </xf>
    <xf numFmtId="165" fontId="7" fillId="0" borderId="43" applyAlignment="1" pivotButton="0" quotePrefix="0" xfId="1">
      <alignment vertical="center" wrapText="1" shrinkToFit="1"/>
    </xf>
    <xf numFmtId="166" fontId="2" fillId="0" borderId="48" applyAlignment="1" pivotButton="0" quotePrefix="0" xfId="1">
      <alignment vertical="center" wrapText="1" shrinkToFit="1"/>
    </xf>
    <xf numFmtId="167" fontId="2" fillId="0" borderId="46" applyAlignment="1" pivotButton="0" quotePrefix="0" xfId="3">
      <alignment horizontal="center" vertical="center" shrinkToFit="1"/>
    </xf>
    <xf numFmtId="0" fontId="7" fillId="0" borderId="51" pivotButton="0" quotePrefix="0" xfId="0"/>
    <xf numFmtId="165" fontId="2" fillId="0" borderId="48" applyAlignment="1" pivotButton="0" quotePrefix="0" xfId="1">
      <alignment vertical="center" wrapText="1" shrinkToFit="1"/>
    </xf>
    <xf numFmtId="166" fontId="7" fillId="0" borderId="45" applyAlignment="1" pivotButton="0" quotePrefix="0" xfId="1">
      <alignment horizontal="left" vertical="center" wrapText="1" shrinkToFit="1"/>
    </xf>
    <xf numFmtId="167" fontId="2" fillId="0" borderId="45" applyAlignment="1" pivotButton="0" quotePrefix="0" xfId="3">
      <alignment horizontal="center" vertical="center" shrinkToFit="1"/>
    </xf>
    <xf numFmtId="0" fontId="2" fillId="0" borderId="45" applyAlignment="1" pivotButton="0" quotePrefix="0" xfId="5">
      <alignment horizontal="center" vertical="center" shrinkToFit="1"/>
    </xf>
    <xf numFmtId="165" fontId="7" fillId="0" borderId="51" applyAlignment="1" pivotButton="0" quotePrefix="0" xfId="1">
      <alignment vertical="center" shrinkToFit="1"/>
    </xf>
    <xf numFmtId="165" fontId="7" fillId="0" borderId="44" applyAlignment="1" pivotButton="0" quotePrefix="0" xfId="1">
      <alignment vertical="center" shrinkToFit="1"/>
    </xf>
    <xf numFmtId="165" fontId="7" fillId="0" borderId="45" applyAlignment="1" pivotButton="0" quotePrefix="0" xfId="1">
      <alignment vertical="center" shrinkToFit="1"/>
    </xf>
    <xf numFmtId="165" fontId="7" fillId="0" borderId="53" applyAlignment="1" pivotButton="0" quotePrefix="0" xfId="1">
      <alignment vertical="center" shrinkToFit="1"/>
    </xf>
    <xf numFmtId="166" fontId="2" fillId="0" borderId="47" applyAlignment="1" pivotButton="0" quotePrefix="0" xfId="1">
      <alignment vertical="center" wrapText="1" shrinkToFit="1"/>
    </xf>
    <xf numFmtId="0" fontId="2" fillId="0" borderId="51" applyAlignment="1" pivotButton="0" quotePrefix="0" xfId="3">
      <alignment horizontal="right" vertical="center" shrinkToFit="1"/>
    </xf>
    <xf numFmtId="165" fontId="2" fillId="0" borderId="46" applyAlignment="1" pivotButton="0" quotePrefix="0" xfId="1">
      <alignment horizontal="center" vertical="center" wrapText="1" shrinkToFit="1"/>
    </xf>
    <xf numFmtId="166" fontId="2" fillId="0" borderId="45" applyAlignment="1" pivotButton="0" quotePrefix="0" xfId="3">
      <alignment horizontal="center" vertical="center" shrinkToFit="1"/>
    </xf>
    <xf numFmtId="165" fontId="7" fillId="0" borderId="45" applyAlignment="1" pivotButton="0" quotePrefix="0" xfId="1">
      <alignment horizontal="left" vertical="center" wrapText="1" shrinkToFit="1"/>
    </xf>
    <xf numFmtId="165" fontId="7" fillId="0" borderId="44" applyAlignment="1" pivotButton="0" quotePrefix="0" xfId="1">
      <alignment horizontal="center" vertical="center" wrapText="1" shrinkToFit="1"/>
    </xf>
    <xf numFmtId="165" fontId="2" fillId="0" borderId="44" applyAlignment="1" pivotButton="0" quotePrefix="0" xfId="1">
      <alignment vertical="center" wrapText="1" shrinkToFit="1"/>
    </xf>
    <xf numFmtId="165" fontId="2" fillId="0" borderId="45" applyAlignment="1" pivotButton="0" quotePrefix="0" xfId="1">
      <alignment vertical="center" wrapText="1" shrinkToFit="1"/>
    </xf>
    <xf numFmtId="165" fontId="2" fillId="0" borderId="47" applyAlignment="1" pivotButton="0" quotePrefix="0" xfId="1">
      <alignment vertical="center" wrapText="1" shrinkToFit="1"/>
    </xf>
    <xf numFmtId="165" fontId="2" fillId="0" borderId="48" applyAlignment="1" pivotButton="0" quotePrefix="0" xfId="1">
      <alignment vertical="center" wrapText="1" shrinkToFit="1"/>
    </xf>
    <xf numFmtId="165" fontId="2" fillId="0" borderId="49" applyAlignment="1" pivotButton="0" quotePrefix="0" xfId="1">
      <alignment vertical="center" wrapText="1" shrinkToFit="1"/>
    </xf>
    <xf numFmtId="165" fontId="2" fillId="0" borderId="50" applyAlignment="1" pivotButton="0" quotePrefix="0" xfId="1">
      <alignment vertical="center" wrapText="1" shrinkToFit="1"/>
    </xf>
    <xf numFmtId="165" fontId="2" fillId="0" borderId="28" applyAlignment="1" pivotButton="0" quotePrefix="0" xfId="1">
      <alignment vertical="center" wrapText="1" shrinkToFit="1"/>
    </xf>
    <xf numFmtId="165" fontId="4" fillId="0" borderId="0" applyAlignment="1" pivotButton="0" quotePrefix="0" xfId="1">
      <alignment vertical="center" wrapText="1" shrinkToFit="1"/>
    </xf>
    <xf numFmtId="0" fontId="2" fillId="0" borderId="51" applyAlignment="1" pivotButton="0" quotePrefix="0" xfId="5">
      <alignment horizontal="center" vertical="center" shrinkToFit="1"/>
    </xf>
    <xf numFmtId="0" fontId="4" fillId="0" borderId="0" applyAlignment="1" pivotButton="0" quotePrefix="0" xfId="0">
      <alignment vertical="center" wrapText="1"/>
    </xf>
    <xf numFmtId="166" fontId="7" fillId="0" borderId="45" applyAlignment="1" pivotButton="0" quotePrefix="0" xfId="1">
      <alignment horizontal="center" vertical="center" wrapText="1" shrinkToFit="1"/>
    </xf>
    <xf numFmtId="166" fontId="2" fillId="0" borderId="49" applyAlignment="1" pivotButton="0" quotePrefix="0" xfId="1">
      <alignment vertical="center" wrapText="1" shrinkToFit="1"/>
    </xf>
    <xf numFmtId="166" fontId="2" fillId="0" borderId="51" applyAlignment="1" pivotButton="0" quotePrefix="0" xfId="3">
      <alignment horizontal="center" vertical="center" shrinkToFit="1"/>
    </xf>
    <xf numFmtId="165" fontId="3" fillId="10" borderId="55" applyAlignment="1" pivotButton="0" quotePrefix="0" xfId="1">
      <alignment vertical="center" wrapText="1" shrinkToFit="1"/>
    </xf>
    <xf numFmtId="165" fontId="3" fillId="10" borderId="55" applyAlignment="1" pivotButton="0" quotePrefix="0" xfId="1">
      <alignment horizontal="center" vertical="center" wrapText="1" shrinkToFit="1"/>
    </xf>
    <xf numFmtId="165" fontId="3" fillId="9" borderId="55" applyAlignment="1" pivotButton="0" quotePrefix="0" xfId="1">
      <alignment vertical="center" wrapText="1" shrinkToFit="1"/>
    </xf>
    <xf numFmtId="165" fontId="7" fillId="10" borderId="55" applyAlignment="1" pivotButton="0" quotePrefix="0" xfId="1">
      <alignment vertical="center" wrapText="1" shrinkToFit="1"/>
    </xf>
    <xf numFmtId="165" fontId="7" fillId="10" borderId="55" applyAlignment="1" pivotButton="0" quotePrefix="0" xfId="1">
      <alignment vertical="center" shrinkToFit="1"/>
    </xf>
    <xf numFmtId="165" fontId="7" fillId="10" borderId="56" applyAlignment="1" pivotButton="0" quotePrefix="0" xfId="1">
      <alignment vertical="center" shrinkToFit="1"/>
    </xf>
    <xf numFmtId="165" fontId="3" fillId="9" borderId="57" applyAlignment="1" pivotButton="0" quotePrefix="0" xfId="3">
      <alignment vertical="center"/>
    </xf>
    <xf numFmtId="165" fontId="3" fillId="9" borderId="58" applyAlignment="1" pivotButton="0" quotePrefix="0" xfId="3">
      <alignment vertical="center" wrapText="1" shrinkToFit="1"/>
    </xf>
    <xf numFmtId="165" fontId="3" fillId="9" borderId="59" applyAlignment="1" pivotButton="0" quotePrefix="0" xfId="1">
      <alignment vertical="center" wrapText="1" shrinkToFit="1"/>
    </xf>
    <xf numFmtId="165" fontId="3" fillId="9" borderId="38" applyAlignment="1" pivotButton="0" quotePrefix="0" xfId="1">
      <alignment vertical="center" wrapText="1" shrinkToFit="1"/>
    </xf>
    <xf numFmtId="165" fontId="3" fillId="9" borderId="39" applyAlignment="1" pivotButton="0" quotePrefix="0" xfId="1">
      <alignment vertical="center" wrapText="1" shrinkToFit="1"/>
    </xf>
    <xf numFmtId="165" fontId="3" fillId="9" borderId="60" applyAlignment="1" pivotButton="0" quotePrefix="0" xfId="1">
      <alignment vertical="center" wrapText="1" shrinkToFit="1"/>
    </xf>
    <xf numFmtId="165" fontId="3" fillId="9" borderId="61" applyAlignment="1" pivotButton="0" quotePrefix="0" xfId="1">
      <alignment vertical="center" wrapText="1" shrinkToFit="1"/>
    </xf>
    <xf numFmtId="165" fontId="3" fillId="9" borderId="62" applyAlignment="1" pivotButton="0" quotePrefix="0" xfId="1">
      <alignment vertical="center" wrapText="1" shrinkToFit="1"/>
    </xf>
    <xf numFmtId="165" fontId="3" fillId="9" borderId="63" applyAlignment="1" pivotButton="0" quotePrefix="0" xfId="1">
      <alignment vertical="center" wrapText="1" shrinkToFit="1"/>
    </xf>
    <xf numFmtId="165" fontId="3" fillId="9" borderId="38" applyAlignment="1" pivotButton="0" quotePrefix="0" xfId="1">
      <alignment horizontal="center" vertical="center" wrapText="1" shrinkToFit="1"/>
    </xf>
    <xf numFmtId="165" fontId="3" fillId="9" borderId="58" applyAlignment="1" pivotButton="0" quotePrefix="0" xfId="1">
      <alignment vertical="center" wrapText="1" shrinkToFit="1"/>
    </xf>
    <xf numFmtId="165" fontId="3" fillId="9" borderId="51" applyAlignment="1" pivotButton="0" quotePrefix="0" xfId="1">
      <alignment vertical="center" wrapText="1" shrinkToFit="1"/>
    </xf>
    <xf numFmtId="165" fontId="3" fillId="9" borderId="45" applyAlignment="1" pivotButton="0" quotePrefix="0" xfId="1">
      <alignment horizontal="center" vertical="center" wrapText="1" shrinkToFit="1"/>
    </xf>
    <xf numFmtId="165" fontId="3" fillId="9" borderId="46" applyAlignment="1" pivotButton="0" quotePrefix="0" xfId="1">
      <alignment horizontal="center" vertical="center" wrapText="1" shrinkToFit="1"/>
    </xf>
    <xf numFmtId="165" fontId="7" fillId="9" borderId="37" applyAlignment="1" pivotButton="0" quotePrefix="0" xfId="1">
      <alignment vertical="center" wrapText="1" shrinkToFit="1"/>
    </xf>
    <xf numFmtId="165" fontId="7" fillId="9" borderId="59" applyAlignment="1" pivotButton="0" quotePrefix="0" xfId="1">
      <alignment vertical="center" wrapText="1" shrinkToFit="1"/>
    </xf>
    <xf numFmtId="165" fontId="7" fillId="9" borderId="38" applyAlignment="1" pivotButton="0" quotePrefix="0" xfId="1">
      <alignment vertical="center" wrapText="1" shrinkToFit="1"/>
    </xf>
    <xf numFmtId="165" fontId="7" fillId="9" borderId="38" applyAlignment="1" pivotButton="0" quotePrefix="0" xfId="1">
      <alignment horizontal="center" vertical="center" wrapText="1" shrinkToFit="1"/>
    </xf>
    <xf numFmtId="165" fontId="7" fillId="9" borderId="64" applyAlignment="1" pivotButton="0" quotePrefix="0" xfId="1">
      <alignment vertical="center" wrapText="1" shrinkToFit="1"/>
    </xf>
    <xf numFmtId="165" fontId="7" fillId="9" borderId="39" applyAlignment="1" pivotButton="0" quotePrefix="0" xfId="1">
      <alignment vertical="center" wrapText="1" shrinkToFit="1"/>
    </xf>
    <xf numFmtId="165" fontId="2" fillId="0" borderId="43" applyAlignment="1" pivotButton="0" quotePrefix="0" xfId="3">
      <alignment horizontal="right" vertical="center" wrapText="1" shrinkToFit="1"/>
    </xf>
    <xf numFmtId="166" fontId="2" fillId="0" borderId="47" applyAlignment="1" pivotButton="0" quotePrefix="0" xfId="1">
      <alignment vertical="top" wrapText="1" shrinkToFit="1"/>
    </xf>
    <xf numFmtId="165" fontId="2" fillId="0" borderId="51" applyAlignment="1" pivotButton="0" quotePrefix="0" xfId="1">
      <alignment vertical="center" wrapText="1" shrinkToFit="1"/>
    </xf>
    <xf numFmtId="165" fontId="7" fillId="0" borderId="51" applyAlignment="1" pivotButton="0" quotePrefix="0" xfId="1">
      <alignment vertical="center" wrapText="1" shrinkToFit="1"/>
    </xf>
    <xf numFmtId="165" fontId="7" fillId="0" borderId="44" applyAlignment="1" pivotButton="0" quotePrefix="0" xfId="1">
      <alignment vertical="center" wrapText="1" shrinkToFit="1"/>
    </xf>
    <xf numFmtId="165" fontId="7" fillId="0" borderId="45" applyAlignment="1" pivotButton="0" quotePrefix="0" xfId="1">
      <alignment vertical="center" wrapText="1" shrinkToFit="1"/>
    </xf>
    <xf numFmtId="165" fontId="7" fillId="0" borderId="45" applyAlignment="1" pivotButton="0" quotePrefix="0" xfId="1">
      <alignment horizontal="center" vertical="center" wrapText="1" shrinkToFit="1"/>
    </xf>
    <xf numFmtId="165" fontId="7" fillId="0" borderId="52" applyAlignment="1" pivotButton="0" quotePrefix="0" xfId="1">
      <alignment vertical="center" wrapText="1" shrinkToFit="1"/>
    </xf>
    <xf numFmtId="165" fontId="7" fillId="0" borderId="46" applyAlignment="1" pivotButton="0" quotePrefix="0" xfId="1">
      <alignment vertical="center" wrapText="1" shrinkToFit="1"/>
    </xf>
    <xf numFmtId="166" fontId="2" fillId="0" borderId="46" applyAlignment="1" pivotButton="0" quotePrefix="0" xfId="3">
      <alignment horizontal="center" vertical="center" shrinkToFit="1"/>
    </xf>
    <xf numFmtId="165" fontId="2" fillId="0" borderId="65" applyAlignment="1" pivotButton="0" quotePrefix="0" xfId="1">
      <alignment vertical="center" wrapText="1" shrinkToFit="1"/>
    </xf>
    <xf numFmtId="165" fontId="2" fillId="0" borderId="66" applyAlignment="1" pivotButton="0" quotePrefix="0" xfId="1">
      <alignment vertical="center" wrapText="1" shrinkToFit="1"/>
    </xf>
    <xf numFmtId="165" fontId="3" fillId="9" borderId="67" applyAlignment="1" pivotButton="0" quotePrefix="0" xfId="1">
      <alignment vertical="center" wrapText="1" shrinkToFit="1"/>
    </xf>
    <xf numFmtId="165" fontId="2" fillId="0" borderId="68" applyAlignment="1" pivotButton="0" quotePrefix="0" xfId="1">
      <alignment vertical="center" wrapText="1" shrinkToFit="1"/>
    </xf>
    <xf numFmtId="166" fontId="2" fillId="0" borderId="68" applyAlignment="1" pivotButton="0" quotePrefix="0" xfId="1">
      <alignment vertical="top" wrapText="1" shrinkToFit="1"/>
    </xf>
    <xf numFmtId="165" fontId="2" fillId="0" borderId="69" applyAlignment="1" pivotButton="0" quotePrefix="0" xfId="1">
      <alignment vertical="center" wrapText="1" shrinkToFit="1"/>
    </xf>
    <xf numFmtId="165" fontId="2" fillId="0" borderId="70" applyAlignment="1" pivotButton="0" quotePrefix="0" xfId="1">
      <alignment vertical="center" wrapText="1" shrinkToFit="1"/>
    </xf>
    <xf numFmtId="165" fontId="2" fillId="0" borderId="71" applyAlignment="1" pivotButton="0" quotePrefix="0" xfId="1">
      <alignment vertical="center" wrapText="1" shrinkToFit="1"/>
    </xf>
    <xf numFmtId="165" fontId="2" fillId="0" borderId="66" applyAlignment="1" pivotButton="0" quotePrefix="0" xfId="1">
      <alignment horizontal="center" vertical="center" wrapText="1" shrinkToFit="1"/>
    </xf>
    <xf numFmtId="165" fontId="2" fillId="0" borderId="72" applyAlignment="1" pivotButton="0" quotePrefix="0" xfId="1">
      <alignment vertical="center" wrapText="1" shrinkToFit="1"/>
    </xf>
    <xf numFmtId="165" fontId="7" fillId="0" borderId="73" applyAlignment="1" pivotButton="0" quotePrefix="0" xfId="1">
      <alignment vertical="center" wrapText="1" shrinkToFit="1"/>
    </xf>
    <xf numFmtId="165" fontId="7" fillId="0" borderId="65" applyAlignment="1" pivotButton="0" quotePrefix="0" xfId="1">
      <alignment vertical="center" wrapText="1" shrinkToFit="1"/>
    </xf>
    <xf numFmtId="165" fontId="7" fillId="0" borderId="66" applyAlignment="1" pivotButton="0" quotePrefix="0" xfId="1">
      <alignment vertical="center" wrapText="1" shrinkToFit="1"/>
    </xf>
    <xf numFmtId="165" fontId="7" fillId="0" borderId="66" applyAlignment="1" pivotButton="0" quotePrefix="0" xfId="1">
      <alignment horizontal="center" vertical="center" wrapText="1" shrinkToFit="1"/>
    </xf>
    <xf numFmtId="165" fontId="7" fillId="0" borderId="74" applyAlignment="1" pivotButton="0" quotePrefix="0" xfId="1">
      <alignment vertical="center" wrapText="1" shrinkToFit="1"/>
    </xf>
    <xf numFmtId="165" fontId="7" fillId="0" borderId="67" applyAlignment="1" pivotButton="0" quotePrefix="0" xfId="1">
      <alignment vertical="center" wrapText="1" shrinkToFit="1"/>
    </xf>
    <xf numFmtId="165" fontId="3" fillId="9" borderId="75" applyAlignment="1" pivotButton="0" quotePrefix="0" xfId="3">
      <alignment vertical="center"/>
    </xf>
    <xf numFmtId="165" fontId="3" fillId="9" borderId="76" applyAlignment="1" pivotButton="0" quotePrefix="0" xfId="3">
      <alignment vertical="center"/>
    </xf>
    <xf numFmtId="165" fontId="3" fillId="10" borderId="77" applyAlignment="1" pivotButton="0" quotePrefix="0" xfId="1">
      <alignment vertical="center" wrapText="1" shrinkToFit="1"/>
    </xf>
    <xf numFmtId="165" fontId="3" fillId="10" borderId="78" applyAlignment="1" pivotButton="0" quotePrefix="0" xfId="1">
      <alignment vertical="center" wrapText="1" shrinkToFit="1"/>
    </xf>
    <xf numFmtId="165" fontId="3" fillId="10" borderId="79" applyAlignment="1" pivotButton="0" quotePrefix="0" xfId="1">
      <alignment vertical="center" wrapText="1" shrinkToFit="1"/>
    </xf>
    <xf numFmtId="165" fontId="3" fillId="10" borderId="80" applyAlignment="1" pivotButton="0" quotePrefix="0" xfId="1">
      <alignment vertical="center" wrapText="1" shrinkToFit="1"/>
    </xf>
    <xf numFmtId="165" fontId="3" fillId="10" borderId="81" applyAlignment="1" pivotButton="0" quotePrefix="0" xfId="1">
      <alignment vertical="center" wrapText="1" shrinkToFit="1"/>
    </xf>
    <xf numFmtId="165" fontId="3" fillId="10" borderId="82" applyAlignment="1" pivotButton="0" quotePrefix="0" xfId="1">
      <alignment vertical="center" wrapText="1" shrinkToFit="1"/>
    </xf>
    <xf numFmtId="165" fontId="3" fillId="10" borderId="83" applyAlignment="1" pivotButton="0" quotePrefix="0" xfId="1">
      <alignment vertical="center" wrapText="1" shrinkToFit="1"/>
    </xf>
    <xf numFmtId="165" fontId="3" fillId="10" borderId="78" applyAlignment="1" pivotButton="0" quotePrefix="0" xfId="1">
      <alignment horizontal="center" vertical="center" wrapText="1" shrinkToFit="1"/>
    </xf>
    <xf numFmtId="165" fontId="3" fillId="10" borderId="84" applyAlignment="1" pivotButton="0" quotePrefix="0" xfId="1">
      <alignment vertical="center" wrapText="1" shrinkToFit="1"/>
    </xf>
    <xf numFmtId="165" fontId="3" fillId="9" borderId="85" applyAlignment="1" pivotButton="0" quotePrefix="0" xfId="1">
      <alignment vertical="center" wrapText="1" shrinkToFit="1"/>
    </xf>
    <xf numFmtId="165" fontId="3" fillId="10" borderId="86" applyAlignment="1" pivotButton="0" quotePrefix="0" xfId="1">
      <alignment vertical="center" wrapText="1" shrinkToFit="1"/>
    </xf>
    <xf numFmtId="165" fontId="3" fillId="10" borderId="79" applyAlignment="1" pivotButton="0" quotePrefix="0" xfId="1">
      <alignment horizontal="center" vertical="center" wrapText="1" shrinkToFit="1"/>
    </xf>
    <xf numFmtId="165" fontId="7" fillId="10" borderId="86" applyAlignment="1" pivotButton="0" quotePrefix="0" xfId="1">
      <alignment vertical="center" wrapText="1" shrinkToFit="1"/>
    </xf>
    <xf numFmtId="165" fontId="7" fillId="10" borderId="77" applyAlignment="1" pivotButton="0" quotePrefix="0" xfId="1">
      <alignment vertical="center" wrapText="1" shrinkToFit="1"/>
    </xf>
    <xf numFmtId="165" fontId="7" fillId="10" borderId="78" applyAlignment="1" pivotButton="0" quotePrefix="0" xfId="1">
      <alignment vertical="center" wrapText="1" shrinkToFit="1"/>
    </xf>
    <xf numFmtId="165" fontId="7" fillId="10" borderId="78" applyAlignment="1" pivotButton="0" quotePrefix="0" xfId="1">
      <alignment horizontal="center" vertical="center" wrapText="1" shrinkToFit="1"/>
    </xf>
    <xf numFmtId="165" fontId="7" fillId="10" borderId="87" applyAlignment="1" pivotButton="0" quotePrefix="0" xfId="1">
      <alignment vertical="center" wrapText="1" shrinkToFit="1"/>
    </xf>
    <xf numFmtId="165" fontId="7" fillId="10" borderId="79" applyAlignment="1" pivotButton="0" quotePrefix="0" xfId="1">
      <alignment vertical="center" wrapText="1" shrinkToFit="1"/>
    </xf>
    <xf numFmtId="165" fontId="2" fillId="0" borderId="0" applyAlignment="1" pivotButton="0" quotePrefix="0" xfId="1">
      <alignment vertical="center" wrapText="1" shrinkToFit="1"/>
    </xf>
    <xf numFmtId="165" fontId="2" fillId="0" borderId="0" applyAlignment="1" pivotButton="0" quotePrefix="0" xfId="0">
      <alignment vertical="center" wrapText="1" shrinkToFit="1"/>
    </xf>
    <xf numFmtId="165" fontId="2" fillId="0" borderId="0" applyAlignment="1" pivotButton="0" quotePrefix="0" xfId="0">
      <alignment horizontal="center" vertical="center" wrapText="1" shrinkToFit="1"/>
    </xf>
    <xf numFmtId="4" fontId="7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vertical="center" wrapText="1" shrinkToFi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2">
      <alignment vertical="center" wrapText="1" shrinkToFit="1"/>
    </xf>
    <xf numFmtId="0" fontId="10" fillId="0" borderId="0" applyAlignment="1" pivotButton="0" quotePrefix="0" xfId="3">
      <alignment horizontal="center" vertical="center" wrapText="1" shrinkToFit="1"/>
    </xf>
    <xf numFmtId="0" fontId="11" fillId="0" borderId="0" applyAlignment="1" pivotButton="0" quotePrefix="0" xfId="0">
      <alignment horizontal="center" vertical="center" wrapText="1" shrinkToFit="1"/>
    </xf>
    <xf numFmtId="0" fontId="11" fillId="0" borderId="0" applyAlignment="1" pivotButton="0" quotePrefix="0" xfId="0">
      <alignment vertical="center" wrapText="1" shrinkToFit="1"/>
    </xf>
    <xf numFmtId="0" fontId="12" fillId="0" borderId="0" applyAlignment="1" pivotButton="0" quotePrefix="0" xfId="0">
      <alignment horizontal="center" vertical="center" wrapText="1" shrinkToFit="1"/>
    </xf>
    <xf numFmtId="164" fontId="12" fillId="0" borderId="0" applyAlignment="1" pivotButton="0" quotePrefix="0" xfId="0">
      <alignment vertical="center" wrapText="1" shrinkToFit="1"/>
    </xf>
    <xf numFmtId="165" fontId="0" fillId="0" borderId="0" applyAlignment="1" pivotButton="0" quotePrefix="0" xfId="1">
      <alignment vertical="center" wrapText="1" shrinkToFit="1"/>
    </xf>
    <xf numFmtId="0" fontId="0" fillId="0" borderId="0" applyAlignment="1" pivotButton="0" quotePrefix="0" xfId="0">
      <alignment vertical="center" wrapText="1" shrinkToFit="1"/>
    </xf>
    <xf numFmtId="0" fontId="13" fillId="0" borderId="0" applyAlignment="1" pivotButton="0" quotePrefix="0" xfId="0">
      <alignment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center" vertical="center" wrapText="1" shrinkToFit="1"/>
    </xf>
    <xf numFmtId="0" fontId="0" fillId="0" borderId="0" applyAlignment="1" pivotButton="0" quotePrefix="0" xfId="0">
      <alignment vertical="center" shrinkToFit="1"/>
    </xf>
    <xf numFmtId="0" fontId="14" fillId="0" borderId="0" applyAlignment="1" pivotButton="0" quotePrefix="0" xfId="2">
      <alignment horizontal="center" vertical="center" wrapText="1" shrinkToFit="1"/>
    </xf>
    <xf numFmtId="0" fontId="15" fillId="0" borderId="0" pivotButton="0" quotePrefix="0" xfId="0"/>
    <xf numFmtId="0" fontId="16" fillId="0" borderId="0" pivotButton="0" quotePrefix="0" xfId="0"/>
    <xf numFmtId="165" fontId="13" fillId="0" borderId="0" applyAlignment="1" pivotButton="0" quotePrefix="0" xfId="0">
      <alignment vertical="center" wrapText="1" shrinkToFit="1"/>
    </xf>
    <xf numFmtId="165" fontId="17" fillId="0" borderId="0" applyAlignment="1" pivotButton="0" quotePrefix="0" xfId="0">
      <alignment vertical="center" wrapText="1" shrinkToFit="1"/>
    </xf>
    <xf numFmtId="165" fontId="11" fillId="2" borderId="18" applyAlignment="1" pivotButton="0" quotePrefix="0" xfId="5">
      <alignment horizontal="center" vertical="center" wrapText="1"/>
    </xf>
    <xf numFmtId="165" fontId="11" fillId="2" borderId="92" applyAlignment="1" pivotButton="0" quotePrefix="0" xfId="5">
      <alignment horizontal="center" vertical="center" wrapText="1"/>
    </xf>
    <xf numFmtId="165" fontId="11" fillId="8" borderId="15" applyAlignment="1" pivotButton="0" quotePrefix="0" xfId="5">
      <alignment horizontal="center" vertical="center" wrapText="1" shrinkToFit="1"/>
    </xf>
    <xf numFmtId="165" fontId="11" fillId="11" borderId="15" applyAlignment="1" pivotButton="0" quotePrefix="0" xfId="5">
      <alignment horizontal="center" vertical="center" wrapText="1" shrinkToFit="1"/>
    </xf>
    <xf numFmtId="165" fontId="11" fillId="3" borderId="15" applyAlignment="1" pivotButton="0" quotePrefix="0" xfId="0">
      <alignment horizontal="center" vertical="center" wrapText="1"/>
    </xf>
    <xf numFmtId="165" fontId="11" fillId="3" borderId="23" applyAlignment="1" pivotButton="0" quotePrefix="0" xfId="0">
      <alignment horizontal="center" vertical="center" wrapText="1"/>
    </xf>
    <xf numFmtId="165" fontId="11" fillId="4" borderId="12" applyAlignment="1" pivotButton="0" quotePrefix="0" xfId="0">
      <alignment horizontal="center" vertical="center" wrapText="1" shrinkToFit="1"/>
    </xf>
    <xf numFmtId="165" fontId="11" fillId="4" borderId="15" applyAlignment="1" pivotButton="0" quotePrefix="0" xfId="0">
      <alignment horizontal="center" vertical="center" wrapText="1" shrinkToFit="1"/>
    </xf>
    <xf numFmtId="165" fontId="11" fillId="4" borderId="22" applyAlignment="1" pivotButton="0" quotePrefix="0" xfId="0">
      <alignment horizontal="center" vertical="center" wrapText="1" shrinkToFit="1"/>
    </xf>
    <xf numFmtId="165" fontId="18" fillId="5" borderId="21" applyAlignment="1" pivotButton="0" quotePrefix="0" xfId="0">
      <alignment horizontal="center" vertical="center" wrapText="1" shrinkToFit="1"/>
    </xf>
    <xf numFmtId="165" fontId="18" fillId="5" borderId="93" applyAlignment="1" pivotButton="0" quotePrefix="0" xfId="0">
      <alignment horizontal="center" vertical="center" wrapText="1" shrinkToFit="1"/>
    </xf>
    <xf numFmtId="0" fontId="18" fillId="5" borderId="23" applyAlignment="1" pivotButton="0" quotePrefix="0" xfId="0">
      <alignment horizontal="center" vertical="center" wrapText="1" shrinkToFit="1"/>
    </xf>
    <xf numFmtId="165" fontId="18" fillId="6" borderId="12" applyAlignment="1" pivotButton="0" quotePrefix="0" xfId="0">
      <alignment horizontal="center" vertical="center" wrapText="1" shrinkToFit="1"/>
    </xf>
    <xf numFmtId="165" fontId="18" fillId="6" borderId="15" applyAlignment="1" pivotButton="0" quotePrefix="0" xfId="0">
      <alignment horizontal="center" vertical="center" wrapText="1" shrinkToFit="1"/>
    </xf>
    <xf numFmtId="165" fontId="18" fillId="6" borderId="22" applyAlignment="1" pivotButton="0" quotePrefix="0" xfId="0">
      <alignment horizontal="center" vertical="center" wrapText="1" shrinkToFit="1"/>
    </xf>
    <xf numFmtId="165" fontId="18" fillId="7" borderId="21" applyAlignment="1" pivotButton="0" quotePrefix="0" xfId="0">
      <alignment horizontal="center" vertical="center" wrapText="1" shrinkToFit="1"/>
    </xf>
    <xf numFmtId="165" fontId="18" fillId="7" borderId="22" applyAlignment="1" pivotButton="0" quotePrefix="0" xfId="0">
      <alignment horizontal="center" vertical="center" wrapText="1" shrinkToFit="1"/>
    </xf>
    <xf numFmtId="165" fontId="18" fillId="12" borderId="21" applyAlignment="1" pivotButton="0" quotePrefix="0" xfId="0">
      <alignment horizontal="center" vertical="center" wrapText="1" shrinkToFit="1"/>
    </xf>
    <xf numFmtId="165" fontId="18" fillId="12" borderId="22" applyAlignment="1" pivotButton="0" quotePrefix="0" xfId="0">
      <alignment horizontal="center" vertical="center" wrapText="1" shrinkToFit="1"/>
    </xf>
    <xf numFmtId="0" fontId="11" fillId="9" borderId="25" applyAlignment="1" pivotButton="0" quotePrefix="0" xfId="3">
      <alignment horizontal="left" vertical="center" wrapText="1" shrinkToFit="1"/>
    </xf>
    <xf numFmtId="165" fontId="11" fillId="9" borderId="25" applyAlignment="1" pivotButton="0" quotePrefix="0" xfId="1">
      <alignment vertical="center" wrapText="1" shrinkToFit="1"/>
    </xf>
    <xf numFmtId="0" fontId="11" fillId="9" borderId="25" applyAlignment="1" pivotButton="0" quotePrefix="0" xfId="0">
      <alignment vertical="center" wrapText="1" shrinkToFit="1"/>
    </xf>
    <xf numFmtId="0" fontId="11" fillId="9" borderId="94" applyAlignment="1" pivotButton="0" quotePrefix="0" xfId="0">
      <alignment vertical="center" wrapText="1" shrinkToFit="1"/>
    </xf>
    <xf numFmtId="0" fontId="11" fillId="9" borderId="25" applyAlignment="1" pivotButton="0" quotePrefix="0" xfId="0">
      <alignment horizontal="left" vertical="center" wrapText="1" shrinkToFit="1"/>
    </xf>
    <xf numFmtId="0" fontId="11" fillId="9" borderId="25" applyAlignment="1" pivotButton="0" quotePrefix="0" xfId="0">
      <alignment horizontal="center" vertical="center" wrapText="1" shrinkToFit="1"/>
    </xf>
    <xf numFmtId="0" fontId="11" fillId="9" borderId="26" applyAlignment="1" pivotButton="0" quotePrefix="0" xfId="0">
      <alignment vertical="center" wrapText="1" shrinkToFit="1"/>
    </xf>
    <xf numFmtId="0" fontId="11" fillId="0" borderId="27" applyAlignment="1" pivotButton="0" quotePrefix="0" xfId="3">
      <alignment horizontal="center" vertical="center" wrapText="1" shrinkToFit="1"/>
    </xf>
    <xf numFmtId="14" fontId="19" fillId="0" borderId="28" applyAlignment="1" pivotButton="0" quotePrefix="0" xfId="3">
      <alignment horizontal="right" vertical="center" shrinkToFit="1"/>
    </xf>
    <xf numFmtId="165" fontId="11" fillId="0" borderId="29" applyAlignment="1" pivotButton="0" quotePrefix="0" xfId="1">
      <alignment vertical="center" wrapText="1" shrinkToFit="1"/>
    </xf>
    <xf numFmtId="165" fontId="11" fillId="0" borderId="30" applyAlignment="1" pivotButton="0" quotePrefix="0" xfId="1">
      <alignment vertical="center" wrapText="1" shrinkToFit="1"/>
    </xf>
    <xf numFmtId="165" fontId="11" fillId="9" borderId="31" applyAlignment="1" pivotButton="0" quotePrefix="0" xfId="1">
      <alignment vertical="center" wrapText="1" shrinkToFit="1"/>
    </xf>
    <xf numFmtId="166" fontId="11" fillId="0" borderId="48" applyAlignment="1" pivotButton="0" quotePrefix="0" xfId="1">
      <alignment vertical="center" wrapText="1" shrinkToFit="1"/>
    </xf>
    <xf numFmtId="165" fontId="11" fillId="0" borderId="32" applyAlignment="1" pivotButton="0" quotePrefix="0" xfId="1">
      <alignment vertical="center" wrapText="1" shrinkToFit="1"/>
    </xf>
    <xf numFmtId="165" fontId="11" fillId="0" borderId="33" applyAlignment="1" pivotButton="0" quotePrefix="0" xfId="1">
      <alignment vertical="center" wrapText="1" shrinkToFit="1"/>
    </xf>
    <xf numFmtId="165" fontId="11" fillId="0" borderId="34" applyAlignment="1" pivotButton="0" quotePrefix="0" xfId="1">
      <alignment vertical="center" wrapText="1" shrinkToFit="1"/>
    </xf>
    <xf numFmtId="165" fontId="11" fillId="0" borderId="35" applyAlignment="1" pivotButton="0" quotePrefix="0" xfId="1">
      <alignment vertical="center" wrapText="1" shrinkToFit="1"/>
    </xf>
    <xf numFmtId="165" fontId="11" fillId="9" borderId="94" applyAlignment="1" pivotButton="0" quotePrefix="0" xfId="1">
      <alignment vertical="center" wrapText="1" shrinkToFit="1"/>
    </xf>
    <xf numFmtId="0" fontId="20" fillId="0" borderId="51" applyAlignment="1" pivotButton="0" quotePrefix="0" xfId="5">
      <alignment horizontal="center" vertical="center" shrinkToFit="1"/>
    </xf>
    <xf numFmtId="166" fontId="20" fillId="0" borderId="66" applyAlignment="1" pivotButton="0" quotePrefix="0" xfId="3">
      <alignment horizontal="center" vertical="center" shrinkToFit="1"/>
    </xf>
    <xf numFmtId="167" fontId="20" fillId="0" borderId="46" applyAlignment="1" pivotButton="0" quotePrefix="0" xfId="3">
      <alignment horizontal="center" vertical="center" shrinkToFit="1"/>
    </xf>
    <xf numFmtId="165" fontId="11" fillId="0" borderId="40" applyAlignment="1" pivotButton="0" quotePrefix="0" xfId="1">
      <alignment vertical="center" wrapText="1" shrinkToFit="1"/>
    </xf>
    <xf numFmtId="165" fontId="11" fillId="0" borderId="29" applyAlignment="1" pivotButton="0" quotePrefix="0" xfId="1">
      <alignment vertical="center" wrapText="1" shrinkToFit="1"/>
    </xf>
    <xf numFmtId="165" fontId="11" fillId="0" borderId="30" applyAlignment="1" pivotButton="0" quotePrefix="0" xfId="1">
      <alignment horizontal="center" vertical="center" wrapText="1" shrinkToFit="1"/>
    </xf>
    <xf numFmtId="165" fontId="11" fillId="0" borderId="53" applyAlignment="1" pivotButton="0" quotePrefix="0" xfId="1">
      <alignment horizontal="center" vertical="center" wrapText="1" shrinkToFit="1"/>
    </xf>
    <xf numFmtId="165" fontId="11" fillId="0" borderId="41" applyAlignment="1" pivotButton="0" quotePrefix="0" xfId="1">
      <alignment vertical="center" wrapText="1" shrinkToFit="1"/>
    </xf>
    <xf numFmtId="165" fontId="21" fillId="0" borderId="40" applyAlignment="1" pivotButton="0" quotePrefix="0" xfId="1">
      <alignment vertical="center" wrapText="1" shrinkToFit="1"/>
    </xf>
    <xf numFmtId="165" fontId="21" fillId="0" borderId="29" applyAlignment="1" pivotButton="0" quotePrefix="0" xfId="1">
      <alignment vertical="center" wrapText="1" shrinkToFit="1"/>
    </xf>
    <xf numFmtId="165" fontId="21" fillId="0" borderId="30" applyAlignment="1" pivotButton="0" quotePrefix="0" xfId="1">
      <alignment vertical="center" wrapText="1" shrinkToFit="1"/>
    </xf>
    <xf numFmtId="165" fontId="21" fillId="0" borderId="42" applyAlignment="1" pivotButton="0" quotePrefix="0" xfId="1">
      <alignment vertical="center" wrapText="1" shrinkToFit="1"/>
    </xf>
    <xf numFmtId="165" fontId="21" fillId="0" borderId="27" applyAlignment="1" pivotButton="0" quotePrefix="0" xfId="1">
      <alignment vertical="center" wrapText="1" shrinkToFit="1"/>
    </xf>
    <xf numFmtId="165" fontId="21" fillId="0" borderId="41" applyAlignment="1" pivotButton="0" quotePrefix="0" xfId="1">
      <alignment vertical="center" wrapText="1" shrinkToFit="1"/>
    </xf>
    <xf numFmtId="165" fontId="22" fillId="0" borderId="52" applyAlignment="1" pivotButton="0" quotePrefix="0" xfId="1">
      <alignment vertical="center" wrapText="1" shrinkToFit="1"/>
    </xf>
    <xf numFmtId="165" fontId="11" fillId="0" borderId="43" applyAlignment="1" pivotButton="0" quotePrefix="0" xfId="1">
      <alignment vertical="center" wrapText="1" shrinkToFit="1"/>
    </xf>
    <xf numFmtId="165" fontId="11" fillId="0" borderId="45" applyAlignment="1" pivotButton="0" quotePrefix="0" xfId="1">
      <alignment vertical="center" wrapText="1" shrinkToFit="1"/>
    </xf>
    <xf numFmtId="165" fontId="11" fillId="0" borderId="52" applyAlignment="1" pivotButton="0" quotePrefix="0" xfId="1">
      <alignment vertical="center" wrapText="1" shrinkToFit="1"/>
    </xf>
    <xf numFmtId="165" fontId="11" fillId="0" borderId="44" applyAlignment="1" pivotButton="0" quotePrefix="0" xfId="1">
      <alignment vertical="center" wrapText="1" shrinkToFit="1"/>
    </xf>
    <xf numFmtId="165" fontId="11" fillId="0" borderId="44" applyAlignment="1" pivotButton="0" quotePrefix="0" xfId="1">
      <alignment vertical="center" wrapText="1" shrinkToFit="1"/>
    </xf>
    <xf numFmtId="165" fontId="11" fillId="0" borderId="45" applyAlignment="1" pivotButton="0" quotePrefix="0" xfId="1">
      <alignment vertical="center" wrapText="1" shrinkToFit="1"/>
    </xf>
    <xf numFmtId="165" fontId="11" fillId="0" borderId="47" applyAlignment="1" pivotButton="0" quotePrefix="0" xfId="1">
      <alignment vertical="center" wrapText="1" shrinkToFit="1"/>
    </xf>
    <xf numFmtId="166" fontId="11" fillId="0" borderId="48" applyAlignment="1" pivotButton="0" quotePrefix="0" xfId="1">
      <alignment vertical="center" wrapText="1" shrinkToFit="1"/>
    </xf>
    <xf numFmtId="165" fontId="11" fillId="0" borderId="49" applyAlignment="1" pivotButton="0" quotePrefix="0" xfId="1">
      <alignment vertical="center" wrapText="1" shrinkToFit="1"/>
    </xf>
    <xf numFmtId="165" fontId="11" fillId="0" borderId="50" applyAlignment="1" pivotButton="0" quotePrefix="0" xfId="1">
      <alignment vertical="center" wrapText="1" shrinkToFit="1"/>
    </xf>
    <xf numFmtId="165" fontId="11" fillId="0" borderId="51" applyAlignment="1" pivotButton="0" quotePrefix="0" xfId="1">
      <alignment vertical="center" wrapText="1" shrinkToFit="1"/>
    </xf>
    <xf numFmtId="165" fontId="11" fillId="0" borderId="45" applyAlignment="1" pivotButton="0" quotePrefix="0" xfId="1">
      <alignment horizontal="center" vertical="center" wrapText="1" shrinkToFit="1"/>
    </xf>
    <xf numFmtId="167" fontId="23" fillId="0" borderId="45" applyAlignment="1" pivotButton="0" quotePrefix="0" xfId="3">
      <alignment horizontal="left" vertical="center" shrinkToFit="1"/>
    </xf>
    <xf numFmtId="165" fontId="22" fillId="0" borderId="45" applyAlignment="1" pivotButton="0" quotePrefix="0" xfId="1">
      <alignment vertical="center" wrapText="1" shrinkToFit="1"/>
    </xf>
    <xf numFmtId="167" fontId="22" fillId="0" borderId="45" applyAlignment="1" pivotButton="0" quotePrefix="0" xfId="3">
      <alignment horizontal="center" vertical="center" shrinkToFit="1"/>
    </xf>
    <xf numFmtId="165" fontId="22" fillId="0" borderId="49" applyAlignment="1" pivotButton="0" quotePrefix="0" xfId="1">
      <alignment vertical="center" wrapText="1" shrinkToFit="1"/>
    </xf>
    <xf numFmtId="165" fontId="11" fillId="0" borderId="48" applyAlignment="1" pivotButton="0" quotePrefix="0" xfId="1">
      <alignment vertical="center" wrapText="1" shrinkToFit="1"/>
    </xf>
    <xf numFmtId="167" fontId="11" fillId="0" borderId="45" applyAlignment="1" pivotButton="0" quotePrefix="0" xfId="3">
      <alignment horizontal="center" vertical="center" shrinkToFit="1"/>
    </xf>
    <xf numFmtId="0" fontId="11" fillId="0" borderId="95" applyAlignment="1" pivotButton="0" quotePrefix="0" xfId="3">
      <alignment horizontal="center" vertical="center" wrapText="1" shrinkToFit="1"/>
    </xf>
    <xf numFmtId="165" fontId="11" fillId="0" borderId="65" applyAlignment="1" pivotButton="0" quotePrefix="0" xfId="1">
      <alignment vertical="center" wrapText="1" shrinkToFit="1"/>
    </xf>
    <xf numFmtId="165" fontId="11" fillId="0" borderId="66" applyAlignment="1" pivotButton="0" quotePrefix="0" xfId="1">
      <alignment vertical="center" wrapText="1" shrinkToFit="1"/>
    </xf>
    <xf numFmtId="165" fontId="11" fillId="0" borderId="68" applyAlignment="1" pivotButton="0" quotePrefix="0" xfId="1">
      <alignment vertical="center" wrapText="1" shrinkToFit="1"/>
    </xf>
    <xf numFmtId="165" fontId="11" fillId="0" borderId="69" applyAlignment="1" pivotButton="0" quotePrefix="0" xfId="1">
      <alignment vertical="center" wrapText="1" shrinkToFit="1"/>
    </xf>
    <xf numFmtId="165" fontId="11" fillId="0" borderId="70" applyAlignment="1" pivotButton="0" quotePrefix="0" xfId="1">
      <alignment vertical="center" wrapText="1" shrinkToFit="1"/>
    </xf>
    <xf numFmtId="165" fontId="11" fillId="0" borderId="71" applyAlignment="1" pivotButton="0" quotePrefix="0" xfId="1">
      <alignment vertical="center" wrapText="1" shrinkToFit="1"/>
    </xf>
    <xf numFmtId="165" fontId="11" fillId="9" borderId="96" applyAlignment="1" pivotButton="0" quotePrefix="0" xfId="1">
      <alignment vertical="center" wrapText="1" shrinkToFit="1"/>
    </xf>
    <xf numFmtId="167" fontId="11" fillId="0" borderId="66" applyAlignment="1" pivotButton="0" quotePrefix="0" xfId="3">
      <alignment horizontal="center" vertical="center" shrinkToFit="1"/>
    </xf>
    <xf numFmtId="165" fontId="11" fillId="0" borderId="73" applyAlignment="1" pivotButton="0" quotePrefix="0" xfId="1">
      <alignment vertical="center" wrapText="1" shrinkToFit="1"/>
    </xf>
    <xf numFmtId="165" fontId="11" fillId="0" borderId="65" applyAlignment="1" pivotButton="0" quotePrefix="0" xfId="1">
      <alignment vertical="center" wrapText="1" shrinkToFit="1"/>
    </xf>
    <xf numFmtId="165" fontId="11" fillId="0" borderId="66" applyAlignment="1" pivotButton="0" quotePrefix="0" xfId="1">
      <alignment horizontal="center" vertical="center" wrapText="1" shrinkToFit="1"/>
    </xf>
    <xf numFmtId="165" fontId="11" fillId="0" borderId="97" applyAlignment="1" pivotButton="0" quotePrefix="0" xfId="1">
      <alignment horizontal="center" vertical="center" wrapText="1" shrinkToFit="1"/>
    </xf>
    <xf numFmtId="165" fontId="11" fillId="0" borderId="74" applyAlignment="1" pivotButton="0" quotePrefix="0" xfId="1">
      <alignment vertical="center" wrapText="1" shrinkToFit="1"/>
    </xf>
    <xf numFmtId="165" fontId="11" fillId="0" borderId="66" applyAlignment="1" pivotButton="0" quotePrefix="0" xfId="1">
      <alignment vertical="center" wrapText="1" shrinkToFit="1"/>
    </xf>
    <xf numFmtId="165" fontId="11" fillId="0" borderId="98" applyAlignment="1" pivotButton="0" quotePrefix="0" xfId="1">
      <alignment vertical="center" wrapText="1" shrinkToFit="1"/>
    </xf>
    <xf numFmtId="4" fontId="13" fillId="0" borderId="0" pivotButton="0" quotePrefix="0" xfId="0"/>
    <xf numFmtId="165" fontId="22" fillId="0" borderId="66" applyAlignment="1" pivotButton="0" quotePrefix="0" xfId="1">
      <alignment vertical="center" wrapText="1" shrinkToFit="1"/>
    </xf>
    <xf numFmtId="165" fontId="22" fillId="0" borderId="74" applyAlignment="1" pivotButton="0" quotePrefix="0" xfId="1">
      <alignment vertical="center" wrapText="1" shrinkToFit="1"/>
    </xf>
    <xf numFmtId="165" fontId="22" fillId="0" borderId="70" applyAlignment="1" pivotButton="0" quotePrefix="0" xfId="1">
      <alignment vertical="center" wrapText="1" shrinkToFit="1"/>
    </xf>
    <xf numFmtId="165" fontId="23" fillId="10" borderId="55" applyAlignment="1" pivotButton="0" quotePrefix="0" xfId="1">
      <alignment vertical="center" wrapText="1" shrinkToFit="1"/>
    </xf>
    <xf numFmtId="165" fontId="11" fillId="10" borderId="101" applyAlignment="1" pivotButton="0" quotePrefix="0" xfId="1">
      <alignment vertical="center" wrapText="1" shrinkToFit="1"/>
    </xf>
    <xf numFmtId="165" fontId="23" fillId="10" borderId="100" applyAlignment="1" pivotButton="0" quotePrefix="0" xfId="1">
      <alignment vertical="center" wrapText="1" shrinkToFit="1"/>
    </xf>
    <xf numFmtId="165" fontId="23" fillId="10" borderId="55" applyAlignment="1" pivotButton="0" quotePrefix="0" xfId="1">
      <alignment horizontal="left" vertical="center" wrapText="1" shrinkToFit="1"/>
    </xf>
    <xf numFmtId="165" fontId="18" fillId="10" borderId="55" applyAlignment="1" pivotButton="0" quotePrefix="0" xfId="1">
      <alignment vertical="center" wrapText="1" shrinkToFit="1"/>
    </xf>
    <xf numFmtId="165" fontId="18" fillId="10" borderId="56" applyAlignment="1" pivotButton="0" quotePrefix="0" xfId="1">
      <alignment vertical="center" wrapText="1" shrinkToFit="1"/>
    </xf>
    <xf numFmtId="165" fontId="23" fillId="9" borderId="102" applyAlignment="1" pivotButton="0" quotePrefix="0" xfId="3">
      <alignment horizontal="left" vertical="center"/>
    </xf>
    <xf numFmtId="165" fontId="23" fillId="9" borderId="36" applyAlignment="1" pivotButton="0" quotePrefix="0" xfId="3">
      <alignment vertical="center" wrapText="1" shrinkToFit="1"/>
    </xf>
    <xf numFmtId="165" fontId="23" fillId="9" borderId="34" applyAlignment="1" pivotButton="0" quotePrefix="0" xfId="3">
      <alignment vertical="center" wrapText="1" shrinkToFit="1"/>
    </xf>
    <xf numFmtId="165" fontId="23" fillId="9" borderId="29" applyAlignment="1" pivotButton="0" quotePrefix="0" xfId="1">
      <alignment vertical="center" wrapText="1" shrinkToFit="1"/>
    </xf>
    <xf numFmtId="165" fontId="23" fillId="9" borderId="30" applyAlignment="1" pivotButton="0" quotePrefix="0" xfId="1">
      <alignment vertical="center" wrapText="1" shrinkToFit="1"/>
    </xf>
    <xf numFmtId="165" fontId="23" fillId="9" borderId="31" applyAlignment="1" pivotButton="0" quotePrefix="0" xfId="1">
      <alignment vertical="center" wrapText="1" shrinkToFit="1"/>
    </xf>
    <xf numFmtId="165" fontId="23" fillId="9" borderId="32" applyAlignment="1" pivotButton="0" quotePrefix="0" xfId="1">
      <alignment vertical="center" wrapText="1" shrinkToFit="1"/>
    </xf>
    <xf numFmtId="165" fontId="23" fillId="9" borderId="33" applyAlignment="1" pivotButton="0" quotePrefix="0" xfId="1">
      <alignment vertical="center" wrapText="1" shrinkToFit="1"/>
    </xf>
    <xf numFmtId="165" fontId="23" fillId="9" borderId="34" applyAlignment="1" pivotButton="0" quotePrefix="0" xfId="1">
      <alignment vertical="center" wrapText="1" shrinkToFit="1"/>
    </xf>
    <xf numFmtId="165" fontId="11" fillId="9" borderId="35" applyAlignment="1" pivotButton="0" quotePrefix="0" xfId="1">
      <alignment vertical="center" wrapText="1" shrinkToFit="1"/>
    </xf>
    <xf numFmtId="165" fontId="11" fillId="9" borderId="34" applyAlignment="1" pivotButton="0" quotePrefix="0" xfId="1">
      <alignment vertical="center" wrapText="1" shrinkToFit="1"/>
    </xf>
    <xf numFmtId="165" fontId="11" fillId="9" borderId="103" applyAlignment="1" pivotButton="0" quotePrefix="0" xfId="1">
      <alignment vertical="center" wrapText="1" shrinkToFit="1"/>
    </xf>
    <xf numFmtId="165" fontId="23" fillId="9" borderId="31" applyAlignment="1" pivotButton="0" quotePrefix="0" xfId="1">
      <alignment horizontal="left" vertical="center" wrapText="1" shrinkToFit="1"/>
    </xf>
    <xf numFmtId="165" fontId="18" fillId="9" borderId="40" applyAlignment="1" pivotButton="0" quotePrefix="0" xfId="1">
      <alignment vertical="center" wrapText="1" shrinkToFit="1"/>
    </xf>
    <xf numFmtId="165" fontId="18" fillId="9" borderId="29" applyAlignment="1" pivotButton="0" quotePrefix="0" xfId="1">
      <alignment vertical="center" wrapText="1" shrinkToFit="1"/>
    </xf>
    <xf numFmtId="165" fontId="18" fillId="9" borderId="30" applyAlignment="1" pivotButton="0" quotePrefix="0" xfId="1">
      <alignment horizontal="center" vertical="center" wrapText="1" shrinkToFit="1"/>
    </xf>
    <xf numFmtId="165" fontId="18" fillId="9" borderId="42" applyAlignment="1" pivotButton="0" quotePrefix="0" xfId="1">
      <alignment horizontal="center" vertical="center" wrapText="1" shrinkToFit="1"/>
    </xf>
    <xf numFmtId="165" fontId="18" fillId="9" borderId="41" applyAlignment="1" pivotButton="0" quotePrefix="0" xfId="1">
      <alignment vertical="center" wrapText="1" shrinkToFit="1"/>
    </xf>
    <xf numFmtId="165" fontId="18" fillId="9" borderId="30" applyAlignment="1" pivotButton="0" quotePrefix="0" xfId="1">
      <alignment vertical="center" wrapText="1" shrinkToFit="1"/>
    </xf>
    <xf numFmtId="165" fontId="18" fillId="9" borderId="31" applyAlignment="1" pivotButton="0" quotePrefix="0" xfId="1">
      <alignment vertical="center" wrapText="1" shrinkToFit="1"/>
    </xf>
    <xf numFmtId="165" fontId="18" fillId="9" borderId="34" applyAlignment="1" pivotButton="0" quotePrefix="0" xfId="1">
      <alignment vertical="center" wrapText="1" shrinkToFit="1"/>
    </xf>
    <xf numFmtId="165" fontId="11" fillId="0" borderId="43" applyAlignment="1" pivotButton="0" quotePrefix="0" xfId="3">
      <alignment horizontal="center" vertical="center" wrapText="1" shrinkToFit="1"/>
    </xf>
    <xf numFmtId="14" fontId="11" fillId="0" borderId="28" applyAlignment="1" pivotButton="0" quotePrefix="0" xfId="3">
      <alignment horizontal="right" vertical="center" shrinkToFit="1"/>
    </xf>
    <xf numFmtId="14" fontId="11" fillId="0" borderId="49" applyAlignment="1" pivotButton="0" quotePrefix="0" xfId="3">
      <alignment horizontal="right" vertical="center" shrinkToFit="1"/>
    </xf>
    <xf numFmtId="165" fontId="23" fillId="9" borderId="46" applyAlignment="1" pivotButton="0" quotePrefix="0" xfId="1">
      <alignment vertical="center" wrapText="1" shrinkToFit="1"/>
    </xf>
    <xf numFmtId="166" fontId="11" fillId="0" borderId="47" applyAlignment="1" pivotButton="0" quotePrefix="0" xfId="1">
      <alignment vertical="top" wrapText="1" shrinkToFit="1"/>
    </xf>
    <xf numFmtId="0" fontId="11" fillId="0" borderId="46" applyAlignment="1" pivotButton="0" quotePrefix="0" xfId="5">
      <alignment horizontal="left" vertical="center" shrinkToFit="1"/>
    </xf>
    <xf numFmtId="165" fontId="18" fillId="0" borderId="51" applyAlignment="1" pivotButton="0" quotePrefix="0" xfId="1">
      <alignment vertical="center" wrapText="1" shrinkToFit="1"/>
    </xf>
    <xf numFmtId="165" fontId="18" fillId="0" borderId="44" applyAlignment="1" pivotButton="0" quotePrefix="0" xfId="1">
      <alignment vertical="center" wrapText="1" shrinkToFit="1"/>
    </xf>
    <xf numFmtId="165" fontId="18" fillId="0" borderId="45" applyAlignment="1" pivotButton="0" quotePrefix="0" xfId="1">
      <alignment horizontal="center" vertical="center" wrapText="1" shrinkToFit="1"/>
    </xf>
    <xf numFmtId="165" fontId="18" fillId="0" borderId="53" applyAlignment="1" pivotButton="0" quotePrefix="0" xfId="1">
      <alignment horizontal="center" vertical="center" wrapText="1" shrinkToFit="1"/>
    </xf>
    <xf numFmtId="165" fontId="18" fillId="0" borderId="52" applyAlignment="1" pivotButton="0" quotePrefix="0" xfId="1">
      <alignment vertical="center" wrapText="1" shrinkToFit="1"/>
    </xf>
    <xf numFmtId="165" fontId="18" fillId="0" borderId="45" applyAlignment="1" pivotButton="0" quotePrefix="0" xfId="1">
      <alignment vertical="center" wrapText="1" shrinkToFit="1"/>
    </xf>
    <xf numFmtId="165" fontId="18" fillId="0" borderId="46" applyAlignment="1" pivotButton="0" quotePrefix="0" xfId="1">
      <alignment vertical="center" wrapText="1" shrinkToFit="1"/>
    </xf>
    <xf numFmtId="165" fontId="18" fillId="0" borderId="49" applyAlignment="1" pivotButton="0" quotePrefix="0" xfId="1">
      <alignment vertical="center" wrapText="1" shrinkToFit="1"/>
    </xf>
    <xf numFmtId="166" fontId="11" fillId="0" borderId="46" applyAlignment="1" pivotButton="0" quotePrefix="0" xfId="3">
      <alignment horizontal="left" vertical="center" shrinkToFit="1"/>
    </xf>
    <xf numFmtId="0" fontId="24" fillId="0" borderId="0" applyAlignment="1" pivotButton="0" quotePrefix="0" xfId="0">
      <alignment vertical="center" wrapText="1"/>
    </xf>
    <xf numFmtId="14" fontId="11" fillId="0" borderId="70" applyAlignment="1" pivotButton="0" quotePrefix="0" xfId="3">
      <alignment horizontal="right" vertical="center" shrinkToFit="1"/>
    </xf>
    <xf numFmtId="165" fontId="23" fillId="9" borderId="67" applyAlignment="1" pivotButton="0" quotePrefix="0" xfId="1">
      <alignment vertical="center" wrapText="1" shrinkToFit="1"/>
    </xf>
    <xf numFmtId="166" fontId="11" fillId="0" borderId="68" applyAlignment="1" pivotButton="0" quotePrefix="0" xfId="1">
      <alignment vertical="top" wrapText="1" shrinkToFit="1"/>
    </xf>
    <xf numFmtId="165" fontId="18" fillId="0" borderId="73" applyAlignment="1" pivotButton="0" quotePrefix="0" xfId="1">
      <alignment vertical="center" wrapText="1" shrinkToFit="1"/>
    </xf>
    <xf numFmtId="165" fontId="18" fillId="0" borderId="65" applyAlignment="1" pivotButton="0" quotePrefix="0" xfId="1">
      <alignment vertical="center" wrapText="1" shrinkToFit="1"/>
    </xf>
    <xf numFmtId="165" fontId="18" fillId="0" borderId="66" applyAlignment="1" pivotButton="0" quotePrefix="0" xfId="1">
      <alignment horizontal="center" vertical="center" wrapText="1" shrinkToFit="1"/>
    </xf>
    <xf numFmtId="165" fontId="18" fillId="0" borderId="97" applyAlignment="1" pivotButton="0" quotePrefix="0" xfId="1">
      <alignment horizontal="center" vertical="center" wrapText="1" shrinkToFit="1"/>
    </xf>
    <xf numFmtId="165" fontId="18" fillId="0" borderId="74" applyAlignment="1" pivotButton="0" quotePrefix="0" xfId="1">
      <alignment vertical="center" wrapText="1" shrinkToFit="1"/>
    </xf>
    <xf numFmtId="165" fontId="18" fillId="0" borderId="66" applyAlignment="1" pivotButton="0" quotePrefix="0" xfId="1">
      <alignment vertical="center" wrapText="1" shrinkToFit="1"/>
    </xf>
    <xf numFmtId="165" fontId="18" fillId="0" borderId="67" applyAlignment="1" pivotButton="0" quotePrefix="0" xfId="1">
      <alignment vertical="center" wrapText="1" shrinkToFit="1"/>
    </xf>
    <xf numFmtId="165" fontId="18" fillId="0" borderId="70" applyAlignment="1" pivotButton="0" quotePrefix="0" xfId="1">
      <alignment vertical="center" wrapText="1" shrinkToFit="1"/>
    </xf>
    <xf numFmtId="165" fontId="23" fillId="9" borderId="75" applyAlignment="1" pivotButton="0" quotePrefix="0" xfId="3">
      <alignment horizontal="left" vertical="center"/>
    </xf>
    <xf numFmtId="165" fontId="23" fillId="9" borderId="76" applyAlignment="1" pivotButton="0" quotePrefix="0" xfId="3">
      <alignment vertical="center"/>
    </xf>
    <xf numFmtId="165" fontId="23" fillId="9" borderId="104" applyAlignment="1" pivotButton="0" quotePrefix="0" xfId="3">
      <alignment vertical="center"/>
    </xf>
    <xf numFmtId="165" fontId="23" fillId="10" borderId="77" applyAlignment="1" pivotButton="0" quotePrefix="0" xfId="1">
      <alignment vertical="center" wrapText="1" shrinkToFit="1"/>
    </xf>
    <xf numFmtId="165" fontId="23" fillId="10" borderId="78" applyAlignment="1" pivotButton="0" quotePrefix="0" xfId="1">
      <alignment vertical="center" wrapText="1" shrinkToFit="1"/>
    </xf>
    <xf numFmtId="165" fontId="23" fillId="10" borderId="79" applyAlignment="1" pivotButton="0" quotePrefix="0" xfId="1">
      <alignment vertical="center" wrapText="1" shrinkToFit="1"/>
    </xf>
    <xf numFmtId="165" fontId="23" fillId="10" borderId="80" applyAlignment="1" pivotButton="0" quotePrefix="0" xfId="1">
      <alignment vertical="center" wrapText="1" shrinkToFit="1"/>
    </xf>
    <xf numFmtId="165" fontId="23" fillId="10" borderId="81" applyAlignment="1" pivotButton="0" quotePrefix="0" xfId="1">
      <alignment vertical="center" wrapText="1" shrinkToFit="1"/>
    </xf>
    <xf numFmtId="165" fontId="23" fillId="10" borderId="82" applyAlignment="1" pivotButton="0" quotePrefix="0" xfId="1">
      <alignment vertical="center" wrapText="1" shrinkToFit="1"/>
    </xf>
    <xf numFmtId="165" fontId="11" fillId="10" borderId="83" applyAlignment="1" pivotButton="0" quotePrefix="0" xfId="1">
      <alignment vertical="center" wrapText="1" shrinkToFit="1"/>
    </xf>
    <xf numFmtId="165" fontId="11" fillId="10" borderId="82" applyAlignment="1" pivotButton="0" quotePrefix="0" xfId="1">
      <alignment vertical="center" wrapText="1" shrinkToFit="1"/>
    </xf>
    <xf numFmtId="165" fontId="11" fillId="10" borderId="84" applyAlignment="1" pivotButton="0" quotePrefix="0" xfId="1">
      <alignment vertical="center" wrapText="1" shrinkToFit="1"/>
    </xf>
    <xf numFmtId="165" fontId="23" fillId="10" borderId="86" applyAlignment="1" pivotButton="0" quotePrefix="0" xfId="1">
      <alignment vertical="center" wrapText="1" shrinkToFit="1"/>
    </xf>
    <xf numFmtId="165" fontId="23" fillId="10" borderId="79" applyAlignment="1" pivotButton="0" quotePrefix="0" xfId="1">
      <alignment horizontal="left" vertical="center" wrapText="1" shrinkToFit="1"/>
    </xf>
    <xf numFmtId="165" fontId="18" fillId="10" borderId="86" applyAlignment="1" pivotButton="0" quotePrefix="0" xfId="1">
      <alignment vertical="center" wrapText="1" shrinkToFit="1"/>
    </xf>
    <xf numFmtId="165" fontId="18" fillId="10" borderId="77" applyAlignment="1" pivotButton="0" quotePrefix="0" xfId="1">
      <alignment vertical="center" wrapText="1" shrinkToFit="1"/>
    </xf>
    <xf numFmtId="165" fontId="18" fillId="10" borderId="78" applyAlignment="1" pivotButton="0" quotePrefix="0" xfId="1">
      <alignment horizontal="center" vertical="center" wrapText="1" shrinkToFit="1"/>
    </xf>
    <xf numFmtId="165" fontId="18" fillId="10" borderId="105" applyAlignment="1" pivotButton="0" quotePrefix="0" xfId="1">
      <alignment horizontal="center" vertical="center" wrapText="1" shrinkToFit="1"/>
    </xf>
    <xf numFmtId="165" fontId="18" fillId="10" borderId="87" applyAlignment="1" pivotButton="0" quotePrefix="0" xfId="1">
      <alignment vertical="center" wrapText="1" shrinkToFit="1"/>
    </xf>
    <xf numFmtId="165" fontId="18" fillId="10" borderId="78" applyAlignment="1" pivotButton="0" quotePrefix="0" xfId="1">
      <alignment vertical="center" wrapText="1" shrinkToFit="1"/>
    </xf>
    <xf numFmtId="165" fontId="18" fillId="10" borderId="79" applyAlignment="1" pivotButton="0" quotePrefix="0" xfId="1">
      <alignment vertical="center" wrapText="1" shrinkToFit="1"/>
    </xf>
    <xf numFmtId="165" fontId="18" fillId="10" borderId="82" applyAlignment="1" pivotButton="0" quotePrefix="0" xfId="1">
      <alignment vertical="center" wrapText="1" shrinkToFit="1"/>
    </xf>
    <xf numFmtId="168" fontId="11" fillId="10" borderId="55" applyAlignment="1" pivotButton="0" quotePrefix="0" xfId="3">
      <alignment horizontal="center" vertical="center" wrapText="1" shrinkToFit="1"/>
    </xf>
    <xf numFmtId="165" fontId="11" fillId="10" borderId="55" applyAlignment="1" pivotButton="0" quotePrefix="0" xfId="1">
      <alignment vertical="center" wrapText="1" shrinkToFit="1"/>
    </xf>
    <xf numFmtId="49" fontId="23" fillId="0" borderId="0" applyAlignment="1" pivotButton="0" quotePrefix="0" xfId="0">
      <alignment horizontal="left" vertical="center"/>
    </xf>
    <xf numFmtId="0" fontId="23" fillId="0" borderId="38" applyAlignment="1" pivotButton="0" quotePrefix="0" xfId="3">
      <alignment horizontal="left" vertical="center" shrinkToFit="1"/>
    </xf>
    <xf numFmtId="49" fontId="23" fillId="0" borderId="0" applyAlignment="1" pivotButton="0" quotePrefix="0" xfId="0">
      <alignment horizontal="left" vertical="center" wrapText="1"/>
    </xf>
    <xf numFmtId="165" fontId="11" fillId="0" borderId="42" applyAlignment="1" pivotButton="0" quotePrefix="0" xfId="1">
      <alignment horizontal="center" vertical="center" wrapText="1" shrinkToFit="1"/>
    </xf>
    <xf numFmtId="165" fontId="11" fillId="0" borderId="30" applyAlignment="1" pivotButton="0" quotePrefix="0" xfId="1">
      <alignment vertical="center" wrapText="1" shrinkToFit="1"/>
    </xf>
    <xf numFmtId="165" fontId="11" fillId="0" borderId="27" applyAlignment="1" pivotButton="0" quotePrefix="0" xfId="1">
      <alignment vertical="center" wrapText="1" shrinkToFit="1"/>
    </xf>
    <xf numFmtId="165" fontId="22" fillId="0" borderId="30" applyAlignment="1" pivotButton="0" quotePrefix="0" xfId="1">
      <alignment vertical="center" wrapText="1" shrinkToFit="1"/>
    </xf>
    <xf numFmtId="165" fontId="22" fillId="0" borderId="41" applyAlignment="1" pivotButton="0" quotePrefix="0" xfId="1">
      <alignment vertical="center" wrapText="1" shrinkToFit="1"/>
    </xf>
    <xf numFmtId="165" fontId="21" fillId="0" borderId="44" applyAlignment="1" pivotButton="0" quotePrefix="0" xfId="1">
      <alignment vertical="center" wrapText="1" shrinkToFit="1"/>
    </xf>
    <xf numFmtId="165" fontId="21" fillId="0" borderId="53" applyAlignment="1" pivotButton="0" quotePrefix="0" xfId="1">
      <alignment vertical="center" wrapText="1" shrinkToFit="1"/>
    </xf>
    <xf numFmtId="0" fontId="23" fillId="0" borderId="45" applyAlignment="1" pivotButton="0" quotePrefix="0" xfId="5">
      <alignment horizontal="left" vertical="center" shrinkToFit="1"/>
    </xf>
    <xf numFmtId="0" fontId="17" fillId="0" borderId="0" pivotButton="0" quotePrefix="0" xfId="0"/>
    <xf numFmtId="169" fontId="17" fillId="0" borderId="0" pivotButton="0" quotePrefix="0" xfId="0"/>
    <xf numFmtId="49" fontId="22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vertical="center" wrapText="1" shrinkToFit="1"/>
    </xf>
    <xf numFmtId="166" fontId="12" fillId="0" borderId="0" applyAlignment="1" pivotButton="0" quotePrefix="0" xfId="0">
      <alignment horizontal="center" vertical="center" wrapText="1" shrinkToFit="1"/>
    </xf>
    <xf numFmtId="0" fontId="25" fillId="0" borderId="0" applyAlignment="1" pivotButton="0" quotePrefix="0" xfId="2">
      <alignment vertical="center" wrapText="1" shrinkToFit="1"/>
    </xf>
    <xf numFmtId="0" fontId="11" fillId="9" borderId="94" applyAlignment="1" pivotButton="0" quotePrefix="0" xfId="0">
      <alignment horizontal="center" vertical="center" wrapText="1" shrinkToFit="1"/>
    </xf>
    <xf numFmtId="14" fontId="19" fillId="0" borderId="28" applyAlignment="1" pivotButton="0" quotePrefix="0" xfId="3">
      <alignment horizontal="center" vertical="center" shrinkToFit="1"/>
    </xf>
    <xf numFmtId="165" fontId="11" fillId="11" borderId="29" applyAlignment="1" pivotButton="0" quotePrefix="0" xfId="1">
      <alignment vertical="center" wrapText="1" shrinkToFit="1"/>
    </xf>
    <xf numFmtId="165" fontId="11" fillId="2" borderId="29" applyAlignment="1" pivotButton="0" quotePrefix="0" xfId="1">
      <alignment vertical="center" wrapText="1" shrinkToFit="1"/>
    </xf>
    <xf numFmtId="165" fontId="1" fillId="10" borderId="107" applyAlignment="1" pivotButton="0" quotePrefix="0" xfId="1">
      <alignment horizontal="center" vertical="center" wrapText="1" shrinkToFit="1"/>
    </xf>
    <xf numFmtId="165" fontId="1" fillId="10" borderId="15" applyAlignment="1" pivotButton="0" quotePrefix="0" xfId="1">
      <alignment horizontal="center" vertical="center" wrapText="1" shrinkToFit="1"/>
    </xf>
    <xf numFmtId="165" fontId="1" fillId="10" borderId="108" applyAlignment="1" pivotButton="0" quotePrefix="0" xfId="1">
      <alignment horizontal="center" vertical="center" wrapText="1" shrinkToFit="1"/>
    </xf>
    <xf numFmtId="165" fontId="1" fillId="10" borderId="21" applyAlignment="1" pivotButton="0" quotePrefix="0" xfId="1">
      <alignment horizontal="center" vertical="center" wrapText="1" shrinkToFit="1"/>
    </xf>
    <xf numFmtId="165" fontId="1" fillId="10" borderId="23" applyAlignment="1" pivotButton="0" quotePrefix="0" xfId="1">
      <alignment horizontal="center" vertical="center" wrapText="1" shrinkToFit="1"/>
    </xf>
    <xf numFmtId="165" fontId="1" fillId="13" borderId="93" applyAlignment="1" pivotButton="0" quotePrefix="0" xfId="1">
      <alignment horizontal="center" vertical="center" wrapText="1" shrinkToFit="1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8" fillId="2" borderId="0" applyAlignment="1" pivotButton="0" quotePrefix="0" xfId="5">
      <alignment vertical="center"/>
    </xf>
    <xf numFmtId="165" fontId="48" fillId="2" borderId="0" applyAlignment="1" pivotButton="0" quotePrefix="0" xfId="5">
      <alignment horizontal="center" vertical="center"/>
    </xf>
    <xf numFmtId="0" fontId="48" fillId="2" borderId="0" applyAlignment="1" pivotButton="0" quotePrefix="0" xfId="5">
      <alignment horizontal="center" vertical="center"/>
    </xf>
    <xf numFmtId="10" fontId="13" fillId="2" borderId="0" pivotButton="0" quotePrefix="0" xfId="0"/>
    <xf numFmtId="10" fontId="29" fillId="14" borderId="0" applyAlignment="1" pivotButton="0" quotePrefix="0" xfId="0">
      <alignment horizontal="center" vertical="center"/>
    </xf>
    <xf numFmtId="0" fontId="26" fillId="0" borderId="109" applyAlignment="1" pivotButton="0" quotePrefix="0" xfId="0">
      <alignment horizontal="left" vertical="center" indent="2"/>
    </xf>
    <xf numFmtId="165" fontId="26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center" vertical="center"/>
    </xf>
    <xf numFmtId="4" fontId="26" fillId="0" borderId="0" applyAlignment="1" pivotButton="0" quotePrefix="0" xfId="0">
      <alignment horizontal="center" vertical="center"/>
    </xf>
    <xf numFmtId="0" fontId="31" fillId="15" borderId="110" applyAlignment="1" pivotButton="0" quotePrefix="0" xfId="0">
      <alignment horizontal="center" vertical="center"/>
    </xf>
    <xf numFmtId="165" fontId="31" fillId="15" borderId="111" applyAlignment="1" pivotButton="0" quotePrefix="0" xfId="0">
      <alignment horizontal="center" vertical="center"/>
    </xf>
    <xf numFmtId="0" fontId="31" fillId="15" borderId="112" applyAlignment="1" pivotButton="0" quotePrefix="0" xfId="0">
      <alignment horizontal="center" vertical="center"/>
    </xf>
    <xf numFmtId="165" fontId="31" fillId="15" borderId="113" applyAlignment="1" pivotButton="0" quotePrefix="0" xfId="0">
      <alignment horizontal="center" vertical="center"/>
    </xf>
    <xf numFmtId="10" fontId="32" fillId="15" borderId="113" applyAlignment="1" pivotButton="0" quotePrefix="0" xfId="0">
      <alignment horizontal="center" vertical="center"/>
    </xf>
    <xf numFmtId="0" fontId="33" fillId="16" borderId="114" applyAlignment="1" pivotButton="0" quotePrefix="0" xfId="0">
      <alignment horizontal="center" vertical="center"/>
    </xf>
    <xf numFmtId="165" fontId="33" fillId="16" borderId="115" applyAlignment="1" pivotButton="0" quotePrefix="0" xfId="0">
      <alignment horizontal="center" vertical="center"/>
    </xf>
    <xf numFmtId="0" fontId="33" fillId="16" borderId="116" applyAlignment="1" pivotButton="0" quotePrefix="0" xfId="0">
      <alignment horizontal="center" vertical="center"/>
    </xf>
    <xf numFmtId="165" fontId="33" fillId="16" borderId="117" applyAlignment="1" pivotButton="0" quotePrefix="0" xfId="0">
      <alignment horizontal="center" vertical="center"/>
    </xf>
    <xf numFmtId="10" fontId="11" fillId="16" borderId="117" applyAlignment="1" pivotButton="0" quotePrefix="0" xfId="0">
      <alignment horizontal="center" vertical="center"/>
    </xf>
    <xf numFmtId="0" fontId="33" fillId="17" borderId="114" applyAlignment="1" pivotButton="0" quotePrefix="0" xfId="0">
      <alignment horizontal="left" vertical="center" indent="1"/>
    </xf>
    <xf numFmtId="165" fontId="33" fillId="17" borderId="116" applyAlignment="1" pivotButton="0" quotePrefix="0" xfId="0">
      <alignment horizontal="center" vertical="center"/>
    </xf>
    <xf numFmtId="165" fontId="33" fillId="17" borderId="117" applyAlignment="1" pivotButton="0" quotePrefix="0" xfId="0">
      <alignment horizontal="center" vertical="center"/>
    </xf>
    <xf numFmtId="10" fontId="11" fillId="17" borderId="117" applyAlignment="1" pivotButton="0" quotePrefix="0" xfId="0">
      <alignment horizontal="center" vertical="center"/>
    </xf>
    <xf numFmtId="0" fontId="33" fillId="18" borderId="109" applyAlignment="1" pivotButton="0" quotePrefix="0" xfId="0">
      <alignment horizontal="left" vertical="center" indent="2"/>
    </xf>
    <xf numFmtId="165" fontId="33" fillId="18" borderId="118" applyAlignment="1" pivotButton="0" quotePrefix="0" xfId="0">
      <alignment horizontal="center" vertical="center"/>
    </xf>
    <xf numFmtId="0" fontId="33" fillId="18" borderId="118" applyAlignment="1" pivotButton="0" quotePrefix="0" xfId="0">
      <alignment horizontal="center" vertical="center"/>
    </xf>
    <xf numFmtId="165" fontId="33" fillId="18" borderId="119" applyAlignment="1" pivotButton="0" quotePrefix="0" xfId="0">
      <alignment horizontal="center" vertical="center"/>
    </xf>
    <xf numFmtId="10" fontId="11" fillId="18" borderId="120" applyAlignment="1" pivotButton="0" quotePrefix="0" xfId="0">
      <alignment horizontal="center" vertical="center"/>
    </xf>
    <xf numFmtId="0" fontId="33" fillId="17" borderId="116" applyAlignment="1" pivotButton="0" quotePrefix="0" xfId="0">
      <alignment horizontal="center" vertical="center"/>
    </xf>
    <xf numFmtId="0" fontId="33" fillId="16" borderId="121" applyAlignment="1" pivotButton="0" quotePrefix="0" xfId="0">
      <alignment horizontal="center" vertical="center"/>
    </xf>
    <xf numFmtId="165" fontId="33" fillId="16" borderId="121" applyAlignment="1" pivotButton="0" quotePrefix="0" xfId="0">
      <alignment horizontal="center" vertical="center"/>
    </xf>
    <xf numFmtId="10" fontId="11" fillId="16" borderId="121" applyAlignment="1" pivotButton="0" quotePrefix="0" xfId="0">
      <alignment horizontal="center" vertical="center"/>
    </xf>
    <xf numFmtId="165" fontId="33" fillId="17" borderId="122" applyAlignment="1" pivotButton="0" quotePrefix="0" xfId="0">
      <alignment horizontal="center" vertical="center"/>
    </xf>
    <xf numFmtId="10" fontId="11" fillId="17" borderId="122" applyAlignment="1" pivotButton="0" quotePrefix="0" xfId="0">
      <alignment horizontal="center" vertical="center"/>
    </xf>
    <xf numFmtId="165" fontId="33" fillId="18" borderId="120" applyAlignment="1" pivotButton="0" quotePrefix="0" xfId="0">
      <alignment horizontal="center" vertical="center"/>
    </xf>
    <xf numFmtId="0" fontId="33" fillId="19" borderId="109" applyAlignment="1" pivotButton="0" quotePrefix="0" xfId="0">
      <alignment horizontal="left" vertical="center" indent="2"/>
    </xf>
    <xf numFmtId="165" fontId="33" fillId="16" borderId="116" applyAlignment="1" pivotButton="0" quotePrefix="0" xfId="0">
      <alignment horizontal="center" vertical="center"/>
    </xf>
    <xf numFmtId="165" fontId="33" fillId="16" borderId="122" applyAlignment="1" pivotButton="0" quotePrefix="0" xfId="0">
      <alignment horizontal="center" vertical="center"/>
    </xf>
    <xf numFmtId="10" fontId="11" fillId="16" borderId="122" applyAlignment="1" pivotButton="0" quotePrefix="0" xfId="0">
      <alignment horizontal="center" vertical="center"/>
    </xf>
    <xf numFmtId="0" fontId="34" fillId="20" borderId="123" applyAlignment="1" pivotButton="0" quotePrefix="0" xfId="0">
      <alignment horizontal="center" vertical="center" wrapText="1"/>
    </xf>
    <xf numFmtId="165" fontId="35" fillId="20" borderId="124" applyAlignment="1" pivotButton="0" quotePrefix="0" xfId="0">
      <alignment horizontal="center" vertical="center"/>
    </xf>
    <xf numFmtId="165" fontId="36" fillId="20" borderId="125" applyAlignment="1" pivotButton="0" quotePrefix="0" xfId="0">
      <alignment horizontal="center" vertical="center"/>
    </xf>
    <xf numFmtId="10" fontId="29" fillId="20" borderId="125" applyAlignment="1" pivotButton="0" quotePrefix="0" xfId="0">
      <alignment horizontal="center" vertical="center"/>
    </xf>
    <xf numFmtId="0" fontId="33" fillId="21" borderId="126" applyAlignment="1" pivotButton="0" quotePrefix="0" xfId="0">
      <alignment horizontal="right" vertical="center"/>
    </xf>
    <xf numFmtId="165" fontId="37" fillId="21" borderId="127" applyAlignment="1" pivotButton="0" quotePrefix="0" xfId="0">
      <alignment horizontal="center" vertical="center"/>
    </xf>
    <xf numFmtId="0" fontId="38" fillId="21" borderId="127" applyAlignment="1" pivotButton="0" quotePrefix="0" xfId="0">
      <alignment horizontal="center" vertical="center"/>
    </xf>
    <xf numFmtId="0" fontId="33" fillId="21" borderId="127" applyAlignment="1" pivotButton="0" quotePrefix="0" xfId="0">
      <alignment horizontal="center" vertical="center"/>
    </xf>
    <xf numFmtId="170" fontId="39" fillId="21" borderId="127" applyAlignment="1" pivotButton="0" quotePrefix="0" xfId="0">
      <alignment horizontal="center" vertical="center"/>
    </xf>
    <xf numFmtId="0" fontId="38" fillId="21" borderId="128" applyAlignment="1" pivotButton="0" quotePrefix="0" xfId="0">
      <alignment horizontal="center" vertical="center"/>
    </xf>
    <xf numFmtId="10" fontId="10" fillId="21" borderId="128" applyAlignment="1" pivotButton="0" quotePrefix="0" xfId="0">
      <alignment horizontal="center" vertical="center"/>
    </xf>
    <xf numFmtId="0" fontId="33" fillId="21" borderId="129" applyAlignment="1" pivotButton="0" quotePrefix="0" xfId="0">
      <alignment horizontal="right" vertical="center"/>
    </xf>
    <xf numFmtId="165" fontId="39" fillId="21" borderId="127" applyAlignment="1" pivotButton="0" quotePrefix="0" xfId="0">
      <alignment horizontal="center" vertical="center"/>
    </xf>
    <xf numFmtId="0" fontId="38" fillId="21" borderId="130" applyAlignment="1" pivotButton="0" quotePrefix="0" xfId="0">
      <alignment horizontal="center" vertical="center"/>
    </xf>
    <xf numFmtId="0" fontId="33" fillId="21" borderId="130" applyAlignment="1" pivotButton="0" quotePrefix="0" xfId="0">
      <alignment horizontal="center" vertical="center"/>
    </xf>
    <xf numFmtId="10" fontId="40" fillId="21" borderId="130" applyAlignment="1" pivotButton="0" quotePrefix="0" xfId="0">
      <alignment horizontal="center" vertical="center"/>
    </xf>
    <xf numFmtId="0" fontId="38" fillId="21" borderId="131" applyAlignment="1" pivotButton="0" quotePrefix="0" xfId="0">
      <alignment horizontal="center" vertical="center"/>
    </xf>
    <xf numFmtId="10" fontId="10" fillId="21" borderId="131" applyAlignment="1" pivotButton="0" quotePrefix="0" xfId="0">
      <alignment horizontal="center" vertical="center"/>
    </xf>
    <xf numFmtId="165" fontId="41" fillId="22" borderId="132" applyAlignment="1" pivotButton="0" quotePrefix="0" xfId="5">
      <alignment horizontal="center" vertical="center"/>
    </xf>
    <xf numFmtId="165" fontId="41" fillId="22" borderId="132" applyAlignment="1" pivotButton="0" quotePrefix="0" xfId="5">
      <alignment vertical="center"/>
    </xf>
    <xf numFmtId="10" fontId="0" fillId="2" borderId="0" pivotButton="0" quotePrefix="0" xfId="0"/>
    <xf numFmtId="165" fontId="6" fillId="2" borderId="132" applyAlignment="1" pivotButton="0" quotePrefix="0" xfId="5">
      <alignment vertical="center"/>
    </xf>
    <xf numFmtId="165" fontId="48" fillId="2" borderId="0" applyAlignment="1" pivotButton="0" quotePrefix="0" xfId="5">
      <alignment vertical="center"/>
    </xf>
    <xf numFmtId="10" fontId="13" fillId="2" borderId="0" applyAlignment="1" pivotButton="0" quotePrefix="0" xfId="5">
      <alignment horizontal="center" vertical="center"/>
    </xf>
    <xf numFmtId="0" fontId="28" fillId="14" borderId="109" applyAlignment="1" pivotButton="0" quotePrefix="0" xfId="0">
      <alignment horizontal="center" vertical="center"/>
    </xf>
    <xf numFmtId="165" fontId="28" fillId="14" borderId="0" applyAlignment="1" pivotButton="0" quotePrefix="0" xfId="0">
      <alignment horizontal="center" vertical="center"/>
    </xf>
    <xf numFmtId="0" fontId="28" fillId="14" borderId="0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 shrinkToFit="1"/>
    </xf>
    <xf numFmtId="165" fontId="10" fillId="8" borderId="89" applyAlignment="1" pivotButton="0" quotePrefix="0" xfId="3">
      <alignment horizontal="center" vertical="center" wrapText="1" shrinkToFit="1"/>
    </xf>
    <xf numFmtId="165" fontId="10" fillId="8" borderId="90" applyAlignment="1" pivotButton="0" quotePrefix="0" xfId="3">
      <alignment horizontal="center" vertical="center" wrapText="1" shrinkToFit="1"/>
    </xf>
    <xf numFmtId="165" fontId="10" fillId="8" borderId="9" applyAlignment="1" pivotButton="0" quotePrefix="0" xfId="3">
      <alignment horizontal="center" vertical="center" wrapText="1" shrinkToFit="1"/>
    </xf>
    <xf numFmtId="165" fontId="10" fillId="11" borderId="89" applyAlignment="1" pivotButton="0" quotePrefix="0" xfId="3">
      <alignment horizontal="center" vertical="center" wrapText="1" shrinkToFit="1"/>
    </xf>
    <xf numFmtId="165" fontId="10" fillId="11" borderId="90" applyAlignment="1" pivotButton="0" quotePrefix="0" xfId="3">
      <alignment horizontal="center" vertical="center" wrapText="1" shrinkToFit="1"/>
    </xf>
    <xf numFmtId="165" fontId="10" fillId="11" borderId="9" applyAlignment="1" pivotButton="0" quotePrefix="0" xfId="3">
      <alignment horizontal="center" vertical="center" wrapText="1" shrinkToFit="1"/>
    </xf>
    <xf numFmtId="165" fontId="10" fillId="3" borderId="3" applyAlignment="1" pivotButton="0" quotePrefix="0" xfId="3">
      <alignment horizontal="center" vertical="center" shrinkToFit="1"/>
    </xf>
    <xf numFmtId="165" fontId="10" fillId="3" borderId="9" applyAlignment="1" pivotButton="0" quotePrefix="0" xfId="3">
      <alignment horizontal="center" vertical="center" shrinkToFit="1"/>
    </xf>
    <xf numFmtId="165" fontId="10" fillId="3" borderId="4" applyAlignment="1" pivotButton="0" quotePrefix="0" xfId="3">
      <alignment horizontal="center" vertical="center" shrinkToFit="1"/>
    </xf>
    <xf numFmtId="165" fontId="10" fillId="3" borderId="11" applyAlignment="1" pivotButton="0" quotePrefix="0" xfId="3">
      <alignment horizontal="center" vertical="center" shrinkToFit="1"/>
    </xf>
    <xf numFmtId="165" fontId="10" fillId="4" borderId="1" applyAlignment="1" pivotButton="0" quotePrefix="0" xfId="3">
      <alignment horizontal="center" vertical="center" wrapText="1" shrinkToFit="1"/>
    </xf>
    <xf numFmtId="165" fontId="10" fillId="4" borderId="4" applyAlignment="1" pivotButton="0" quotePrefix="0" xfId="3">
      <alignment horizontal="center" vertical="center" wrapText="1" shrinkToFit="1"/>
    </xf>
    <xf numFmtId="165" fontId="10" fillId="4" borderId="10" applyAlignment="1" pivotButton="0" quotePrefix="0" xfId="3">
      <alignment horizontal="center" vertical="center" wrapText="1" shrinkToFit="1"/>
    </xf>
    <xf numFmtId="165" fontId="10" fillId="5" borderId="9" applyAlignment="1" pivotButton="0" quotePrefix="0" xfId="3">
      <alignment horizontal="center" vertical="center" wrapText="1" shrinkToFit="1"/>
    </xf>
    <xf numFmtId="165" fontId="10" fillId="5" borderId="90" applyAlignment="1" pivotButton="0" quotePrefix="0" xfId="3">
      <alignment horizontal="center" vertical="center" wrapText="1" shrinkToFit="1"/>
    </xf>
    <xf numFmtId="165" fontId="10" fillId="5" borderId="11" applyAlignment="1" pivotButton="0" quotePrefix="0" xfId="3">
      <alignment horizontal="center" vertical="center" wrapText="1" shrinkToFit="1"/>
    </xf>
    <xf numFmtId="165" fontId="10" fillId="6" borderId="1" applyAlignment="1" pivotButton="0" quotePrefix="0" xfId="3">
      <alignment horizontal="center" vertical="center" wrapText="1" shrinkToFit="1"/>
    </xf>
    <xf numFmtId="165" fontId="10" fillId="6" borderId="4" applyAlignment="1" pivotButton="0" quotePrefix="0" xfId="3">
      <alignment horizontal="center" vertical="center" wrapText="1" shrinkToFit="1"/>
    </xf>
    <xf numFmtId="165" fontId="10" fillId="6" borderId="10" applyAlignment="1" pivotButton="0" quotePrefix="0" xfId="3">
      <alignment horizontal="center" vertical="center" wrapText="1" shrinkToFit="1"/>
    </xf>
    <xf numFmtId="165" fontId="10" fillId="7" borderId="9" applyAlignment="1" pivotButton="0" quotePrefix="0" xfId="3">
      <alignment horizontal="center" vertical="center" wrapText="1" shrinkToFit="1"/>
    </xf>
    <xf numFmtId="165" fontId="10" fillId="7" borderId="10" applyAlignment="1" pivotButton="0" quotePrefix="0" xfId="3">
      <alignment horizontal="center" vertical="center" wrapText="1" shrinkToFit="1"/>
    </xf>
    <xf numFmtId="165" fontId="10" fillId="12" borderId="9" applyAlignment="1" pivotButton="0" quotePrefix="0" xfId="3">
      <alignment horizontal="center" vertical="center" wrapText="1" shrinkToFit="1"/>
    </xf>
    <xf numFmtId="165" fontId="10" fillId="12" borderId="10" applyAlignment="1" pivotButton="0" quotePrefix="0" xfId="3">
      <alignment horizontal="center" vertical="center" wrapText="1" shrinkToFit="1"/>
    </xf>
    <xf numFmtId="0" fontId="11" fillId="9" borderId="24" applyAlignment="1" pivotButton="0" quotePrefix="0" xfId="3">
      <alignment horizontal="center" vertical="center" wrapText="1" shrinkToFit="1"/>
    </xf>
    <xf numFmtId="0" fontId="11" fillId="9" borderId="25" applyAlignment="1" pivotButton="0" quotePrefix="0" xfId="3">
      <alignment horizontal="left" vertical="center" wrapText="1" shrinkToFit="1"/>
    </xf>
    <xf numFmtId="0" fontId="1" fillId="0" borderId="106" applyAlignment="1" pivotButton="0" quotePrefix="0" xfId="0">
      <alignment horizontal="center" vertical="center" wrapText="1" shrinkToFit="1"/>
    </xf>
    <xf numFmtId="0" fontId="1" fillId="0" borderId="93" applyAlignment="1" pivotButton="0" quotePrefix="0" xfId="0">
      <alignment horizontal="center" vertical="center" wrapText="1" shrinkToFit="1"/>
    </xf>
    <xf numFmtId="0" fontId="10" fillId="2" borderId="1" applyAlignment="1" pivotButton="0" quotePrefix="0" xfId="3">
      <alignment horizontal="center" vertical="center" wrapText="1" shrinkToFit="1"/>
    </xf>
    <xf numFmtId="0" fontId="10" fillId="2" borderId="12" applyAlignment="1" pivotButton="0" quotePrefix="0" xfId="3">
      <alignment horizontal="center" vertical="center" wrapText="1" shrinkToFit="1"/>
    </xf>
    <xf numFmtId="164" fontId="10" fillId="2" borderId="2" applyAlignment="1" pivotButton="0" quotePrefix="0" xfId="3">
      <alignment horizontal="center" vertical="center" wrapText="1" shrinkToFit="1"/>
    </xf>
    <xf numFmtId="164" fontId="10" fillId="2" borderId="13" applyAlignment="1" pivotButton="0" quotePrefix="0" xfId="3">
      <alignment horizontal="center" vertical="center" wrapText="1" shrinkToFit="1"/>
    </xf>
    <xf numFmtId="164" fontId="10" fillId="11" borderId="88" applyAlignment="1" pivotButton="0" quotePrefix="0" xfId="3">
      <alignment horizontal="center" vertical="center" wrapText="1" shrinkToFit="1"/>
    </xf>
    <xf numFmtId="164" fontId="10" fillId="11" borderId="91" applyAlignment="1" pivotButton="0" quotePrefix="0" xfId="3">
      <alignment horizontal="center" vertical="center" wrapText="1" shrinkToFit="1"/>
    </xf>
    <xf numFmtId="165" fontId="10" fillId="3" borderId="3" applyAlignment="1" pivotButton="0" quotePrefix="0" xfId="1">
      <alignment horizontal="center" vertical="center" wrapText="1" shrinkToFit="1"/>
    </xf>
    <xf numFmtId="165" fontId="10" fillId="3" borderId="14" applyAlignment="1" pivotButton="0" quotePrefix="0" xfId="1">
      <alignment horizontal="center" vertical="center" wrapText="1" shrinkToFit="1"/>
    </xf>
    <xf numFmtId="165" fontId="10" fillId="4" borderId="4" applyAlignment="1" pivotButton="0" quotePrefix="0" xfId="1">
      <alignment horizontal="center" vertical="center" wrapText="1" shrinkToFit="1"/>
    </xf>
    <xf numFmtId="165" fontId="10" fillId="4" borderId="15" applyAlignment="1" pivotButton="0" quotePrefix="0" xfId="1">
      <alignment horizontal="center" vertical="center" wrapText="1" shrinkToFit="1"/>
    </xf>
    <xf numFmtId="165" fontId="10" fillId="5" borderId="4" applyAlignment="1" pivotButton="0" quotePrefix="0" xfId="1">
      <alignment horizontal="center" vertical="center" wrapText="1" shrinkToFit="1"/>
    </xf>
    <xf numFmtId="165" fontId="10" fillId="5" borderId="15" applyAlignment="1" pivotButton="0" quotePrefix="0" xfId="1">
      <alignment horizontal="center" vertical="center" wrapText="1" shrinkToFit="1"/>
    </xf>
    <xf numFmtId="165" fontId="10" fillId="6" borderId="4" applyAlignment="1" pivotButton="0" quotePrefix="0" xfId="1">
      <alignment horizontal="center" vertical="center" wrapText="1" shrinkToFit="1"/>
    </xf>
    <xf numFmtId="165" fontId="10" fillId="6" borderId="15" applyAlignment="1" pivotButton="0" quotePrefix="0" xfId="1">
      <alignment horizontal="center" vertical="center" wrapText="1" shrinkToFit="1"/>
    </xf>
    <xf numFmtId="165" fontId="10" fillId="7" borderId="4" applyAlignment="1" pivotButton="0" quotePrefix="0" xfId="3">
      <alignment horizontal="center" vertical="center" wrapText="1" shrinkToFit="1"/>
    </xf>
    <xf numFmtId="165" fontId="10" fillId="7" borderId="15" applyAlignment="1" pivotButton="0" quotePrefix="0" xfId="3">
      <alignment horizontal="center" vertical="center" wrapText="1" shrinkToFit="1"/>
    </xf>
    <xf numFmtId="165" fontId="10" fillId="8" borderId="4" applyAlignment="1" pivotButton="0" quotePrefix="0" xfId="3">
      <alignment horizontal="center" vertical="center" wrapText="1" shrinkToFit="1"/>
    </xf>
    <xf numFmtId="165" fontId="10" fillId="8" borderId="15" applyAlignment="1" pivotButton="0" quotePrefix="0" xfId="3">
      <alignment horizontal="center" vertical="center" wrapText="1" shrinkToFit="1"/>
    </xf>
    <xf numFmtId="165" fontId="10" fillId="9" borderId="2" applyAlignment="1" pivotButton="0" quotePrefix="0" xfId="0">
      <alignment horizontal="center" vertical="center" wrapText="1" shrinkToFit="1"/>
    </xf>
    <xf numFmtId="165" fontId="10" fillId="9" borderId="13" applyAlignment="1" pivotButton="0" quotePrefix="0" xfId="0">
      <alignment horizontal="center" vertical="center" wrapText="1" shrinkToFit="1"/>
    </xf>
    <xf numFmtId="171" fontId="10" fillId="0" borderId="5" applyAlignment="1" pivotButton="0" quotePrefix="0" xfId="0">
      <alignment horizontal="center" vertical="center" wrapText="1" shrinkToFit="1"/>
    </xf>
    <xf numFmtId="171" fontId="10" fillId="0" borderId="16" applyAlignment="1" pivotButton="0" quotePrefix="0" xfId="0">
      <alignment horizontal="center" vertical="center" wrapText="1" shrinkToFit="1"/>
    </xf>
    <xf numFmtId="166" fontId="10" fillId="0" borderId="5" applyAlignment="1" pivotButton="0" quotePrefix="0" xfId="0">
      <alignment horizontal="center" vertical="center" wrapText="1" shrinkToFit="1"/>
    </xf>
    <xf numFmtId="166" fontId="10" fillId="0" borderId="16" applyAlignment="1" pivotButton="0" quotePrefix="0" xfId="0">
      <alignment horizontal="center" vertical="center" wrapText="1" shrinkToFit="1"/>
    </xf>
    <xf numFmtId="171" fontId="10" fillId="2" borderId="6" applyAlignment="1" pivotButton="0" quotePrefix="0" xfId="0">
      <alignment horizontal="center" vertical="center" wrapText="1" shrinkToFit="1"/>
    </xf>
    <xf numFmtId="171" fontId="10" fillId="2" borderId="17" applyAlignment="1" pivotButton="0" quotePrefix="0" xfId="0">
      <alignment horizontal="center" vertical="center" wrapText="1" shrinkToFit="1"/>
    </xf>
    <xf numFmtId="170" fontId="10" fillId="9" borderId="5" applyAlignment="1" pivotButton="0" quotePrefix="0" xfId="0">
      <alignment horizontal="center" vertical="center" wrapText="1" shrinkToFit="1"/>
    </xf>
    <xf numFmtId="170" fontId="10" fillId="9" borderId="68" applyAlignment="1" pivotButton="0" quotePrefix="0" xfId="0">
      <alignment horizontal="center" vertical="center" wrapText="1" shrinkToFit="1"/>
    </xf>
    <xf numFmtId="165" fontId="10" fillId="2" borderId="3" applyAlignment="1" pivotButton="0" quotePrefix="0" xfId="0">
      <alignment horizontal="center" vertical="center" wrapText="1" shrinkToFit="1"/>
    </xf>
    <xf numFmtId="165" fontId="10" fillId="2" borderId="14" applyAlignment="1" pivotButton="0" quotePrefix="0" xfId="0">
      <alignment horizontal="center" vertical="center" wrapText="1" shrinkToFit="1"/>
    </xf>
    <xf numFmtId="165" fontId="10" fillId="2" borderId="4" applyAlignment="1" pivotButton="0" quotePrefix="0" xfId="0">
      <alignment horizontal="center" vertical="center" wrapText="1" shrinkToFit="1"/>
    </xf>
    <xf numFmtId="165" fontId="10" fillId="2" borderId="15" applyAlignment="1" pivotButton="0" quotePrefix="0" xfId="0">
      <alignment horizontal="center" vertical="center" wrapText="1" shrinkToFit="1"/>
    </xf>
    <xf numFmtId="0" fontId="10" fillId="0" borderId="8" applyAlignment="1" pivotButton="0" quotePrefix="0" xfId="0">
      <alignment horizontal="center" vertical="center" wrapText="1" shrinkToFit="1"/>
    </xf>
    <xf numFmtId="0" fontId="10" fillId="0" borderId="20" applyAlignment="1" pivotButton="0" quotePrefix="0" xfId="0">
      <alignment horizontal="center" vertical="center" wrapText="1" shrinkToFit="1"/>
    </xf>
    <xf numFmtId="0" fontId="11" fillId="10" borderId="99" applyAlignment="1" pivotButton="0" quotePrefix="0" xfId="3">
      <alignment horizontal="center" vertical="center" wrapText="1" shrinkToFit="1"/>
    </xf>
    <xf numFmtId="0" fontId="11" fillId="10" borderId="100" applyAlignment="1" pivotButton="0" quotePrefix="0" xfId="3">
      <alignment horizontal="center" vertical="center" wrapText="1" shrinkToFit="1"/>
    </xf>
    <xf numFmtId="0" fontId="1" fillId="2" borderId="7" applyAlignment="1" pivotButton="0" quotePrefix="0" xfId="0">
      <alignment horizontal="center" vertical="center" wrapText="1" shrinkToFit="1"/>
    </xf>
    <xf numFmtId="165" fontId="1" fillId="8" borderId="3" applyAlignment="1" pivotButton="0" quotePrefix="0" xfId="3">
      <alignment horizontal="center" vertical="center" wrapText="1" shrinkToFit="1"/>
    </xf>
    <xf numFmtId="165" fontId="1" fillId="8" borderId="9" applyAlignment="1" pivotButton="0" quotePrefix="0" xfId="3">
      <alignment horizontal="center" vertical="center" wrapText="1" shrinkToFit="1"/>
    </xf>
    <xf numFmtId="165" fontId="1" fillId="8" borderId="4" applyAlignment="1" pivotButton="0" quotePrefix="0" xfId="3">
      <alignment horizontal="center" vertical="center" wrapText="1" shrinkToFit="1"/>
    </xf>
    <xf numFmtId="165" fontId="1" fillId="8" borderId="10" applyAlignment="1" pivotButton="0" quotePrefix="0" xfId="3">
      <alignment horizontal="center" vertical="center" wrapText="1" shrinkToFit="1"/>
    </xf>
    <xf numFmtId="165" fontId="1" fillId="3" borderId="3" applyAlignment="1" pivotButton="0" quotePrefix="0" xfId="3">
      <alignment horizontal="center" vertical="center" shrinkToFit="1"/>
    </xf>
    <xf numFmtId="165" fontId="1" fillId="3" borderId="9" applyAlignment="1" pivotButton="0" quotePrefix="0" xfId="3">
      <alignment horizontal="center" vertical="center" shrinkToFit="1"/>
    </xf>
    <xf numFmtId="165" fontId="1" fillId="3" borderId="4" applyAlignment="1" pivotButton="0" quotePrefix="0" xfId="3">
      <alignment horizontal="center" vertical="center" shrinkToFit="1"/>
    </xf>
    <xf numFmtId="165" fontId="1" fillId="3" borderId="11" applyAlignment="1" pivotButton="0" quotePrefix="0" xfId="3">
      <alignment horizontal="center" vertical="center" shrinkToFit="1"/>
    </xf>
    <xf numFmtId="165" fontId="1" fillId="4" borderId="1" applyAlignment="1" pivotButton="0" quotePrefix="0" xfId="3">
      <alignment horizontal="center" vertical="center" wrapText="1" shrinkToFit="1"/>
    </xf>
    <xf numFmtId="165" fontId="1" fillId="4" borderId="4" applyAlignment="1" pivotButton="0" quotePrefix="0" xfId="3">
      <alignment horizontal="center" vertical="center" wrapText="1" shrinkToFit="1"/>
    </xf>
    <xf numFmtId="165" fontId="1" fillId="4" borderId="10" applyAlignment="1" pivotButton="0" quotePrefix="0" xfId="3">
      <alignment horizontal="center" vertical="center" wrapText="1" shrinkToFit="1"/>
    </xf>
    <xf numFmtId="165" fontId="1" fillId="5" borderId="9" applyAlignment="1" pivotButton="0" quotePrefix="0" xfId="3">
      <alignment horizontal="center" vertical="center" wrapText="1" shrinkToFit="1"/>
    </xf>
    <xf numFmtId="165" fontId="1" fillId="5" borderId="11" applyAlignment="1" pivotButton="0" quotePrefix="0" xfId="3">
      <alignment horizontal="center" vertical="center" wrapText="1" shrinkToFit="1"/>
    </xf>
    <xf numFmtId="165" fontId="1" fillId="6" borderId="1" applyAlignment="1" pivotButton="0" quotePrefix="0" xfId="3">
      <alignment horizontal="center" vertical="center" wrapText="1" shrinkToFit="1"/>
    </xf>
    <xf numFmtId="165" fontId="1" fillId="6" borderId="4" applyAlignment="1" pivotButton="0" quotePrefix="0" xfId="3">
      <alignment horizontal="center" vertical="center" wrapText="1" shrinkToFit="1"/>
    </xf>
    <xf numFmtId="165" fontId="1" fillId="6" borderId="10" applyAlignment="1" pivotButton="0" quotePrefix="0" xfId="3">
      <alignment horizontal="center" vertical="center" wrapText="1" shrinkToFit="1"/>
    </xf>
    <xf numFmtId="165" fontId="1" fillId="7" borderId="9" applyAlignment="1" pivotButton="0" quotePrefix="0" xfId="3">
      <alignment horizontal="center" vertical="center" wrapText="1" shrinkToFit="1"/>
    </xf>
    <xf numFmtId="165" fontId="1" fillId="7" borderId="4" applyAlignment="1" pivotButton="0" quotePrefix="0" xfId="3">
      <alignment horizontal="center" vertical="center" wrapText="1" shrinkToFit="1"/>
    </xf>
    <xf numFmtId="165" fontId="1" fillId="7" borderId="10" applyAlignment="1" pivotButton="0" quotePrefix="0" xfId="3">
      <alignment horizontal="center" vertical="center" wrapText="1" shrinkToFit="1"/>
    </xf>
    <xf numFmtId="0" fontId="3" fillId="9" borderId="24" applyAlignment="1" pivotButton="0" quotePrefix="0" xfId="3">
      <alignment horizontal="left" vertical="center" wrapText="1" shrinkToFit="1"/>
    </xf>
    <xf numFmtId="0" fontId="3" fillId="9" borderId="25" applyAlignment="1" pivotButton="0" quotePrefix="0" xfId="3">
      <alignment horizontal="left" vertical="center" wrapText="1" shrinkToFit="1"/>
    </xf>
    <xf numFmtId="0" fontId="1" fillId="10" borderId="54" applyAlignment="1" pivotButton="0" quotePrefix="0" xfId="3">
      <alignment horizontal="center" vertical="center" wrapText="1" shrinkToFit="1"/>
    </xf>
    <xf numFmtId="168" fontId="1" fillId="10" borderId="55" applyAlignment="1" pivotButton="0" quotePrefix="0" xfId="3">
      <alignment horizontal="center" vertical="center" wrapText="1" shrinkToFit="1"/>
    </xf>
    <xf numFmtId="0" fontId="1" fillId="2" borderId="1" applyAlignment="1" pivotButton="0" quotePrefix="0" xfId="3">
      <alignment horizontal="center" vertical="center" wrapText="1" shrinkToFit="1"/>
    </xf>
    <xf numFmtId="0" fontId="1" fillId="2" borderId="12" applyAlignment="1" pivotButton="0" quotePrefix="0" xfId="3">
      <alignment horizontal="center" vertical="center" wrapText="1" shrinkToFit="1"/>
    </xf>
    <xf numFmtId="164" fontId="1" fillId="2" borderId="2" applyAlignment="1" pivotButton="0" quotePrefix="0" xfId="3">
      <alignment horizontal="center" vertical="center" wrapText="1" shrinkToFit="1"/>
    </xf>
    <xf numFmtId="164" fontId="1" fillId="2" borderId="13" applyAlignment="1" pivotButton="0" quotePrefix="0" xfId="3">
      <alignment horizontal="center" vertical="center" wrapText="1" shrinkToFit="1"/>
    </xf>
    <xf numFmtId="165" fontId="1" fillId="3" borderId="3" applyAlignment="1" pivotButton="0" quotePrefix="0" xfId="1">
      <alignment horizontal="center" vertical="center" wrapText="1" shrinkToFit="1"/>
    </xf>
    <xf numFmtId="165" fontId="1" fillId="3" borderId="14" applyAlignment="1" pivotButton="0" quotePrefix="0" xfId="1">
      <alignment horizontal="center" vertical="center" wrapText="1" shrinkToFit="1"/>
    </xf>
    <xf numFmtId="165" fontId="1" fillId="4" borderId="4" applyAlignment="1" pivotButton="0" quotePrefix="0" xfId="1">
      <alignment horizontal="center" vertical="center" wrapText="1" shrinkToFit="1"/>
    </xf>
    <xf numFmtId="165" fontId="1" fillId="4" borderId="15" applyAlignment="1" pivotButton="0" quotePrefix="0" xfId="1">
      <alignment horizontal="center" vertical="center" wrapText="1" shrinkToFit="1"/>
    </xf>
    <xf numFmtId="165" fontId="1" fillId="5" borderId="4" applyAlignment="1" pivotButton="0" quotePrefix="0" xfId="1">
      <alignment horizontal="center" vertical="center" wrapText="1" shrinkToFit="1"/>
    </xf>
    <xf numFmtId="165" fontId="1" fillId="5" borderId="15" applyAlignment="1" pivotButton="0" quotePrefix="0" xfId="1">
      <alignment horizontal="center" vertical="center" wrapText="1" shrinkToFit="1"/>
    </xf>
    <xf numFmtId="165" fontId="1" fillId="6" borderId="4" applyAlignment="1" pivotButton="0" quotePrefix="0" xfId="1">
      <alignment horizontal="center" vertical="center" wrapText="1" shrinkToFit="1"/>
    </xf>
    <xf numFmtId="165" fontId="1" fillId="6" borderId="15" applyAlignment="1" pivotButton="0" quotePrefix="0" xfId="1">
      <alignment horizontal="center" vertical="center" wrapText="1" shrinkToFit="1"/>
    </xf>
    <xf numFmtId="165" fontId="1" fillId="7" borderId="15" applyAlignment="1" pivotButton="0" quotePrefix="0" xfId="3">
      <alignment horizontal="center" vertical="center" wrapText="1" shrinkToFit="1"/>
    </xf>
    <xf numFmtId="165" fontId="1" fillId="8" borderId="15" applyAlignment="1" pivotButton="0" quotePrefix="0" xfId="3">
      <alignment horizontal="center" vertical="center" wrapText="1" shrinkToFit="1"/>
    </xf>
    <xf numFmtId="165" fontId="1" fillId="9" borderId="2" applyAlignment="1" pivotButton="0" quotePrefix="0" xfId="0">
      <alignment horizontal="center" vertical="center" wrapText="1" shrinkToFit="1"/>
    </xf>
    <xf numFmtId="165" fontId="1" fillId="9" borderId="13" applyAlignment="1" pivotButton="0" quotePrefix="0" xfId="0">
      <alignment horizontal="center" vertical="center" wrapText="1" shrinkToFit="1"/>
    </xf>
    <xf numFmtId="171" fontId="1" fillId="0" borderId="5" applyAlignment="1" pivotButton="0" quotePrefix="0" xfId="0">
      <alignment horizontal="center" vertical="center" wrapText="1" shrinkToFit="1"/>
    </xf>
    <xf numFmtId="171" fontId="1" fillId="0" borderId="16" applyAlignment="1" pivotButton="0" quotePrefix="0" xfId="0">
      <alignment horizontal="center" vertical="center" wrapText="1" shrinkToFit="1"/>
    </xf>
    <xf numFmtId="166" fontId="1" fillId="0" borderId="5" applyAlignment="1" pivotButton="0" quotePrefix="0" xfId="0">
      <alignment horizontal="center" vertical="center" wrapText="1" shrinkToFit="1"/>
    </xf>
    <xf numFmtId="166" fontId="1" fillId="0" borderId="16" applyAlignment="1" pivotButton="0" quotePrefix="0" xfId="0">
      <alignment horizontal="center" vertical="center" wrapText="1" shrinkToFit="1"/>
    </xf>
    <xf numFmtId="171" fontId="1" fillId="2" borderId="6" applyAlignment="1" pivotButton="0" quotePrefix="0" xfId="0">
      <alignment horizontal="center" vertical="center" wrapText="1" shrinkToFit="1"/>
    </xf>
    <xf numFmtId="171" fontId="1" fillId="2" borderId="17" applyAlignment="1" pivotButton="0" quotePrefix="0" xfId="0">
      <alignment horizontal="center" vertical="center" wrapText="1" shrinkToFit="1"/>
    </xf>
    <xf numFmtId="170" fontId="1" fillId="9" borderId="5" applyAlignment="1" pivotButton="0" quotePrefix="0" xfId="0">
      <alignment horizontal="center" vertical="center" wrapText="1" shrinkToFit="1"/>
    </xf>
    <xf numFmtId="170" fontId="1" fillId="9" borderId="16" applyAlignment="1" pivotButton="0" quotePrefix="0" xfId="0">
      <alignment horizontal="center" vertical="center" wrapText="1" shrinkToFit="1"/>
    </xf>
    <xf numFmtId="165" fontId="1" fillId="2" borderId="3" applyAlignment="1" pivotButton="0" quotePrefix="0" xfId="0">
      <alignment horizontal="center" vertical="center" wrapText="1" shrinkToFit="1"/>
    </xf>
    <xf numFmtId="165" fontId="1" fillId="2" borderId="14" applyAlignment="1" pivotButton="0" quotePrefix="0" xfId="0">
      <alignment horizontal="center" vertical="center" wrapText="1" shrinkToFit="1"/>
    </xf>
    <xf numFmtId="165" fontId="1" fillId="2" borderId="4" applyAlignment="1" pivotButton="0" quotePrefix="0" xfId="0">
      <alignment horizontal="center" vertical="center" wrapText="1" shrinkToFit="1"/>
    </xf>
    <xf numFmtId="165" fontId="1" fillId="2" borderId="15" applyAlignment="1" pivotButton="0" quotePrefix="0" xfId="0">
      <alignment horizontal="center" vertical="center" wrapText="1" shrinkToFit="1"/>
    </xf>
    <xf numFmtId="0" fontId="1" fillId="0" borderId="8" applyAlignment="1" pivotButton="0" quotePrefix="0" xfId="0">
      <alignment horizontal="center" vertical="center" wrapText="1" shrinkToFit="1"/>
    </xf>
    <xf numFmtId="0" fontId="1" fillId="0" borderId="20" applyAlignment="1" pivotButton="0" quotePrefix="0" xfId="0">
      <alignment horizontal="center" vertical="center" wrapText="1" shrinkToFit="1"/>
    </xf>
    <xf numFmtId="165" fontId="48" fillId="2" borderId="0" applyAlignment="1" pivotButton="0" quotePrefix="0" xfId="5">
      <alignment horizontal="center" vertical="center"/>
    </xf>
    <xf numFmtId="165" fontId="26" fillId="0" borderId="0" applyAlignment="1" pivotButton="0" quotePrefix="0" xfId="0">
      <alignment horizontal="center" vertical="center"/>
    </xf>
    <xf numFmtId="165" fontId="31" fillId="15" borderId="111" applyAlignment="1" pivotButton="0" quotePrefix="0" xfId="0">
      <alignment horizontal="center" vertical="center"/>
    </xf>
    <xf numFmtId="165" fontId="31" fillId="15" borderId="113" applyAlignment="1" pivotButton="0" quotePrefix="0" xfId="0">
      <alignment horizontal="center" vertical="center"/>
    </xf>
    <xf numFmtId="165" fontId="33" fillId="16" borderId="115" applyAlignment="1" pivotButton="0" quotePrefix="0" xfId="0">
      <alignment horizontal="center" vertical="center"/>
    </xf>
    <xf numFmtId="165" fontId="33" fillId="16" borderId="117" applyAlignment="1" pivotButton="0" quotePrefix="0" xfId="0">
      <alignment horizontal="center" vertical="center"/>
    </xf>
    <xf numFmtId="165" fontId="33" fillId="17" borderId="116" applyAlignment="1" pivotButton="0" quotePrefix="0" xfId="0">
      <alignment horizontal="center" vertical="center"/>
    </xf>
    <xf numFmtId="165" fontId="33" fillId="17" borderId="117" applyAlignment="1" pivotButton="0" quotePrefix="0" xfId="0">
      <alignment horizontal="center" vertical="center"/>
    </xf>
    <xf numFmtId="165" fontId="33" fillId="18" borderId="118" applyAlignment="1" pivotButton="0" quotePrefix="0" xfId="0">
      <alignment horizontal="center" vertical="center"/>
    </xf>
    <xf numFmtId="165" fontId="33" fillId="18" borderId="119" applyAlignment="1" pivotButton="0" quotePrefix="0" xfId="0">
      <alignment horizontal="center" vertical="center"/>
    </xf>
    <xf numFmtId="165" fontId="33" fillId="16" borderId="121" applyAlignment="1" pivotButton="0" quotePrefix="0" xfId="0">
      <alignment horizontal="center" vertical="center"/>
    </xf>
    <xf numFmtId="165" fontId="33" fillId="17" borderId="122" applyAlignment="1" pivotButton="0" quotePrefix="0" xfId="0">
      <alignment horizontal="center" vertical="center"/>
    </xf>
    <xf numFmtId="165" fontId="33" fillId="18" borderId="120" applyAlignment="1" pivotButton="0" quotePrefix="0" xfId="0">
      <alignment horizontal="center" vertical="center"/>
    </xf>
    <xf numFmtId="165" fontId="33" fillId="16" borderId="116" applyAlignment="1" pivotButton="0" quotePrefix="0" xfId="0">
      <alignment horizontal="center" vertical="center"/>
    </xf>
    <xf numFmtId="165" fontId="33" fillId="16" borderId="122" applyAlignment="1" pivotButton="0" quotePrefix="0" xfId="0">
      <alignment horizontal="center" vertical="center"/>
    </xf>
    <xf numFmtId="165" fontId="35" fillId="20" borderId="124" applyAlignment="1" pivotButton="0" quotePrefix="0" xfId="0">
      <alignment horizontal="center" vertical="center"/>
    </xf>
    <xf numFmtId="165" fontId="36" fillId="20" borderId="125" applyAlignment="1" pivotButton="0" quotePrefix="0" xfId="0">
      <alignment horizontal="center" vertical="center"/>
    </xf>
    <xf numFmtId="165" fontId="37" fillId="21" borderId="127" applyAlignment="1" pivotButton="0" quotePrefix="0" xfId="0">
      <alignment horizontal="center" vertical="center"/>
    </xf>
    <xf numFmtId="170" fontId="39" fillId="21" borderId="127" applyAlignment="1" pivotButton="0" quotePrefix="0" xfId="0">
      <alignment horizontal="center" vertical="center"/>
    </xf>
    <xf numFmtId="165" fontId="39" fillId="21" borderId="127" applyAlignment="1" pivotButton="0" quotePrefix="0" xfId="0">
      <alignment horizontal="center" vertical="center"/>
    </xf>
    <xf numFmtId="165" fontId="41" fillId="22" borderId="132" applyAlignment="1" pivotButton="0" quotePrefix="0" xfId="5">
      <alignment horizontal="center" vertical="center"/>
    </xf>
    <xf numFmtId="165" fontId="41" fillId="22" borderId="132" applyAlignment="1" pivotButton="0" quotePrefix="0" xfId="5">
      <alignment vertical="center"/>
    </xf>
    <xf numFmtId="165" fontId="6" fillId="2" borderId="132" applyAlignment="1" pivotButton="0" quotePrefix="0" xfId="5">
      <alignment vertical="center"/>
    </xf>
    <xf numFmtId="165" fontId="48" fillId="2" borderId="0" applyAlignment="1" pivotButton="0" quotePrefix="0" xfId="5">
      <alignment vertical="center"/>
    </xf>
    <xf numFmtId="166" fontId="12" fillId="0" borderId="0" applyAlignment="1" pivotButton="0" quotePrefix="0" xfId="0">
      <alignment horizontal="center" vertical="center" wrapText="1" shrinkToFit="1"/>
    </xf>
    <xf numFmtId="165" fontId="0" fillId="0" borderId="0" applyAlignment="1" pivotButton="0" quotePrefix="0" xfId="1">
      <alignment vertical="center" wrapText="1" shrinkToFit="1"/>
    </xf>
    <xf numFmtId="165" fontId="17" fillId="0" borderId="0" applyAlignment="1" pivotButton="0" quotePrefix="0" xfId="0">
      <alignment vertical="center" wrapText="1" shrinkToFit="1"/>
    </xf>
    <xf numFmtId="164" fontId="10" fillId="2" borderId="2" applyAlignment="1" pivotButton="0" quotePrefix="0" xfId="3">
      <alignment horizontal="center" vertical="center" wrapText="1" shrinkToFit="1"/>
    </xf>
    <xf numFmtId="164" fontId="10" fillId="11" borderId="136" applyAlignment="1" pivotButton="0" quotePrefix="0" xfId="3">
      <alignment horizontal="center" vertical="center" wrapText="1" shrinkToFit="1"/>
    </xf>
    <xf numFmtId="165" fontId="10" fillId="3" borderId="3" applyAlignment="1" pivotButton="0" quotePrefix="0" xfId="1">
      <alignment horizontal="center" vertical="center" wrapText="1" shrinkToFit="1"/>
    </xf>
    <xf numFmtId="165" fontId="10" fillId="4" borderId="4" applyAlignment="1" pivotButton="0" quotePrefix="0" xfId="1">
      <alignment horizontal="center" vertical="center" wrapText="1" shrinkToFit="1"/>
    </xf>
    <xf numFmtId="165" fontId="10" fillId="5" borderId="4" applyAlignment="1" pivotButton="0" quotePrefix="0" xfId="1">
      <alignment horizontal="center" vertical="center" wrapText="1" shrinkToFit="1"/>
    </xf>
    <xf numFmtId="165" fontId="10" fillId="6" borderId="4" applyAlignment="1" pivotButton="0" quotePrefix="0" xfId="1">
      <alignment horizontal="center" vertical="center" wrapText="1" shrinkToFit="1"/>
    </xf>
    <xf numFmtId="165" fontId="10" fillId="7" borderId="4" applyAlignment="1" pivotButton="0" quotePrefix="0" xfId="3">
      <alignment horizontal="center" vertical="center" wrapText="1" shrinkToFit="1"/>
    </xf>
    <xf numFmtId="165" fontId="10" fillId="8" borderId="4" applyAlignment="1" pivotButton="0" quotePrefix="0" xfId="3">
      <alignment horizontal="center" vertical="center" wrapText="1" shrinkToFit="1"/>
    </xf>
    <xf numFmtId="165" fontId="10" fillId="9" borderId="2" applyAlignment="1" pivotButton="0" quotePrefix="0" xfId="0">
      <alignment horizontal="center" vertical="center" wrapText="1" shrinkToFit="1"/>
    </xf>
    <xf numFmtId="171" fontId="10" fillId="0" borderId="5" applyAlignment="1" pivotButton="0" quotePrefix="0" xfId="0">
      <alignment horizontal="center" vertical="center" wrapText="1" shrinkToFit="1"/>
    </xf>
    <xf numFmtId="166" fontId="10" fillId="0" borderId="5" applyAlignment="1" pivotButton="0" quotePrefix="0" xfId="0">
      <alignment horizontal="center" vertical="center" wrapText="1" shrinkToFit="1"/>
    </xf>
    <xf numFmtId="171" fontId="10" fillId="2" borderId="6" applyAlignment="1" pivotButton="0" quotePrefix="0" xfId="0">
      <alignment horizontal="center" vertical="center" wrapText="1" shrinkToFit="1"/>
    </xf>
    <xf numFmtId="0" fontId="0" fillId="0" borderId="136" pivotButton="0" quotePrefix="0" xfId="0"/>
    <xf numFmtId="0" fontId="0" fillId="0" borderId="145" pivotButton="0" quotePrefix="0" xfId="0"/>
    <xf numFmtId="170" fontId="10" fillId="9" borderId="5" applyAlignment="1" pivotButton="0" quotePrefix="0" xfId="0">
      <alignment horizontal="center" vertical="center" wrapText="1" shrinkToFit="1"/>
    </xf>
    <xf numFmtId="165" fontId="10" fillId="2" borderId="3" applyAlignment="1" pivotButton="0" quotePrefix="0" xfId="0">
      <alignment horizontal="center" vertical="center" wrapText="1" shrinkToFit="1"/>
    </xf>
    <xf numFmtId="165" fontId="10" fillId="2" borderId="4" applyAlignment="1" pivotButton="0" quotePrefix="0" xfId="0">
      <alignment horizontal="center" vertical="center" wrapText="1" shrinkToFit="1"/>
    </xf>
    <xf numFmtId="0" fontId="10" fillId="0" borderId="146" applyAlignment="1" pivotButton="0" quotePrefix="0" xfId="0">
      <alignment horizontal="center" vertical="center" wrapText="1" shrinkToFit="1"/>
    </xf>
    <xf numFmtId="165" fontId="10" fillId="8" borderId="3" applyAlignment="1" pivotButton="0" quotePrefix="0" xfId="3">
      <alignment horizontal="center" vertical="center" wrapText="1" shrinkToFit="1"/>
    </xf>
    <xf numFmtId="0" fontId="0" fillId="0" borderId="90" pivotButton="0" quotePrefix="0" xfId="0"/>
    <xf numFmtId="0" fontId="0" fillId="0" borderId="9" pivotButton="0" quotePrefix="0" xfId="0"/>
    <xf numFmtId="165" fontId="10" fillId="11" borderId="3" applyAlignment="1" pivotButton="0" quotePrefix="0" xfId="3">
      <alignment horizontal="center" vertical="center" wrapText="1" shrinkToFit="1"/>
    </xf>
    <xf numFmtId="165" fontId="10" fillId="3" borderId="3" applyAlignment="1" pivotButton="0" quotePrefix="0" xfId="3">
      <alignment horizontal="center" vertical="center" shrinkToFit="1"/>
    </xf>
    <xf numFmtId="165" fontId="10" fillId="4" borderId="1" applyAlignment="1" pivotButton="0" quotePrefix="0" xfId="3">
      <alignment horizontal="center" vertical="center" wrapText="1" shrinkToFit="1"/>
    </xf>
    <xf numFmtId="165" fontId="10" fillId="5" borderId="9" applyAlignment="1" pivotButton="0" quotePrefix="0" xfId="3">
      <alignment horizontal="center" vertical="center" wrapText="1" shrinkToFit="1"/>
    </xf>
    <xf numFmtId="165" fontId="10" fillId="6" borderId="1" applyAlignment="1" pivotButton="0" quotePrefix="0" xfId="3">
      <alignment horizontal="center" vertical="center" wrapText="1" shrinkToFit="1"/>
    </xf>
    <xf numFmtId="165" fontId="10" fillId="7" borderId="9" applyAlignment="1" pivotButton="0" quotePrefix="0" xfId="3">
      <alignment horizontal="center" vertical="center" wrapText="1" shrinkToFit="1"/>
    </xf>
    <xf numFmtId="165" fontId="10" fillId="12" borderId="9" applyAlignment="1" pivotButton="0" quotePrefix="0" xfId="3">
      <alignment horizontal="center" vertical="center" wrapText="1" shrinkToFit="1"/>
    </xf>
    <xf numFmtId="0" fontId="0" fillId="0" borderId="27" pivotButton="0" quotePrefix="0" xfId="0"/>
    <xf numFmtId="0" fontId="0" fillId="0" borderId="31" pivotButton="0" quotePrefix="0" xfId="0"/>
    <xf numFmtId="0" fontId="0" fillId="0" borderId="91" pivotButton="0" quotePrefix="0" xfId="0"/>
    <xf numFmtId="0" fontId="0" fillId="0" borderId="40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165" fontId="11" fillId="2" borderId="18" applyAlignment="1" pivotButton="0" quotePrefix="0" xfId="5">
      <alignment horizontal="center" vertical="center" wrapText="1"/>
    </xf>
    <xf numFmtId="165" fontId="11" fillId="2" borderId="92" applyAlignment="1" pivotButton="0" quotePrefix="0" xfId="5">
      <alignment horizontal="center" vertical="center" wrapText="1"/>
    </xf>
    <xf numFmtId="0" fontId="0" fillId="0" borderId="20" pivotButton="0" quotePrefix="0" xfId="0"/>
    <xf numFmtId="165" fontId="11" fillId="8" borderId="15" applyAlignment="1" pivotButton="0" quotePrefix="0" xfId="5">
      <alignment horizontal="center" vertical="center" wrapText="1" shrinkToFit="1"/>
    </xf>
    <xf numFmtId="165" fontId="11" fillId="11" borderId="15" applyAlignment="1" pivotButton="0" quotePrefix="0" xfId="5">
      <alignment horizontal="center" vertical="center" wrapText="1" shrinkToFit="1"/>
    </xf>
    <xf numFmtId="165" fontId="11" fillId="3" borderId="15" applyAlignment="1" pivotButton="0" quotePrefix="0" xfId="0">
      <alignment horizontal="center" vertical="center" wrapText="1"/>
    </xf>
    <xf numFmtId="165" fontId="11" fillId="3" borderId="23" applyAlignment="1" pivotButton="0" quotePrefix="0" xfId="0">
      <alignment horizontal="center" vertical="center" wrapText="1"/>
    </xf>
    <xf numFmtId="165" fontId="11" fillId="4" borderId="12" applyAlignment="1" pivotButton="0" quotePrefix="0" xfId="0">
      <alignment horizontal="center" vertical="center" wrapText="1" shrinkToFit="1"/>
    </xf>
    <xf numFmtId="165" fontId="11" fillId="4" borderId="15" applyAlignment="1" pivotButton="0" quotePrefix="0" xfId="0">
      <alignment horizontal="center" vertical="center" wrapText="1" shrinkToFit="1"/>
    </xf>
    <xf numFmtId="165" fontId="11" fillId="4" borderId="22" applyAlignment="1" pivotButton="0" quotePrefix="0" xfId="0">
      <alignment horizontal="center" vertical="center" wrapText="1" shrinkToFit="1"/>
    </xf>
    <xf numFmtId="165" fontId="18" fillId="5" borderId="21" applyAlignment="1" pivotButton="0" quotePrefix="0" xfId="0">
      <alignment horizontal="center" vertical="center" wrapText="1" shrinkToFit="1"/>
    </xf>
    <xf numFmtId="165" fontId="18" fillId="5" borderId="93" applyAlignment="1" pivotButton="0" quotePrefix="0" xfId="0">
      <alignment horizontal="center" vertical="center" wrapText="1" shrinkToFit="1"/>
    </xf>
    <xf numFmtId="165" fontId="18" fillId="6" borderId="12" applyAlignment="1" pivotButton="0" quotePrefix="0" xfId="0">
      <alignment horizontal="center" vertical="center" wrapText="1" shrinkToFit="1"/>
    </xf>
    <xf numFmtId="165" fontId="18" fillId="6" borderId="15" applyAlignment="1" pivotButton="0" quotePrefix="0" xfId="0">
      <alignment horizontal="center" vertical="center" wrapText="1" shrinkToFit="1"/>
    </xf>
    <xf numFmtId="165" fontId="18" fillId="6" borderId="22" applyAlignment="1" pivotButton="0" quotePrefix="0" xfId="0">
      <alignment horizontal="center" vertical="center" wrapText="1" shrinkToFit="1"/>
    </xf>
    <xf numFmtId="165" fontId="18" fillId="7" borderId="21" applyAlignment="1" pivotButton="0" quotePrefix="0" xfId="0">
      <alignment horizontal="center" vertical="center" wrapText="1" shrinkToFit="1"/>
    </xf>
    <xf numFmtId="165" fontId="18" fillId="7" borderId="22" applyAlignment="1" pivotButton="0" quotePrefix="0" xfId="0">
      <alignment horizontal="center" vertical="center" wrapText="1" shrinkToFit="1"/>
    </xf>
    <xf numFmtId="165" fontId="18" fillId="12" borderId="21" applyAlignment="1" pivotButton="0" quotePrefix="0" xfId="0">
      <alignment horizontal="center" vertical="center" wrapText="1" shrinkToFit="1"/>
    </xf>
    <xf numFmtId="165" fontId="18" fillId="12" borderId="22" applyAlignment="1" pivotButton="0" quotePrefix="0" xfId="0">
      <alignment horizontal="center" vertical="center" wrapText="1" shrinkToFit="1"/>
    </xf>
    <xf numFmtId="0" fontId="0" fillId="0" borderId="25" pivotButton="0" quotePrefix="0" xfId="0"/>
    <xf numFmtId="165" fontId="11" fillId="9" borderId="25" applyAlignment="1" pivotButton="0" quotePrefix="0" xfId="1">
      <alignment vertical="center" wrapText="1" shrinkToFit="1"/>
    </xf>
    <xf numFmtId="165" fontId="11" fillId="0" borderId="29" applyAlignment="1" pivotButton="0" quotePrefix="0" xfId="1">
      <alignment vertical="center" wrapText="1" shrinkToFit="1"/>
    </xf>
    <xf numFmtId="165" fontId="11" fillId="11" borderId="29" applyAlignment="1" pivotButton="0" quotePrefix="0" xfId="1">
      <alignment vertical="center" wrapText="1" shrinkToFit="1"/>
    </xf>
    <xf numFmtId="165" fontId="11" fillId="2" borderId="29" applyAlignment="1" pivotButton="0" quotePrefix="0" xfId="1">
      <alignment vertical="center" wrapText="1" shrinkToFit="1"/>
    </xf>
    <xf numFmtId="0" fontId="0" fillId="0" borderId="93" pivotButton="0" quotePrefix="0" xfId="0"/>
    <xf numFmtId="165" fontId="1" fillId="10" borderId="107" applyAlignment="1" pivotButton="0" quotePrefix="0" xfId="1">
      <alignment horizontal="center" vertical="center" wrapText="1" shrinkToFit="1"/>
    </xf>
    <xf numFmtId="165" fontId="1" fillId="10" borderId="15" applyAlignment="1" pivotButton="0" quotePrefix="0" xfId="1">
      <alignment horizontal="center" vertical="center" wrapText="1" shrinkToFit="1"/>
    </xf>
    <xf numFmtId="165" fontId="1" fillId="10" borderId="108" applyAlignment="1" pivotButton="0" quotePrefix="0" xfId="1">
      <alignment horizontal="center" vertical="center" wrapText="1" shrinkToFit="1"/>
    </xf>
    <xf numFmtId="165" fontId="1" fillId="10" borderId="21" applyAlignment="1" pivotButton="0" quotePrefix="0" xfId="1">
      <alignment horizontal="center" vertical="center" wrapText="1" shrinkToFit="1"/>
    </xf>
    <xf numFmtId="165" fontId="1" fillId="10" borderId="23" applyAlignment="1" pivotButton="0" quotePrefix="0" xfId="1">
      <alignment horizontal="center" vertical="center" wrapText="1" shrinkToFit="1"/>
    </xf>
    <xf numFmtId="165" fontId="1" fillId="13" borderId="93" applyAlignment="1" pivotButton="0" quotePrefix="0" xfId="1">
      <alignment horizontal="center" vertical="center" wrapText="1" shrinkToFit="1"/>
    </xf>
    <xf numFmtId="164" fontId="12" fillId="0" borderId="0" applyAlignment="1" pivotButton="0" quotePrefix="0" xfId="0">
      <alignment vertical="center" wrapText="1" shrinkToFit="1"/>
    </xf>
    <xf numFmtId="165" fontId="13" fillId="0" borderId="0" applyAlignment="1" pivotButton="0" quotePrefix="0" xfId="0">
      <alignment vertical="center" wrapText="1" shrinkToFit="1"/>
    </xf>
    <xf numFmtId="165" fontId="11" fillId="0" borderId="30" applyAlignment="1" pivotButton="0" quotePrefix="0" xfId="1">
      <alignment vertical="center" wrapText="1" shrinkToFit="1"/>
    </xf>
    <xf numFmtId="165" fontId="11" fillId="9" borderId="31" applyAlignment="1" pivotButton="0" quotePrefix="0" xfId="1">
      <alignment vertical="center" wrapText="1" shrinkToFit="1"/>
    </xf>
    <xf numFmtId="166" fontId="11" fillId="0" borderId="48" applyAlignment="1" pivotButton="0" quotePrefix="0" xfId="1">
      <alignment vertical="center" wrapText="1" shrinkToFit="1"/>
    </xf>
    <xf numFmtId="165" fontId="11" fillId="0" borderId="32" applyAlignment="1" pivotButton="0" quotePrefix="0" xfId="1">
      <alignment vertical="center" wrapText="1" shrinkToFit="1"/>
    </xf>
    <xf numFmtId="165" fontId="11" fillId="0" borderId="33" applyAlignment="1" pivotButton="0" quotePrefix="0" xfId="1">
      <alignment vertical="center" wrapText="1" shrinkToFit="1"/>
    </xf>
    <xf numFmtId="165" fontId="11" fillId="0" borderId="34" applyAlignment="1" pivotButton="0" quotePrefix="0" xfId="1">
      <alignment vertical="center" wrapText="1" shrinkToFit="1"/>
    </xf>
    <xf numFmtId="165" fontId="11" fillId="0" borderId="35" applyAlignment="1" pivotButton="0" quotePrefix="0" xfId="1">
      <alignment vertical="center" wrapText="1" shrinkToFit="1"/>
    </xf>
    <xf numFmtId="165" fontId="11" fillId="9" borderId="94" applyAlignment="1" pivotButton="0" quotePrefix="0" xfId="1">
      <alignment vertical="center" wrapText="1" shrinkToFit="1"/>
    </xf>
    <xf numFmtId="165" fontId="11" fillId="0" borderId="40" applyAlignment="1" pivotButton="0" quotePrefix="0" xfId="1">
      <alignment vertical="center" wrapText="1" shrinkToFit="1"/>
    </xf>
    <xf numFmtId="165" fontId="11" fillId="0" borderId="30" applyAlignment="1" pivotButton="0" quotePrefix="0" xfId="1">
      <alignment horizontal="center" vertical="center" wrapText="1" shrinkToFit="1"/>
    </xf>
    <xf numFmtId="165" fontId="11" fillId="0" borderId="42" applyAlignment="1" pivotButton="0" quotePrefix="0" xfId="1">
      <alignment horizontal="center" vertical="center" wrapText="1" shrinkToFit="1"/>
    </xf>
    <xf numFmtId="165" fontId="11" fillId="0" borderId="41" applyAlignment="1" pivotButton="0" quotePrefix="0" xfId="1">
      <alignment vertical="center" wrapText="1" shrinkToFit="1"/>
    </xf>
    <xf numFmtId="165" fontId="11" fillId="0" borderId="27" applyAlignment="1" pivotButton="0" quotePrefix="0" xfId="1">
      <alignment vertical="center" wrapText="1" shrinkToFit="1"/>
    </xf>
    <xf numFmtId="165" fontId="22" fillId="0" borderId="30" applyAlignment="1" pivotButton="0" quotePrefix="0" xfId="1">
      <alignment vertical="center" wrapText="1" shrinkToFit="1"/>
    </xf>
    <xf numFmtId="165" fontId="22" fillId="0" borderId="41" applyAlignment="1" pivotButton="0" quotePrefix="0" xfId="1">
      <alignment vertical="center" wrapText="1" shrinkToFit="1"/>
    </xf>
    <xf numFmtId="165" fontId="21" fillId="0" borderId="44" applyAlignment="1" pivotButton="0" quotePrefix="0" xfId="1">
      <alignment vertical="center" wrapText="1" shrinkToFit="1"/>
    </xf>
    <xf numFmtId="165" fontId="21" fillId="0" borderId="53" applyAlignment="1" pivotButton="0" quotePrefix="0" xfId="1">
      <alignment vertical="center" wrapText="1" shrinkToFit="1"/>
    </xf>
    <xf numFmtId="165" fontId="11" fillId="0" borderId="44" applyAlignment="1" pivotButton="0" quotePrefix="0" xfId="1">
      <alignment vertical="center" wrapText="1" shrinkToFit="1"/>
    </xf>
    <xf numFmtId="165" fontId="11" fillId="0" borderId="45" applyAlignment="1" pivotButton="0" quotePrefix="0" xfId="1">
      <alignment vertical="center" wrapText="1" shrinkToFit="1"/>
    </xf>
    <xf numFmtId="165" fontId="11" fillId="0" borderId="47" applyAlignment="1" pivotButton="0" quotePrefix="0" xfId="1">
      <alignment vertical="center" wrapText="1" shrinkToFit="1"/>
    </xf>
    <xf numFmtId="165" fontId="11" fillId="0" borderId="49" applyAlignment="1" pivotButton="0" quotePrefix="0" xfId="1">
      <alignment vertical="center" wrapText="1" shrinkToFit="1"/>
    </xf>
    <xf numFmtId="165" fontId="11" fillId="0" borderId="50" applyAlignment="1" pivotButton="0" quotePrefix="0" xfId="1">
      <alignment vertical="center" wrapText="1" shrinkToFit="1"/>
    </xf>
    <xf numFmtId="165" fontId="11" fillId="0" borderId="51" applyAlignment="1" pivotButton="0" quotePrefix="0" xfId="1">
      <alignment vertical="center" wrapText="1" shrinkToFit="1"/>
    </xf>
    <xf numFmtId="165" fontId="11" fillId="0" borderId="45" applyAlignment="1" pivotButton="0" quotePrefix="0" xfId="1">
      <alignment horizontal="center" vertical="center" wrapText="1" shrinkToFit="1"/>
    </xf>
    <xf numFmtId="165" fontId="11" fillId="0" borderId="53" applyAlignment="1" pivotButton="0" quotePrefix="0" xfId="1">
      <alignment horizontal="center" vertical="center" wrapText="1" shrinkToFit="1"/>
    </xf>
    <xf numFmtId="165" fontId="11" fillId="0" borderId="52" applyAlignment="1" pivotButton="0" quotePrefix="0" xfId="1">
      <alignment vertical="center" wrapText="1" shrinkToFit="1"/>
    </xf>
    <xf numFmtId="165" fontId="11" fillId="0" borderId="43" applyAlignment="1" pivotButton="0" quotePrefix="0" xfId="1">
      <alignment vertical="center" wrapText="1" shrinkToFit="1"/>
    </xf>
    <xf numFmtId="165" fontId="22" fillId="0" borderId="45" applyAlignment="1" pivotButton="0" quotePrefix="0" xfId="1">
      <alignment vertical="center" wrapText="1" shrinkToFit="1"/>
    </xf>
    <xf numFmtId="165" fontId="22" fillId="0" borderId="52" applyAlignment="1" pivotButton="0" quotePrefix="0" xfId="1">
      <alignment vertical="center" wrapText="1" shrinkToFit="1"/>
    </xf>
    <xf numFmtId="165" fontId="21" fillId="0" borderId="29" applyAlignment="1" pivotButton="0" quotePrefix="0" xfId="1">
      <alignment vertical="center" wrapText="1" shrinkToFit="1"/>
    </xf>
    <xf numFmtId="165" fontId="21" fillId="0" borderId="42" applyAlignment="1" pivotButton="0" quotePrefix="0" xfId="1">
      <alignment vertical="center" wrapText="1" shrinkToFit="1"/>
    </xf>
    <xf numFmtId="167" fontId="23" fillId="0" borderId="45" applyAlignment="1" pivotButton="0" quotePrefix="0" xfId="3">
      <alignment horizontal="left" vertical="center" shrinkToFit="1"/>
    </xf>
    <xf numFmtId="169" fontId="17" fillId="0" borderId="0" pivotButton="0" quotePrefix="0" xfId="0"/>
    <xf numFmtId="167" fontId="22" fillId="0" borderId="45" applyAlignment="1" pivotButton="0" quotePrefix="0" xfId="3">
      <alignment horizontal="center" vertical="center" shrinkToFit="1"/>
    </xf>
    <xf numFmtId="165" fontId="22" fillId="0" borderId="49" applyAlignment="1" pivotButton="0" quotePrefix="0" xfId="1">
      <alignment vertical="center" wrapText="1" shrinkToFit="1"/>
    </xf>
    <xf numFmtId="165" fontId="11" fillId="0" borderId="48" applyAlignment="1" pivotButton="0" quotePrefix="0" xfId="1">
      <alignment vertical="center" wrapText="1" shrinkToFit="1"/>
    </xf>
    <xf numFmtId="167" fontId="11" fillId="0" borderId="45" applyAlignment="1" pivotButton="0" quotePrefix="0" xfId="3">
      <alignment horizontal="center" vertical="center" shrinkToFit="1"/>
    </xf>
    <xf numFmtId="165" fontId="11" fillId="0" borderId="65" applyAlignment="1" pivotButton="0" quotePrefix="0" xfId="1">
      <alignment vertical="center" wrapText="1" shrinkToFit="1"/>
    </xf>
    <xf numFmtId="165" fontId="11" fillId="0" borderId="66" applyAlignment="1" pivotButton="0" quotePrefix="0" xfId="1">
      <alignment vertical="center" wrapText="1" shrinkToFit="1"/>
    </xf>
    <xf numFmtId="165" fontId="11" fillId="0" borderId="68" applyAlignment="1" pivotButton="0" quotePrefix="0" xfId="1">
      <alignment vertical="center" wrapText="1" shrinkToFit="1"/>
    </xf>
    <xf numFmtId="165" fontId="11" fillId="0" borderId="69" applyAlignment="1" pivotButton="0" quotePrefix="0" xfId="1">
      <alignment vertical="center" wrapText="1" shrinkToFit="1"/>
    </xf>
    <xf numFmtId="165" fontId="11" fillId="0" borderId="70" applyAlignment="1" pivotButton="0" quotePrefix="0" xfId="1">
      <alignment vertical="center" wrapText="1" shrinkToFit="1"/>
    </xf>
    <xf numFmtId="165" fontId="11" fillId="0" borderId="71" applyAlignment="1" pivotButton="0" quotePrefix="0" xfId="1">
      <alignment vertical="center" wrapText="1" shrinkToFit="1"/>
    </xf>
    <xf numFmtId="165" fontId="11" fillId="9" borderId="96" applyAlignment="1" pivotButton="0" quotePrefix="0" xfId="1">
      <alignment vertical="center" wrapText="1" shrinkToFit="1"/>
    </xf>
    <xf numFmtId="167" fontId="11" fillId="0" borderId="66" applyAlignment="1" pivotButton="0" quotePrefix="0" xfId="3">
      <alignment horizontal="center" vertical="center" shrinkToFit="1"/>
    </xf>
    <xf numFmtId="165" fontId="11" fillId="0" borderId="73" applyAlignment="1" pivotButton="0" quotePrefix="0" xfId="1">
      <alignment vertical="center" wrapText="1" shrinkToFit="1"/>
    </xf>
    <xf numFmtId="165" fontId="11" fillId="0" borderId="66" applyAlignment="1" pivotButton="0" quotePrefix="0" xfId="1">
      <alignment horizontal="center" vertical="center" wrapText="1" shrinkToFit="1"/>
    </xf>
    <xf numFmtId="165" fontId="11" fillId="0" borderId="97" applyAlignment="1" pivotButton="0" quotePrefix="0" xfId="1">
      <alignment horizontal="center" vertical="center" wrapText="1" shrinkToFit="1"/>
    </xf>
    <xf numFmtId="165" fontId="11" fillId="0" borderId="74" applyAlignment="1" pivotButton="0" quotePrefix="0" xfId="1">
      <alignment vertical="center" wrapText="1" shrinkToFit="1"/>
    </xf>
    <xf numFmtId="165" fontId="11" fillId="0" borderId="98" applyAlignment="1" pivotButton="0" quotePrefix="0" xfId="1">
      <alignment vertical="center" wrapText="1" shrinkToFit="1"/>
    </xf>
    <xf numFmtId="165" fontId="22" fillId="0" borderId="66" applyAlignment="1" pivotButton="0" quotePrefix="0" xfId="1">
      <alignment vertical="center" wrapText="1" shrinkToFit="1"/>
    </xf>
    <xf numFmtId="165" fontId="22" fillId="0" borderId="74" applyAlignment="1" pivotButton="0" quotePrefix="0" xfId="1">
      <alignment vertical="center" wrapText="1" shrinkToFit="1"/>
    </xf>
    <xf numFmtId="165" fontId="22" fillId="0" borderId="70" applyAlignment="1" pivotButton="0" quotePrefix="0" xfId="1">
      <alignment vertical="center" wrapText="1" shrinkToFit="1"/>
    </xf>
    <xf numFmtId="0" fontId="11" fillId="10" borderId="54" applyAlignment="1" pivotButton="0" quotePrefix="0" xfId="3">
      <alignment horizontal="center" vertical="center" wrapText="1" shrinkToFit="1"/>
    </xf>
    <xf numFmtId="0" fontId="0" fillId="0" borderId="100" pivotButton="0" quotePrefix="0" xfId="0"/>
    <xf numFmtId="168" fontId="11" fillId="10" borderId="55" applyAlignment="1" pivotButton="0" quotePrefix="0" xfId="3">
      <alignment horizontal="center" vertical="center" wrapText="1" shrinkToFit="1"/>
    </xf>
    <xf numFmtId="165" fontId="23" fillId="10" borderId="55" applyAlignment="1" pivotButton="0" quotePrefix="0" xfId="1">
      <alignment vertical="center" wrapText="1" shrinkToFit="1"/>
    </xf>
    <xf numFmtId="165" fontId="11" fillId="10" borderId="101" applyAlignment="1" pivotButton="0" quotePrefix="0" xfId="1">
      <alignment vertical="center" wrapText="1" shrinkToFit="1"/>
    </xf>
    <xf numFmtId="165" fontId="23" fillId="10" borderId="100" applyAlignment="1" pivotButton="0" quotePrefix="0" xfId="1">
      <alignment vertical="center" wrapText="1" shrinkToFit="1"/>
    </xf>
    <xf numFmtId="165" fontId="23" fillId="10" borderId="55" applyAlignment="1" pivotButton="0" quotePrefix="0" xfId="1">
      <alignment horizontal="left" vertical="center" wrapText="1" shrinkToFit="1"/>
    </xf>
    <xf numFmtId="165" fontId="18" fillId="10" borderId="55" applyAlignment="1" pivotButton="0" quotePrefix="0" xfId="1">
      <alignment vertical="center" wrapText="1" shrinkToFit="1"/>
    </xf>
    <xf numFmtId="165" fontId="18" fillId="10" borderId="56" applyAlignment="1" pivotButton="0" quotePrefix="0" xfId="1">
      <alignment vertical="center" wrapText="1" shrinkToFit="1"/>
    </xf>
    <xf numFmtId="165" fontId="23" fillId="9" borderId="102" applyAlignment="1" pivotButton="0" quotePrefix="0" xfId="3">
      <alignment horizontal="left" vertical="center"/>
    </xf>
    <xf numFmtId="165" fontId="23" fillId="9" borderId="36" applyAlignment="1" pivotButton="0" quotePrefix="0" xfId="3">
      <alignment vertical="center" wrapText="1" shrinkToFit="1"/>
    </xf>
    <xf numFmtId="165" fontId="23" fillId="9" borderId="34" applyAlignment="1" pivotButton="0" quotePrefix="0" xfId="3">
      <alignment vertical="center" wrapText="1" shrinkToFit="1"/>
    </xf>
    <xf numFmtId="165" fontId="23" fillId="9" borderId="29" applyAlignment="1" pivotButton="0" quotePrefix="0" xfId="1">
      <alignment vertical="center" wrapText="1" shrinkToFit="1"/>
    </xf>
    <xf numFmtId="165" fontId="23" fillId="9" borderId="30" applyAlignment="1" pivotButton="0" quotePrefix="0" xfId="1">
      <alignment vertical="center" wrapText="1" shrinkToFit="1"/>
    </xf>
    <xf numFmtId="165" fontId="23" fillId="9" borderId="31" applyAlignment="1" pivotButton="0" quotePrefix="0" xfId="1">
      <alignment vertical="center" wrapText="1" shrinkToFit="1"/>
    </xf>
    <xf numFmtId="165" fontId="23" fillId="9" borderId="32" applyAlignment="1" pivotButton="0" quotePrefix="0" xfId="1">
      <alignment vertical="center" wrapText="1" shrinkToFit="1"/>
    </xf>
    <xf numFmtId="165" fontId="23" fillId="9" borderId="33" applyAlignment="1" pivotButton="0" quotePrefix="0" xfId="1">
      <alignment vertical="center" wrapText="1" shrinkToFit="1"/>
    </xf>
    <xf numFmtId="165" fontId="23" fillId="9" borderId="34" applyAlignment="1" pivotButton="0" quotePrefix="0" xfId="1">
      <alignment vertical="center" wrapText="1" shrinkToFit="1"/>
    </xf>
    <xf numFmtId="165" fontId="11" fillId="9" borderId="35" applyAlignment="1" pivotButton="0" quotePrefix="0" xfId="1">
      <alignment vertical="center" wrapText="1" shrinkToFit="1"/>
    </xf>
    <xf numFmtId="165" fontId="11" fillId="9" borderId="34" applyAlignment="1" pivotButton="0" quotePrefix="0" xfId="1">
      <alignment vertical="center" wrapText="1" shrinkToFit="1"/>
    </xf>
    <xf numFmtId="165" fontId="11" fillId="9" borderId="103" applyAlignment="1" pivotButton="0" quotePrefix="0" xfId="1">
      <alignment vertical="center" wrapText="1" shrinkToFit="1"/>
    </xf>
    <xf numFmtId="165" fontId="23" fillId="9" borderId="31" applyAlignment="1" pivotButton="0" quotePrefix="0" xfId="1">
      <alignment horizontal="left" vertical="center" wrapText="1" shrinkToFit="1"/>
    </xf>
    <xf numFmtId="165" fontId="18" fillId="9" borderId="40" applyAlignment="1" pivotButton="0" quotePrefix="0" xfId="1">
      <alignment vertical="center" wrapText="1" shrinkToFit="1"/>
    </xf>
    <xf numFmtId="165" fontId="18" fillId="9" borderId="29" applyAlignment="1" pivotButton="0" quotePrefix="0" xfId="1">
      <alignment vertical="center" wrapText="1" shrinkToFit="1"/>
    </xf>
    <xf numFmtId="165" fontId="18" fillId="9" borderId="30" applyAlignment="1" pivotButton="0" quotePrefix="0" xfId="1">
      <alignment horizontal="center" vertical="center" wrapText="1" shrinkToFit="1"/>
    </xf>
    <xf numFmtId="165" fontId="18" fillId="9" borderId="42" applyAlignment="1" pivotButton="0" quotePrefix="0" xfId="1">
      <alignment horizontal="center" vertical="center" wrapText="1" shrinkToFit="1"/>
    </xf>
    <xf numFmtId="165" fontId="18" fillId="9" borderId="41" applyAlignment="1" pivotButton="0" quotePrefix="0" xfId="1">
      <alignment vertical="center" wrapText="1" shrinkToFit="1"/>
    </xf>
    <xf numFmtId="165" fontId="18" fillId="9" borderId="30" applyAlignment="1" pivotButton="0" quotePrefix="0" xfId="1">
      <alignment vertical="center" wrapText="1" shrinkToFit="1"/>
    </xf>
    <xf numFmtId="165" fontId="18" fillId="9" borderId="31" applyAlignment="1" pivotButton="0" quotePrefix="0" xfId="1">
      <alignment vertical="center" wrapText="1" shrinkToFit="1"/>
    </xf>
    <xf numFmtId="165" fontId="18" fillId="9" borderId="34" applyAlignment="1" pivotButton="0" quotePrefix="0" xfId="1">
      <alignment vertical="center" wrapText="1" shrinkToFit="1"/>
    </xf>
    <xf numFmtId="165" fontId="11" fillId="0" borderId="43" applyAlignment="1" pivotButton="0" quotePrefix="0" xfId="3">
      <alignment horizontal="center" vertical="center" wrapText="1" shrinkToFit="1"/>
    </xf>
    <xf numFmtId="165" fontId="23" fillId="9" borderId="46" applyAlignment="1" pivotButton="0" quotePrefix="0" xfId="1">
      <alignment vertical="center" wrapText="1" shrinkToFit="1"/>
    </xf>
    <xf numFmtId="166" fontId="11" fillId="0" borderId="47" applyAlignment="1" pivotButton="0" quotePrefix="0" xfId="1">
      <alignment vertical="top" wrapText="1" shrinkToFit="1"/>
    </xf>
    <xf numFmtId="165" fontId="18" fillId="0" borderId="51" applyAlignment="1" pivotButton="0" quotePrefix="0" xfId="1">
      <alignment vertical="center" wrapText="1" shrinkToFit="1"/>
    </xf>
    <xf numFmtId="165" fontId="18" fillId="0" borderId="44" applyAlignment="1" pivotButton="0" quotePrefix="0" xfId="1">
      <alignment vertical="center" wrapText="1" shrinkToFit="1"/>
    </xf>
    <xf numFmtId="165" fontId="18" fillId="0" borderId="45" applyAlignment="1" pivotButton="0" quotePrefix="0" xfId="1">
      <alignment horizontal="center" vertical="center" wrapText="1" shrinkToFit="1"/>
    </xf>
    <xf numFmtId="165" fontId="18" fillId="0" borderId="53" applyAlignment="1" pivotButton="0" quotePrefix="0" xfId="1">
      <alignment horizontal="center" vertical="center" wrapText="1" shrinkToFit="1"/>
    </xf>
    <xf numFmtId="165" fontId="18" fillId="0" borderId="52" applyAlignment="1" pivotButton="0" quotePrefix="0" xfId="1">
      <alignment vertical="center" wrapText="1" shrinkToFit="1"/>
    </xf>
    <xf numFmtId="165" fontId="18" fillId="0" borderId="45" applyAlignment="1" pivotButton="0" quotePrefix="0" xfId="1">
      <alignment vertical="center" wrapText="1" shrinkToFit="1"/>
    </xf>
    <xf numFmtId="165" fontId="18" fillId="0" borderId="46" applyAlignment="1" pivotButton="0" quotePrefix="0" xfId="1">
      <alignment vertical="center" wrapText="1" shrinkToFit="1"/>
    </xf>
    <xf numFmtId="165" fontId="18" fillId="0" borderId="49" applyAlignment="1" pivotButton="0" quotePrefix="0" xfId="1">
      <alignment vertical="center" wrapText="1" shrinkToFit="1"/>
    </xf>
    <xf numFmtId="166" fontId="11" fillId="0" borderId="46" applyAlignment="1" pivotButton="0" quotePrefix="0" xfId="3">
      <alignment horizontal="left" vertical="center" shrinkToFit="1"/>
    </xf>
    <xf numFmtId="165" fontId="23" fillId="9" borderId="67" applyAlignment="1" pivotButton="0" quotePrefix="0" xfId="1">
      <alignment vertical="center" wrapText="1" shrinkToFit="1"/>
    </xf>
    <xf numFmtId="166" fontId="11" fillId="0" borderId="68" applyAlignment="1" pivotButton="0" quotePrefix="0" xfId="1">
      <alignment vertical="top" wrapText="1" shrinkToFit="1"/>
    </xf>
    <xf numFmtId="165" fontId="18" fillId="0" borderId="73" applyAlignment="1" pivotButton="0" quotePrefix="0" xfId="1">
      <alignment vertical="center" wrapText="1" shrinkToFit="1"/>
    </xf>
    <xf numFmtId="165" fontId="18" fillId="0" borderId="65" applyAlignment="1" pivotButton="0" quotePrefix="0" xfId="1">
      <alignment vertical="center" wrapText="1" shrinkToFit="1"/>
    </xf>
    <xf numFmtId="165" fontId="18" fillId="0" borderId="66" applyAlignment="1" pivotButton="0" quotePrefix="0" xfId="1">
      <alignment horizontal="center" vertical="center" wrapText="1" shrinkToFit="1"/>
    </xf>
    <xf numFmtId="165" fontId="18" fillId="0" borderId="97" applyAlignment="1" pivotButton="0" quotePrefix="0" xfId="1">
      <alignment horizontal="center" vertical="center" wrapText="1" shrinkToFit="1"/>
    </xf>
    <xf numFmtId="165" fontId="18" fillId="0" borderId="74" applyAlignment="1" pivotButton="0" quotePrefix="0" xfId="1">
      <alignment vertical="center" wrapText="1" shrinkToFit="1"/>
    </xf>
    <xf numFmtId="165" fontId="18" fillId="0" borderId="66" applyAlignment="1" pivotButton="0" quotePrefix="0" xfId="1">
      <alignment vertical="center" wrapText="1" shrinkToFit="1"/>
    </xf>
    <xf numFmtId="165" fontId="18" fillId="0" borderId="67" applyAlignment="1" pivotButton="0" quotePrefix="0" xfId="1">
      <alignment vertical="center" wrapText="1" shrinkToFit="1"/>
    </xf>
    <xf numFmtId="165" fontId="18" fillId="0" borderId="70" applyAlignment="1" pivotButton="0" quotePrefix="0" xfId="1">
      <alignment vertical="center" wrapText="1" shrinkToFit="1"/>
    </xf>
    <xf numFmtId="165" fontId="23" fillId="9" borderId="75" applyAlignment="1" pivotButton="0" quotePrefix="0" xfId="3">
      <alignment horizontal="left" vertical="center"/>
    </xf>
    <xf numFmtId="165" fontId="23" fillId="9" borderId="76" applyAlignment="1" pivotButton="0" quotePrefix="0" xfId="3">
      <alignment vertical="center"/>
    </xf>
    <xf numFmtId="165" fontId="23" fillId="9" borderId="104" applyAlignment="1" pivotButton="0" quotePrefix="0" xfId="3">
      <alignment vertical="center"/>
    </xf>
    <xf numFmtId="165" fontId="23" fillId="10" borderId="77" applyAlignment="1" pivotButton="0" quotePrefix="0" xfId="1">
      <alignment vertical="center" wrapText="1" shrinkToFit="1"/>
    </xf>
    <xf numFmtId="165" fontId="23" fillId="10" borderId="78" applyAlignment="1" pivotButton="0" quotePrefix="0" xfId="1">
      <alignment vertical="center" wrapText="1" shrinkToFit="1"/>
    </xf>
    <xf numFmtId="165" fontId="23" fillId="10" borderId="79" applyAlignment="1" pivotButton="0" quotePrefix="0" xfId="1">
      <alignment vertical="center" wrapText="1" shrinkToFit="1"/>
    </xf>
    <xf numFmtId="165" fontId="23" fillId="10" borderId="80" applyAlignment="1" pivotButton="0" quotePrefix="0" xfId="1">
      <alignment vertical="center" wrapText="1" shrinkToFit="1"/>
    </xf>
    <xf numFmtId="165" fontId="23" fillId="10" borderId="81" applyAlignment="1" pivotButton="0" quotePrefix="0" xfId="1">
      <alignment vertical="center" wrapText="1" shrinkToFit="1"/>
    </xf>
    <xf numFmtId="165" fontId="23" fillId="10" borderId="82" applyAlignment="1" pivotButton="0" quotePrefix="0" xfId="1">
      <alignment vertical="center" wrapText="1" shrinkToFit="1"/>
    </xf>
    <xf numFmtId="165" fontId="11" fillId="10" borderId="83" applyAlignment="1" pivotButton="0" quotePrefix="0" xfId="1">
      <alignment vertical="center" wrapText="1" shrinkToFit="1"/>
    </xf>
    <xf numFmtId="165" fontId="11" fillId="10" borderId="82" applyAlignment="1" pivotButton="0" quotePrefix="0" xfId="1">
      <alignment vertical="center" wrapText="1" shrinkToFit="1"/>
    </xf>
    <xf numFmtId="165" fontId="11" fillId="10" borderId="84" applyAlignment="1" pivotButton="0" quotePrefix="0" xfId="1">
      <alignment vertical="center" wrapText="1" shrinkToFit="1"/>
    </xf>
    <xf numFmtId="165" fontId="23" fillId="10" borderId="86" applyAlignment="1" pivotButton="0" quotePrefix="0" xfId="1">
      <alignment vertical="center" wrapText="1" shrinkToFit="1"/>
    </xf>
    <xf numFmtId="165" fontId="23" fillId="10" borderId="79" applyAlignment="1" pivotButton="0" quotePrefix="0" xfId="1">
      <alignment horizontal="left" vertical="center" wrapText="1" shrinkToFit="1"/>
    </xf>
    <xf numFmtId="165" fontId="18" fillId="10" borderId="86" applyAlignment="1" pivotButton="0" quotePrefix="0" xfId="1">
      <alignment vertical="center" wrapText="1" shrinkToFit="1"/>
    </xf>
    <xf numFmtId="165" fontId="18" fillId="10" borderId="77" applyAlignment="1" pivotButton="0" quotePrefix="0" xfId="1">
      <alignment vertical="center" wrapText="1" shrinkToFit="1"/>
    </xf>
    <xf numFmtId="165" fontId="18" fillId="10" borderId="78" applyAlignment="1" pivotButton="0" quotePrefix="0" xfId="1">
      <alignment horizontal="center" vertical="center" wrapText="1" shrinkToFit="1"/>
    </xf>
    <xf numFmtId="165" fontId="18" fillId="10" borderId="105" applyAlignment="1" pivotButton="0" quotePrefix="0" xfId="1">
      <alignment horizontal="center" vertical="center" wrapText="1" shrinkToFit="1"/>
    </xf>
    <xf numFmtId="165" fontId="18" fillId="10" borderId="87" applyAlignment="1" pivotButton="0" quotePrefix="0" xfId="1">
      <alignment vertical="center" wrapText="1" shrinkToFit="1"/>
    </xf>
    <xf numFmtId="165" fontId="18" fillId="10" borderId="78" applyAlignment="1" pivotButton="0" quotePrefix="0" xfId="1">
      <alignment vertical="center" wrapText="1" shrinkToFit="1"/>
    </xf>
    <xf numFmtId="165" fontId="18" fillId="10" borderId="79" applyAlignment="1" pivotButton="0" quotePrefix="0" xfId="1">
      <alignment vertical="center" wrapText="1" shrinkToFit="1"/>
    </xf>
    <xf numFmtId="165" fontId="18" fillId="10" borderId="82" applyAlignment="1" pivotButton="0" quotePrefix="0" xfId="1">
      <alignment vertical="center" wrapText="1" shrinkToFit="1"/>
    </xf>
    <xf numFmtId="165" fontId="11" fillId="10" borderId="55" applyAlignment="1" pivotButton="0" quotePrefix="0" xfId="1">
      <alignment vertical="center" wrapText="1" shrinkToFit="1"/>
    </xf>
    <xf numFmtId="166" fontId="20" fillId="0" borderId="66" applyAlignment="1" pivotButton="0" quotePrefix="0" xfId="3">
      <alignment horizontal="center" vertical="center" shrinkToFit="1"/>
    </xf>
    <xf numFmtId="167" fontId="20" fillId="0" borderId="46" applyAlignment="1" pivotButton="0" quotePrefix="0" xfId="3">
      <alignment horizontal="center" vertical="center" shrinkToFit="1"/>
    </xf>
    <xf numFmtId="165" fontId="21" fillId="0" borderId="40" applyAlignment="1" pivotButton="0" quotePrefix="0" xfId="1">
      <alignment vertical="center" wrapText="1" shrinkToFit="1"/>
    </xf>
    <xf numFmtId="165" fontId="21" fillId="0" borderId="30" applyAlignment="1" pivotButton="0" quotePrefix="0" xfId="1">
      <alignment vertical="center" wrapText="1" shrinkToFit="1"/>
    </xf>
    <xf numFmtId="165" fontId="21" fillId="0" borderId="27" applyAlignment="1" pivotButton="0" quotePrefix="0" xfId="1">
      <alignment vertical="center" wrapText="1" shrinkToFit="1"/>
    </xf>
    <xf numFmtId="165" fontId="21" fillId="0" borderId="41" applyAlignment="1" pivotButton="0" quotePrefix="0" xfId="1">
      <alignment vertical="center" wrapText="1" shrinkToFit="1"/>
    </xf>
    <xf numFmtId="0" fontId="11" fillId="0" borderId="27" applyAlignment="1" pivotButton="0" quotePrefix="0" xfId="0">
      <alignment horizontal="center" vertical="center" wrapText="1" shrinkToFit="1"/>
    </xf>
    <xf numFmtId="14" fontId="19" fillId="0" borderId="28" applyAlignment="1" pivotButton="0" quotePrefix="0" xfId="0">
      <alignment horizontal="right" vertical="center" shrinkToFit="1"/>
    </xf>
    <xf numFmtId="165" fontId="11" fillId="0" borderId="29" applyAlignment="1" pivotButton="0" quotePrefix="0" xfId="0">
      <alignment vertical="center" wrapText="1" shrinkToFit="1"/>
    </xf>
    <xf numFmtId="165" fontId="11" fillId="0" borderId="30" applyAlignment="1" pivotButton="0" quotePrefix="0" xfId="0">
      <alignment vertical="center" wrapText="1" shrinkToFit="1"/>
    </xf>
    <xf numFmtId="165" fontId="11" fillId="23" borderId="31" applyAlignment="1" pivotButton="0" quotePrefix="0" xfId="0">
      <alignment vertical="center" wrapText="1" shrinkToFit="1"/>
    </xf>
    <xf numFmtId="166" fontId="11" fillId="0" borderId="48" applyAlignment="1" pivotButton="0" quotePrefix="0" xfId="0">
      <alignment vertical="center" wrapText="1" shrinkToFit="1"/>
    </xf>
    <xf numFmtId="165" fontId="11" fillId="0" borderId="32" applyAlignment="1" pivotButton="0" quotePrefix="0" xfId="0">
      <alignment vertical="center" wrapText="1" shrinkToFit="1"/>
    </xf>
    <xf numFmtId="165" fontId="11" fillId="0" borderId="33" applyAlignment="1" pivotButton="0" quotePrefix="0" xfId="0">
      <alignment vertical="center" wrapText="1" shrinkToFit="1"/>
    </xf>
    <xf numFmtId="165" fontId="11" fillId="0" borderId="34" applyAlignment="1" pivotButton="0" quotePrefix="0" xfId="0">
      <alignment vertical="center" wrapText="1" shrinkToFit="1"/>
    </xf>
    <xf numFmtId="165" fontId="11" fillId="0" borderId="35" applyAlignment="1" pivotButton="0" quotePrefix="0" xfId="0">
      <alignment vertical="center" wrapText="1" shrinkToFit="1"/>
    </xf>
    <xf numFmtId="165" fontId="11" fillId="23" borderId="94" applyAlignment="1" pivotButton="0" quotePrefix="0" xfId="0">
      <alignment vertical="center" wrapText="1" shrinkToFit="1"/>
    </xf>
    <xf numFmtId="0" fontId="20" fillId="0" borderId="51" applyAlignment="1" pivotButton="0" quotePrefix="0" xfId="0">
      <alignment horizontal="center" vertical="center" shrinkToFit="1"/>
    </xf>
    <xf numFmtId="166" fontId="20" fillId="0" borderId="66" applyAlignment="1" pivotButton="0" quotePrefix="0" xfId="0">
      <alignment horizontal="center" vertical="center" shrinkToFit="1"/>
    </xf>
    <xf numFmtId="167" fontId="20" fillId="0" borderId="46" applyAlignment="1" pivotButton="0" quotePrefix="0" xfId="0">
      <alignment horizontal="center" vertical="center" shrinkToFit="1"/>
    </xf>
    <xf numFmtId="165" fontId="11" fillId="0" borderId="40" applyAlignment="1" pivotButton="0" quotePrefix="0" xfId="0">
      <alignment vertical="center" wrapText="1" shrinkToFit="1"/>
    </xf>
    <xf numFmtId="165" fontId="11" fillId="0" borderId="30" applyAlignment="1" pivotButton="0" quotePrefix="0" xfId="0">
      <alignment horizontal="center" vertical="center" wrapText="1" shrinkToFit="1"/>
    </xf>
    <xf numFmtId="165" fontId="11" fillId="0" borderId="53" applyAlignment="1" pivotButton="0" quotePrefix="0" xfId="0">
      <alignment horizontal="center" vertical="center" wrapText="1" shrinkToFit="1"/>
    </xf>
    <xf numFmtId="165" fontId="11" fillId="0" borderId="41" applyAlignment="1" pivotButton="0" quotePrefix="0" xfId="0">
      <alignment vertical="center" wrapText="1" shrinkToFit="1"/>
    </xf>
    <xf numFmtId="165" fontId="21" fillId="0" borderId="40" applyAlignment="1" pivotButton="0" quotePrefix="0" xfId="0">
      <alignment vertical="center" wrapText="1" shrinkToFit="1"/>
    </xf>
    <xf numFmtId="165" fontId="21" fillId="0" borderId="29" applyAlignment="1" pivotButton="0" quotePrefix="0" xfId="0">
      <alignment vertical="center" wrapText="1" shrinkToFit="1"/>
    </xf>
    <xf numFmtId="165" fontId="21" fillId="0" borderId="30" applyAlignment="1" pivotButton="0" quotePrefix="0" xfId="0">
      <alignment vertical="center" wrapText="1" shrinkToFit="1"/>
    </xf>
    <xf numFmtId="165" fontId="21" fillId="0" borderId="42" applyAlignment="1" pivotButton="0" quotePrefix="0" xfId="0">
      <alignment vertical="center" wrapText="1" shrinkToFit="1"/>
    </xf>
    <xf numFmtId="165" fontId="21" fillId="0" borderId="27" applyAlignment="1" pivotButton="0" quotePrefix="0" xfId="0">
      <alignment vertical="center" wrapText="1" shrinkToFit="1"/>
    </xf>
    <xf numFmtId="165" fontId="21" fillId="0" borderId="41" applyAlignment="1" pivotButton="0" quotePrefix="0" xfId="0">
      <alignment vertical="center" wrapText="1" shrinkToFit="1"/>
    </xf>
    <xf numFmtId="165" fontId="22" fillId="0" borderId="52" applyAlignment="1" pivotButton="0" quotePrefix="0" xfId="0">
      <alignment vertical="center" wrapText="1" shrinkToFit="1"/>
    </xf>
    <xf numFmtId="165" fontId="11" fillId="0" borderId="43" applyAlignment="1" pivotButton="0" quotePrefix="0" xfId="0">
      <alignment vertical="center" wrapText="1" shrinkToFit="1"/>
    </xf>
    <xf numFmtId="165" fontId="11" fillId="0" borderId="45" applyAlignment="1" pivotButton="0" quotePrefix="0" xfId="0">
      <alignment vertical="center" wrapText="1" shrinkToFit="1"/>
    </xf>
    <xf numFmtId="165" fontId="11" fillId="0" borderId="52" applyAlignment="1" pivotButton="0" quotePrefix="0" xfId="0">
      <alignment vertical="center" wrapText="1" shrinkToFit="1"/>
    </xf>
    <xf numFmtId="165" fontId="11" fillId="0" borderId="44" applyAlignment="1" pivotButton="0" quotePrefix="0" xfId="0">
      <alignment vertical="center" wrapText="1" shrinkToFit="1"/>
    </xf>
    <xf numFmtId="0" fontId="11" fillId="10" borderId="54" applyAlignment="1" pivotButton="0" quotePrefix="0" xfId="0">
      <alignment horizontal="center" vertical="center" wrapText="1" shrinkToFit="1"/>
    </xf>
    <xf numFmtId="165" fontId="23" fillId="10" borderId="55" applyAlignment="1" pivotButton="0" quotePrefix="0" xfId="0">
      <alignment vertical="center" wrapText="1" shrinkToFit="1"/>
    </xf>
    <xf numFmtId="165" fontId="11" fillId="10" borderId="101" applyAlignment="1" pivotButton="0" quotePrefix="0" xfId="0">
      <alignment vertical="center" wrapText="1" shrinkToFit="1"/>
    </xf>
    <xf numFmtId="165" fontId="23" fillId="10" borderId="100" applyAlignment="1" pivotButton="0" quotePrefix="0" xfId="0">
      <alignment vertical="center" wrapText="1" shrinkToFit="1"/>
    </xf>
    <xf numFmtId="165" fontId="23" fillId="10" borderId="55" applyAlignment="1" pivotButton="0" quotePrefix="0" xfId="0">
      <alignment horizontal="left" vertical="center" wrapText="1" shrinkToFit="1"/>
    </xf>
    <xf numFmtId="165" fontId="18" fillId="10" borderId="55" applyAlignment="1" pivotButton="0" quotePrefix="0" xfId="0">
      <alignment vertical="center" wrapText="1" shrinkToFit="1"/>
    </xf>
    <xf numFmtId="165" fontId="18" fillId="10" borderId="56" applyAlignment="1" pivotButton="0" quotePrefix="0" xfId="0">
      <alignment vertical="center" wrapText="1" shrinkToFit="1"/>
    </xf>
    <xf numFmtId="165" fontId="23" fillId="23" borderId="102" applyAlignment="1" pivotButton="0" quotePrefix="0" xfId="0">
      <alignment horizontal="left" vertical="center"/>
    </xf>
    <xf numFmtId="165" fontId="23" fillId="23" borderId="36" applyAlignment="1" pivotButton="0" quotePrefix="0" xfId="0">
      <alignment vertical="center" wrapText="1" shrinkToFit="1"/>
    </xf>
    <xf numFmtId="165" fontId="23" fillId="23" borderId="34" applyAlignment="1" pivotButton="0" quotePrefix="0" xfId="0">
      <alignment vertical="center" wrapText="1" shrinkToFit="1"/>
    </xf>
    <xf numFmtId="165" fontId="23" fillId="23" borderId="29" applyAlignment="1" pivotButton="0" quotePrefix="0" xfId="0">
      <alignment vertical="center" wrapText="1" shrinkToFit="1"/>
    </xf>
    <xf numFmtId="165" fontId="23" fillId="23" borderId="30" applyAlignment="1" pivotButton="0" quotePrefix="0" xfId="0">
      <alignment vertical="center" wrapText="1" shrinkToFit="1"/>
    </xf>
    <xf numFmtId="165" fontId="23" fillId="23" borderId="31" applyAlignment="1" pivotButton="0" quotePrefix="0" xfId="0">
      <alignment vertical="center" wrapText="1" shrinkToFit="1"/>
    </xf>
    <xf numFmtId="165" fontId="23" fillId="23" borderId="32" applyAlignment="1" pivotButton="0" quotePrefix="0" xfId="0">
      <alignment vertical="center" wrapText="1" shrinkToFit="1"/>
    </xf>
    <xf numFmtId="165" fontId="23" fillId="23" borderId="33" applyAlignment="1" pivotButton="0" quotePrefix="0" xfId="0">
      <alignment vertical="center" wrapText="1" shrinkToFit="1"/>
    </xf>
    <xf numFmtId="165" fontId="11" fillId="23" borderId="35" applyAlignment="1" pivotButton="0" quotePrefix="0" xfId="0">
      <alignment vertical="center" wrapText="1" shrinkToFit="1"/>
    </xf>
    <xf numFmtId="165" fontId="11" fillId="23" borderId="34" applyAlignment="1" pivotButton="0" quotePrefix="0" xfId="0">
      <alignment vertical="center" wrapText="1" shrinkToFit="1"/>
    </xf>
    <xf numFmtId="165" fontId="11" fillId="23" borderId="103" applyAlignment="1" pivotButton="0" quotePrefix="0" xfId="0">
      <alignment vertical="center" wrapText="1" shrinkToFit="1"/>
    </xf>
    <xf numFmtId="165" fontId="23" fillId="23" borderId="31" applyAlignment="1" pivotButton="0" quotePrefix="0" xfId="0">
      <alignment horizontal="left" vertical="center" wrapText="1" shrinkToFit="1"/>
    </xf>
    <xf numFmtId="165" fontId="18" fillId="23" borderId="40" applyAlignment="1" pivotButton="0" quotePrefix="0" xfId="0">
      <alignment vertical="center" wrapText="1" shrinkToFit="1"/>
    </xf>
    <xf numFmtId="165" fontId="18" fillId="23" borderId="29" applyAlignment="1" pivotButton="0" quotePrefix="0" xfId="0">
      <alignment vertical="center" wrapText="1" shrinkToFit="1"/>
    </xf>
    <xf numFmtId="165" fontId="18" fillId="23" borderId="30" applyAlignment="1" pivotButton="0" quotePrefix="0" xfId="0">
      <alignment horizontal="center" vertical="center" wrapText="1" shrinkToFit="1"/>
    </xf>
    <xf numFmtId="165" fontId="18" fillId="23" borderId="42" applyAlignment="1" pivotButton="0" quotePrefix="0" xfId="0">
      <alignment horizontal="center" vertical="center" wrapText="1" shrinkToFit="1"/>
    </xf>
    <xf numFmtId="165" fontId="18" fillId="23" borderId="41" applyAlignment="1" pivotButton="0" quotePrefix="0" xfId="0">
      <alignment vertical="center" wrapText="1" shrinkToFit="1"/>
    </xf>
    <xf numFmtId="165" fontId="18" fillId="23" borderId="30" applyAlignment="1" pivotButton="0" quotePrefix="0" xfId="0">
      <alignment vertical="center" wrapText="1" shrinkToFit="1"/>
    </xf>
    <xf numFmtId="165" fontId="18" fillId="23" borderId="31" applyAlignment="1" pivotButton="0" quotePrefix="0" xfId="0">
      <alignment vertical="center" wrapText="1" shrinkToFit="1"/>
    </xf>
    <xf numFmtId="165" fontId="18" fillId="23" borderId="34" applyAlignment="1" pivotButton="0" quotePrefix="0" xfId="0">
      <alignment vertical="center" wrapText="1" shrinkToFit="1"/>
    </xf>
    <xf numFmtId="165" fontId="11" fillId="0" borderId="43" applyAlignment="1" pivotButton="0" quotePrefix="0" xfId="0">
      <alignment horizontal="center" vertical="center" wrapText="1" shrinkToFit="1"/>
    </xf>
    <xf numFmtId="14" fontId="11" fillId="0" borderId="28" applyAlignment="1" pivotButton="0" quotePrefix="0" xfId="0">
      <alignment horizontal="right" vertical="center" shrinkToFit="1"/>
    </xf>
    <xf numFmtId="14" fontId="11" fillId="0" borderId="49" applyAlignment="1" pivotButton="0" quotePrefix="0" xfId="0">
      <alignment horizontal="right" vertical="center" shrinkToFit="1"/>
    </xf>
    <xf numFmtId="165" fontId="23" fillId="23" borderId="46" applyAlignment="1" pivotButton="0" quotePrefix="0" xfId="0">
      <alignment vertical="center" wrapText="1" shrinkToFit="1"/>
    </xf>
    <xf numFmtId="165" fontId="11" fillId="0" borderId="47" applyAlignment="1" pivotButton="0" quotePrefix="0" xfId="0">
      <alignment vertical="center" wrapText="1" shrinkToFit="1"/>
    </xf>
    <xf numFmtId="166" fontId="11" fillId="0" borderId="47" applyAlignment="1" pivotButton="0" quotePrefix="0" xfId="0">
      <alignment vertical="top" wrapText="1" shrinkToFit="1"/>
    </xf>
    <xf numFmtId="165" fontId="11" fillId="0" borderId="48" applyAlignment="1" pivotButton="0" quotePrefix="0" xfId="0">
      <alignment vertical="center" wrapText="1" shrinkToFit="1"/>
    </xf>
    <xf numFmtId="165" fontId="11" fillId="0" borderId="49" applyAlignment="1" pivotButton="0" quotePrefix="0" xfId="0">
      <alignment vertical="center" wrapText="1" shrinkToFit="1"/>
    </xf>
    <xf numFmtId="165" fontId="11" fillId="0" borderId="50" applyAlignment="1" pivotButton="0" quotePrefix="0" xfId="0">
      <alignment vertical="center" wrapText="1" shrinkToFit="1"/>
    </xf>
    <xf numFmtId="0" fontId="11" fillId="0" borderId="46" applyAlignment="1" pivotButton="0" quotePrefix="0" xfId="0">
      <alignment horizontal="left" vertical="center" shrinkToFit="1"/>
    </xf>
    <xf numFmtId="165" fontId="18" fillId="0" borderId="51" applyAlignment="1" pivotButton="0" quotePrefix="0" xfId="0">
      <alignment vertical="center" wrapText="1" shrinkToFit="1"/>
    </xf>
    <xf numFmtId="165" fontId="18" fillId="0" borderId="44" applyAlignment="1" pivotButton="0" quotePrefix="0" xfId="0">
      <alignment vertical="center" wrapText="1" shrinkToFit="1"/>
    </xf>
    <xf numFmtId="165" fontId="18" fillId="0" borderId="45" applyAlignment="1" pivotButton="0" quotePrefix="0" xfId="0">
      <alignment horizontal="center" vertical="center" wrapText="1" shrinkToFit="1"/>
    </xf>
    <xf numFmtId="165" fontId="18" fillId="0" borderId="53" applyAlignment="1" pivotButton="0" quotePrefix="0" xfId="0">
      <alignment horizontal="center" vertical="center" wrapText="1" shrinkToFit="1"/>
    </xf>
    <xf numFmtId="165" fontId="18" fillId="0" borderId="52" applyAlignment="1" pivotButton="0" quotePrefix="0" xfId="0">
      <alignment vertical="center" wrapText="1" shrinkToFit="1"/>
    </xf>
    <xf numFmtId="165" fontId="18" fillId="0" borderId="45" applyAlignment="1" pivotButton="0" quotePrefix="0" xfId="0">
      <alignment vertical="center" wrapText="1" shrinkToFit="1"/>
    </xf>
    <xf numFmtId="165" fontId="18" fillId="0" borderId="46" applyAlignment="1" pivotButton="0" quotePrefix="0" xfId="0">
      <alignment vertical="center" wrapText="1" shrinkToFit="1"/>
    </xf>
    <xf numFmtId="165" fontId="18" fillId="0" borderId="49" applyAlignment="1" pivotButton="0" quotePrefix="0" xfId="0">
      <alignment vertical="center" wrapText="1" shrinkToFit="1"/>
    </xf>
    <xf numFmtId="166" fontId="11" fillId="0" borderId="46" applyAlignment="1" pivotButton="0" quotePrefix="0" xfId="0">
      <alignment horizontal="left" vertical="center" shrinkToFit="1"/>
    </xf>
    <xf numFmtId="14" fontId="11" fillId="0" borderId="70" applyAlignment="1" pivotButton="0" quotePrefix="0" xfId="0">
      <alignment horizontal="right" vertical="center" shrinkToFit="1"/>
    </xf>
    <xf numFmtId="165" fontId="11" fillId="0" borderId="65" applyAlignment="1" pivotButton="0" quotePrefix="0" xfId="0">
      <alignment vertical="center" wrapText="1" shrinkToFit="1"/>
    </xf>
    <xf numFmtId="165" fontId="11" fillId="0" borderId="66" applyAlignment="1" pivotButton="0" quotePrefix="0" xfId="0">
      <alignment vertical="center" wrapText="1" shrinkToFit="1"/>
    </xf>
    <xf numFmtId="165" fontId="23" fillId="23" borderId="67" applyAlignment="1" pivotButton="0" quotePrefix="0" xfId="0">
      <alignment vertical="center" wrapText="1" shrinkToFit="1"/>
    </xf>
    <xf numFmtId="165" fontId="11" fillId="0" borderId="68" applyAlignment="1" pivotButton="0" quotePrefix="0" xfId="0">
      <alignment vertical="center" wrapText="1" shrinkToFit="1"/>
    </xf>
    <xf numFmtId="166" fontId="11" fillId="0" borderId="68" applyAlignment="1" pivotButton="0" quotePrefix="0" xfId="0">
      <alignment vertical="top" wrapText="1" shrinkToFit="1"/>
    </xf>
    <xf numFmtId="165" fontId="11" fillId="0" borderId="69" applyAlignment="1" pivotButton="0" quotePrefix="0" xfId="0">
      <alignment vertical="center" wrapText="1" shrinkToFit="1"/>
    </xf>
    <xf numFmtId="165" fontId="11" fillId="0" borderId="70" applyAlignment="1" pivotButton="0" quotePrefix="0" xfId="0">
      <alignment vertical="center" wrapText="1" shrinkToFit="1"/>
    </xf>
    <xf numFmtId="165" fontId="11" fillId="0" borderId="71" applyAlignment="1" pivotButton="0" quotePrefix="0" xfId="0">
      <alignment vertical="center" wrapText="1" shrinkToFit="1"/>
    </xf>
    <xf numFmtId="165" fontId="18" fillId="0" borderId="73" applyAlignment="1" pivotButton="0" quotePrefix="0" xfId="0">
      <alignment vertical="center" wrapText="1" shrinkToFit="1"/>
    </xf>
    <xf numFmtId="165" fontId="18" fillId="0" borderId="65" applyAlignment="1" pivotButton="0" quotePrefix="0" xfId="0">
      <alignment vertical="center" wrapText="1" shrinkToFit="1"/>
    </xf>
    <xf numFmtId="165" fontId="18" fillId="0" borderId="66" applyAlignment="1" pivotButton="0" quotePrefix="0" xfId="0">
      <alignment horizontal="center" vertical="center" wrapText="1" shrinkToFit="1"/>
    </xf>
    <xf numFmtId="165" fontId="18" fillId="0" borderId="97" applyAlignment="1" pivotButton="0" quotePrefix="0" xfId="0">
      <alignment horizontal="center" vertical="center" wrapText="1" shrinkToFit="1"/>
    </xf>
    <xf numFmtId="165" fontId="18" fillId="0" borderId="74" applyAlignment="1" pivotButton="0" quotePrefix="0" xfId="0">
      <alignment vertical="center" wrapText="1" shrinkToFit="1"/>
    </xf>
    <xf numFmtId="165" fontId="18" fillId="0" borderId="66" applyAlignment="1" pivotButton="0" quotePrefix="0" xfId="0">
      <alignment vertical="center" wrapText="1" shrinkToFit="1"/>
    </xf>
    <xf numFmtId="165" fontId="18" fillId="0" borderId="67" applyAlignment="1" pivotButton="0" quotePrefix="0" xfId="0">
      <alignment vertical="center" wrapText="1" shrinkToFit="1"/>
    </xf>
    <xf numFmtId="165" fontId="18" fillId="0" borderId="70" applyAlignment="1" pivotButton="0" quotePrefix="0" xfId="0">
      <alignment vertical="center" wrapText="1" shrinkToFit="1"/>
    </xf>
    <xf numFmtId="165" fontId="23" fillId="23" borderId="75" applyAlignment="1" pivotButton="0" quotePrefix="0" xfId="0">
      <alignment horizontal="left" vertical="center"/>
    </xf>
    <xf numFmtId="165" fontId="23" fillId="23" borderId="76" applyAlignment="1" pivotButton="0" quotePrefix="0" xfId="0">
      <alignment vertical="center"/>
    </xf>
    <xf numFmtId="165" fontId="23" fillId="23" borderId="104" applyAlignment="1" pivotButton="0" quotePrefix="0" xfId="0">
      <alignment vertical="center"/>
    </xf>
    <xf numFmtId="165" fontId="23" fillId="10" borderId="77" applyAlignment="1" pivotButton="0" quotePrefix="0" xfId="0">
      <alignment vertical="center" wrapText="1" shrinkToFit="1"/>
    </xf>
    <xf numFmtId="165" fontId="23" fillId="10" borderId="78" applyAlignment="1" pivotButton="0" quotePrefix="0" xfId="0">
      <alignment vertical="center" wrapText="1" shrinkToFit="1"/>
    </xf>
    <xf numFmtId="165" fontId="23" fillId="10" borderId="79" applyAlignment="1" pivotButton="0" quotePrefix="0" xfId="0">
      <alignment vertical="center" wrapText="1" shrinkToFit="1"/>
    </xf>
    <xf numFmtId="165" fontId="23" fillId="10" borderId="80" applyAlignment="1" pivotButton="0" quotePrefix="0" xfId="0">
      <alignment vertical="center" wrapText="1" shrinkToFit="1"/>
    </xf>
    <xf numFmtId="165" fontId="23" fillId="10" borderId="81" applyAlignment="1" pivotButton="0" quotePrefix="0" xfId="0">
      <alignment vertical="center" wrapText="1" shrinkToFit="1"/>
    </xf>
    <xf numFmtId="165" fontId="23" fillId="10" borderId="82" applyAlignment="1" pivotButton="0" quotePrefix="0" xfId="0">
      <alignment vertical="center" wrapText="1" shrinkToFit="1"/>
    </xf>
    <xf numFmtId="165" fontId="11" fillId="10" borderId="83" applyAlignment="1" pivotButton="0" quotePrefix="0" xfId="0">
      <alignment vertical="center" wrapText="1" shrinkToFit="1"/>
    </xf>
    <xf numFmtId="165" fontId="11" fillId="10" borderId="82" applyAlignment="1" pivotButton="0" quotePrefix="0" xfId="0">
      <alignment vertical="center" wrapText="1" shrinkToFit="1"/>
    </xf>
    <xf numFmtId="165" fontId="11" fillId="10" borderId="84" applyAlignment="1" pivotButton="0" quotePrefix="0" xfId="0">
      <alignment vertical="center" wrapText="1" shrinkToFit="1"/>
    </xf>
    <xf numFmtId="165" fontId="23" fillId="10" borderId="86" applyAlignment="1" pivotButton="0" quotePrefix="0" xfId="0">
      <alignment vertical="center" wrapText="1" shrinkToFit="1"/>
    </xf>
    <xf numFmtId="165" fontId="23" fillId="10" borderId="79" applyAlignment="1" pivotButton="0" quotePrefix="0" xfId="0">
      <alignment horizontal="left" vertical="center" wrapText="1" shrinkToFit="1"/>
    </xf>
    <xf numFmtId="165" fontId="18" fillId="10" borderId="86" applyAlignment="1" pivotButton="0" quotePrefix="0" xfId="0">
      <alignment vertical="center" wrapText="1" shrinkToFit="1"/>
    </xf>
    <xf numFmtId="165" fontId="18" fillId="10" borderId="77" applyAlignment="1" pivotButton="0" quotePrefix="0" xfId="0">
      <alignment vertical="center" wrapText="1" shrinkToFit="1"/>
    </xf>
    <xf numFmtId="165" fontId="18" fillId="10" borderId="78" applyAlignment="1" pivotButton="0" quotePrefix="0" xfId="0">
      <alignment horizontal="center" vertical="center" wrapText="1" shrinkToFit="1"/>
    </xf>
    <xf numFmtId="165" fontId="18" fillId="10" borderId="105" applyAlignment="1" pivotButton="0" quotePrefix="0" xfId="0">
      <alignment horizontal="center" vertical="center" wrapText="1" shrinkToFit="1"/>
    </xf>
    <xf numFmtId="165" fontId="18" fillId="10" borderId="87" applyAlignment="1" pivotButton="0" quotePrefix="0" xfId="0">
      <alignment vertical="center" wrapText="1" shrinkToFit="1"/>
    </xf>
    <xf numFmtId="165" fontId="18" fillId="10" borderId="78" applyAlignment="1" pivotButton="0" quotePrefix="0" xfId="0">
      <alignment vertical="center" wrapText="1" shrinkToFit="1"/>
    </xf>
    <xf numFmtId="165" fontId="18" fillId="10" borderId="79" applyAlignment="1" pivotButton="0" quotePrefix="0" xfId="0">
      <alignment vertical="center" wrapText="1" shrinkToFit="1"/>
    </xf>
    <xf numFmtId="165" fontId="18" fillId="10" borderId="82" applyAlignment="1" pivotButton="0" quotePrefix="0" xfId="0">
      <alignment vertical="center" wrapText="1" shrinkToFit="1"/>
    </xf>
    <xf numFmtId="168" fontId="11" fillId="10" borderId="55" applyAlignment="1" pivotButton="0" quotePrefix="0" xfId="0">
      <alignment horizontal="center" vertical="center" wrapText="1" shrinkToFit="1"/>
    </xf>
    <xf numFmtId="165" fontId="11" fillId="10" borderId="55" applyAlignment="1" pivotButton="0" quotePrefix="0" xfId="0">
      <alignment vertical="center" wrapText="1" shrinkToFit="1"/>
    </xf>
    <xf numFmtId="164" fontId="2" fillId="0" borderId="0" applyAlignment="1" pivotButton="0" quotePrefix="0" xfId="0">
      <alignment vertical="center" wrapText="1" shrinkToFit="1"/>
    </xf>
    <xf numFmtId="165" fontId="4" fillId="0" borderId="0" applyAlignment="1" pivotButton="0" quotePrefix="0" xfId="1">
      <alignment vertical="center" wrapText="1" shrinkToFit="1"/>
    </xf>
    <xf numFmtId="165" fontId="6" fillId="0" borderId="0" applyAlignment="1" pivotButton="0" quotePrefix="0" xfId="0">
      <alignment vertical="center" wrapText="1" shrinkToFit="1"/>
    </xf>
    <xf numFmtId="164" fontId="1" fillId="2" borderId="2" applyAlignment="1" pivotButton="0" quotePrefix="0" xfId="3">
      <alignment horizontal="center" vertical="center" wrapText="1" shrinkToFit="1"/>
    </xf>
    <xf numFmtId="165" fontId="1" fillId="3" borderId="3" applyAlignment="1" pivotButton="0" quotePrefix="0" xfId="1">
      <alignment horizontal="center" vertical="center" wrapText="1" shrinkToFit="1"/>
    </xf>
    <xf numFmtId="165" fontId="1" fillId="4" borderId="4" applyAlignment="1" pivotButton="0" quotePrefix="0" xfId="1">
      <alignment horizontal="center" vertical="center" wrapText="1" shrinkToFit="1"/>
    </xf>
    <xf numFmtId="165" fontId="1" fillId="5" borderId="4" applyAlignment="1" pivotButton="0" quotePrefix="0" xfId="1">
      <alignment horizontal="center" vertical="center" wrapText="1" shrinkToFit="1"/>
    </xf>
    <xf numFmtId="165" fontId="1" fillId="6" borderId="4" applyAlignment="1" pivotButton="0" quotePrefix="0" xfId="1">
      <alignment horizontal="center" vertical="center" wrapText="1" shrinkToFit="1"/>
    </xf>
    <xf numFmtId="165" fontId="1" fillId="7" borderId="4" applyAlignment="1" pivotButton="0" quotePrefix="0" xfId="3">
      <alignment horizontal="center" vertical="center" wrapText="1" shrinkToFit="1"/>
    </xf>
    <xf numFmtId="165" fontId="1" fillId="8" borderId="4" applyAlignment="1" pivotButton="0" quotePrefix="0" xfId="3">
      <alignment horizontal="center" vertical="center" wrapText="1" shrinkToFit="1"/>
    </xf>
    <xf numFmtId="165" fontId="1" fillId="9" borderId="2" applyAlignment="1" pivotButton="0" quotePrefix="0" xfId="0">
      <alignment horizontal="center" vertical="center" wrapText="1" shrinkToFit="1"/>
    </xf>
    <xf numFmtId="171" fontId="1" fillId="0" borderId="5" applyAlignment="1" pivotButton="0" quotePrefix="0" xfId="0">
      <alignment horizontal="center" vertical="center" wrapText="1" shrinkToFit="1"/>
    </xf>
    <xf numFmtId="166" fontId="1" fillId="0" borderId="5" applyAlignment="1" pivotButton="0" quotePrefix="0" xfId="0">
      <alignment horizontal="center" vertical="center" wrapText="1" shrinkToFit="1"/>
    </xf>
    <xf numFmtId="171" fontId="1" fillId="2" borderId="6" applyAlignment="1" pivotButton="0" quotePrefix="0" xfId="0">
      <alignment horizontal="center" vertical="center" wrapText="1" shrinkToFit="1"/>
    </xf>
    <xf numFmtId="170" fontId="1" fillId="9" borderId="5" applyAlignment="1" pivotButton="0" quotePrefix="0" xfId="0">
      <alignment horizontal="center" vertical="center" wrapText="1" shrinkToFit="1"/>
    </xf>
    <xf numFmtId="165" fontId="1" fillId="2" borderId="3" applyAlignment="1" pivotButton="0" quotePrefix="0" xfId="0">
      <alignment horizontal="center" vertical="center" wrapText="1" shrinkToFit="1"/>
    </xf>
    <xf numFmtId="165" fontId="1" fillId="2" borderId="4" applyAlignment="1" pivotButton="0" quotePrefix="0" xfId="0">
      <alignment horizontal="center" vertical="center" wrapText="1" shrinkToFit="1"/>
    </xf>
    <xf numFmtId="0" fontId="1" fillId="0" borderId="146" applyAlignment="1" pivotButton="0" quotePrefix="0" xfId="0">
      <alignment horizontal="center" vertical="center" wrapText="1" shrinkToFit="1"/>
    </xf>
    <xf numFmtId="165" fontId="1" fillId="8" borderId="3" applyAlignment="1" pivotButton="0" quotePrefix="0" xfId="3">
      <alignment horizontal="center" vertical="center" wrapText="1" shrinkToFit="1"/>
    </xf>
    <xf numFmtId="165" fontId="1" fillId="3" borderId="3" applyAlignment="1" pivotButton="0" quotePrefix="0" xfId="3">
      <alignment horizontal="center" vertical="center" shrinkToFit="1"/>
    </xf>
    <xf numFmtId="165" fontId="1" fillId="4" borderId="1" applyAlignment="1" pivotButton="0" quotePrefix="0" xfId="3">
      <alignment horizontal="center" vertical="center" wrapText="1" shrinkToFit="1"/>
    </xf>
    <xf numFmtId="165" fontId="1" fillId="5" borderId="9" applyAlignment="1" pivotButton="0" quotePrefix="0" xfId="3">
      <alignment horizontal="center" vertical="center" wrapText="1" shrinkToFit="1"/>
    </xf>
    <xf numFmtId="165" fontId="1" fillId="6" borderId="1" applyAlignment="1" pivotButton="0" quotePrefix="0" xfId="3">
      <alignment horizontal="center" vertical="center" wrapText="1" shrinkToFit="1"/>
    </xf>
    <xf numFmtId="165" fontId="1" fillId="7" borderId="9" applyAlignment="1" pivotButton="0" quotePrefix="0" xfId="3">
      <alignment horizontal="center" vertical="center" wrapText="1" shrinkToFit="1"/>
    </xf>
    <xf numFmtId="165" fontId="1" fillId="0" borderId="0" applyAlignment="1" pivotButton="0" quotePrefix="0" xfId="1">
      <alignment horizontal="center" vertical="center" wrapText="1" shrinkToFit="1"/>
    </xf>
    <xf numFmtId="165" fontId="2" fillId="2" borderId="18" applyAlignment="1" pivotButton="0" quotePrefix="0" xfId="5">
      <alignment horizontal="center" vertical="center" wrapText="1"/>
    </xf>
    <xf numFmtId="166" fontId="2" fillId="2" borderId="19" applyAlignment="1" pivotButton="0" quotePrefix="0" xfId="0">
      <alignment horizontal="center" vertical="center" wrapText="1" shrinkToFit="1"/>
    </xf>
    <xf numFmtId="165" fontId="2" fillId="8" borderId="14" applyAlignment="1" pivotButton="0" quotePrefix="0" xfId="5">
      <alignment horizontal="center" vertical="center" wrapText="1" shrinkToFit="1"/>
    </xf>
    <xf numFmtId="165" fontId="2" fillId="8" borderId="21" applyAlignment="1" pivotButton="0" quotePrefix="0" xfId="5">
      <alignment horizontal="center" vertical="center" wrapText="1" shrinkToFit="1"/>
    </xf>
    <xf numFmtId="165" fontId="2" fillId="8" borderId="15" applyAlignment="1" pivotButton="0" quotePrefix="0" xfId="5">
      <alignment horizontal="center" vertical="center" wrapText="1" shrinkToFit="1"/>
    </xf>
    <xf numFmtId="165" fontId="2" fillId="8" borderId="22" applyAlignment="1" pivotButton="0" quotePrefix="0" xfId="5">
      <alignment horizontal="center" vertical="center" wrapText="1" shrinkToFit="1"/>
    </xf>
    <xf numFmtId="165" fontId="2" fillId="3" borderId="15" applyAlignment="1" pivotButton="0" quotePrefix="0" xfId="0">
      <alignment horizontal="center" vertical="center" wrapText="1"/>
    </xf>
    <xf numFmtId="165" fontId="2" fillId="3" borderId="23" applyAlignment="1" pivotButton="0" quotePrefix="0" xfId="0">
      <alignment horizontal="center" vertical="center" wrapText="1"/>
    </xf>
    <xf numFmtId="165" fontId="2" fillId="4" borderId="12" applyAlignment="1" pivotButton="0" quotePrefix="0" xfId="0">
      <alignment horizontal="center" vertical="center" wrapText="1" shrinkToFit="1"/>
    </xf>
    <xf numFmtId="165" fontId="2" fillId="4" borderId="15" applyAlignment="1" pivotButton="0" quotePrefix="0" xfId="0">
      <alignment horizontal="center" vertical="center" wrapText="1" shrinkToFit="1"/>
    </xf>
    <xf numFmtId="165" fontId="2" fillId="4" borderId="22" applyAlignment="1" pivotButton="0" quotePrefix="0" xfId="0">
      <alignment horizontal="center" vertical="center" wrapText="1" shrinkToFit="1"/>
    </xf>
    <xf numFmtId="165" fontId="7" fillId="5" borderId="21" applyAlignment="1" pivotButton="0" quotePrefix="0" xfId="0">
      <alignment horizontal="center" vertical="center" wrapText="1" shrinkToFit="1"/>
    </xf>
    <xf numFmtId="165" fontId="7" fillId="6" borderId="12" applyAlignment="1" pivotButton="0" quotePrefix="0" xfId="0">
      <alignment horizontal="center" vertical="center" wrapText="1" shrinkToFit="1"/>
    </xf>
    <xf numFmtId="165" fontId="7" fillId="6" borderId="15" applyAlignment="1" pivotButton="0" quotePrefix="0" xfId="0">
      <alignment horizontal="center" vertical="center" wrapText="1" shrinkToFit="1"/>
    </xf>
    <xf numFmtId="165" fontId="7" fillId="6" borderId="22" applyAlignment="1" pivotButton="0" quotePrefix="0" xfId="0">
      <alignment horizontal="center" vertical="center" wrapText="1" shrinkToFit="1"/>
    </xf>
    <xf numFmtId="165" fontId="7" fillId="7" borderId="21" applyAlignment="1" pivotButton="0" quotePrefix="0" xfId="0">
      <alignment horizontal="center" vertical="center" wrapText="1" shrinkToFit="1"/>
    </xf>
    <xf numFmtId="165" fontId="7" fillId="7" borderId="15" applyAlignment="1" pivotButton="0" quotePrefix="0" xfId="0">
      <alignment horizontal="center" vertical="center" wrapText="1" shrinkToFit="1"/>
    </xf>
    <xf numFmtId="165" fontId="7" fillId="7" borderId="22" applyAlignment="1" pivotButton="0" quotePrefix="0" xfId="0">
      <alignment horizontal="center" vertical="center" wrapText="1" shrinkToFit="1"/>
    </xf>
    <xf numFmtId="165" fontId="2" fillId="0" borderId="0" applyAlignment="1" pivotButton="0" quotePrefix="0" xfId="1">
      <alignment horizontal="center" vertical="center" wrapText="1" shrinkToFit="1"/>
    </xf>
    <xf numFmtId="165" fontId="3" fillId="9" borderId="25" applyAlignment="1" pivotButton="0" quotePrefix="0" xfId="1">
      <alignment vertical="center" wrapText="1" shrinkToFit="1"/>
    </xf>
    <xf numFmtId="165" fontId="3" fillId="0" borderId="0" applyAlignment="1" pivotButton="0" quotePrefix="0" xfId="1">
      <alignment vertical="center" wrapText="1" shrinkToFit="1"/>
    </xf>
    <xf numFmtId="165" fontId="2" fillId="0" borderId="29" applyAlignment="1" pivotButton="0" quotePrefix="0" xfId="1">
      <alignment vertical="center" wrapText="1" shrinkToFit="1"/>
    </xf>
    <xf numFmtId="165" fontId="2" fillId="0" borderId="30" applyAlignment="1" pivotButton="0" quotePrefix="0" xfId="1">
      <alignment vertical="center" wrapText="1" shrinkToFit="1"/>
    </xf>
    <xf numFmtId="165" fontId="3" fillId="9" borderId="31" applyAlignment="1" pivotButton="0" quotePrefix="0" xfId="1">
      <alignment vertical="center" wrapText="1" shrinkToFit="1"/>
    </xf>
    <xf numFmtId="165" fontId="2" fillId="0" borderId="32" applyAlignment="1" pivotButton="0" quotePrefix="0" xfId="1">
      <alignment vertical="center" wrapText="1" shrinkToFit="1"/>
    </xf>
    <xf numFmtId="165" fontId="2" fillId="0" borderId="33" applyAlignment="1" pivotButton="0" quotePrefix="0" xfId="1">
      <alignment vertical="center" wrapText="1" shrinkToFit="1"/>
    </xf>
    <xf numFmtId="165" fontId="2" fillId="0" borderId="34" applyAlignment="1" pivotButton="0" quotePrefix="0" xfId="1">
      <alignment vertical="center" wrapText="1" shrinkToFit="1"/>
    </xf>
    <xf numFmtId="165" fontId="2" fillId="0" borderId="35" applyAlignment="1" pivotButton="0" quotePrefix="0" xfId="1">
      <alignment vertical="center" wrapText="1" shrinkToFit="1"/>
    </xf>
    <xf numFmtId="165" fontId="2" fillId="0" borderId="30" applyAlignment="1" pivotButton="0" quotePrefix="0" xfId="1">
      <alignment horizontal="center" vertical="center" wrapText="1" shrinkToFit="1"/>
    </xf>
    <xf numFmtId="165" fontId="2" fillId="0" borderId="36" applyAlignment="1" pivotButton="0" quotePrefix="0" xfId="1">
      <alignment vertical="center" wrapText="1" shrinkToFit="1"/>
    </xf>
    <xf numFmtId="165" fontId="3" fillId="9" borderId="33" applyAlignment="1" pivotButton="0" quotePrefix="0" xfId="1">
      <alignment vertical="center" wrapText="1" shrinkToFit="1"/>
    </xf>
    <xf numFmtId="165" fontId="2" fillId="0" borderId="38" applyAlignment="1" pivotButton="0" quotePrefix="0" xfId="1">
      <alignment horizontal="center" vertical="center" wrapText="1" shrinkToFit="1"/>
    </xf>
    <xf numFmtId="167" fontId="2" fillId="0" borderId="39" applyAlignment="1" pivotButton="0" quotePrefix="0" xfId="3">
      <alignment horizontal="center" vertical="center" shrinkToFit="1"/>
    </xf>
    <xf numFmtId="165" fontId="7" fillId="0" borderId="40" applyAlignment="1" pivotButton="0" quotePrefix="0" xfId="1">
      <alignment vertical="center" wrapText="1" shrinkToFit="1"/>
    </xf>
    <xf numFmtId="165" fontId="7" fillId="0" borderId="29" applyAlignment="1" pivotButton="0" quotePrefix="0" xfId="1">
      <alignment vertical="center" wrapText="1" shrinkToFit="1"/>
    </xf>
    <xf numFmtId="165" fontId="7" fillId="0" borderId="30" applyAlignment="1" pivotButton="0" quotePrefix="0" xfId="1">
      <alignment vertical="center" wrapText="1" shrinkToFit="1"/>
    </xf>
    <xf numFmtId="165" fontId="7" fillId="0" borderId="30" applyAlignment="1" pivotButton="0" quotePrefix="0" xfId="1">
      <alignment horizontal="center" vertical="center" wrapText="1" shrinkToFit="1"/>
    </xf>
    <xf numFmtId="165" fontId="7" fillId="0" borderId="41" applyAlignment="1" pivotButton="0" quotePrefix="0" xfId="1">
      <alignment vertical="center" wrapText="1" shrinkToFit="1"/>
    </xf>
    <xf numFmtId="165" fontId="7" fillId="0" borderId="42" applyAlignment="1" pivotButton="0" quotePrefix="0" xfId="1">
      <alignment vertical="center" wrapText="1" shrinkToFit="1"/>
    </xf>
    <xf numFmtId="165" fontId="7" fillId="0" borderId="27" applyAlignment="1" pivotButton="0" quotePrefix="0" xfId="1">
      <alignment vertical="center" wrapText="1" shrinkToFit="1"/>
    </xf>
    <xf numFmtId="165" fontId="2" fillId="0" borderId="44" applyAlignment="1" pivotButton="0" quotePrefix="0" xfId="1">
      <alignment vertical="center" wrapText="1" shrinkToFit="1"/>
    </xf>
    <xf numFmtId="165" fontId="2" fillId="0" borderId="45" applyAlignment="1" pivotButton="0" quotePrefix="0" xfId="1">
      <alignment vertical="center" wrapText="1" shrinkToFit="1"/>
    </xf>
    <xf numFmtId="165" fontId="3" fillId="9" borderId="46" applyAlignment="1" pivotButton="0" quotePrefix="0" xfId="1">
      <alignment vertical="center" wrapText="1" shrinkToFit="1"/>
    </xf>
    <xf numFmtId="165" fontId="2" fillId="0" borderId="47" applyAlignment="1" pivotButton="0" quotePrefix="0" xfId="1">
      <alignment vertical="center" wrapText="1" shrinkToFit="1"/>
    </xf>
    <xf numFmtId="166" fontId="2" fillId="0" borderId="48" applyAlignment="1" pivotButton="0" quotePrefix="0" xfId="1">
      <alignment vertical="center" wrapText="1" shrinkToFit="1"/>
    </xf>
    <xf numFmtId="165" fontId="2" fillId="0" borderId="49" applyAlignment="1" pivotButton="0" quotePrefix="0" xfId="1">
      <alignment vertical="center" wrapText="1" shrinkToFit="1"/>
    </xf>
    <xf numFmtId="165" fontId="2" fillId="0" borderId="50" applyAlignment="1" pivotButton="0" quotePrefix="0" xfId="1">
      <alignment vertical="center" wrapText="1" shrinkToFit="1"/>
    </xf>
    <xf numFmtId="165" fontId="2" fillId="0" borderId="45" applyAlignment="1" pivotButton="0" quotePrefix="0" xfId="1">
      <alignment horizontal="center" vertical="center" wrapText="1" shrinkToFit="1"/>
    </xf>
    <xf numFmtId="165" fontId="2" fillId="0" borderId="28" applyAlignment="1" pivotButton="0" quotePrefix="0" xfId="1">
      <alignment vertical="center" wrapText="1" shrinkToFit="1"/>
    </xf>
    <xf numFmtId="165" fontId="7" fillId="0" borderId="51" applyAlignment="1" pivotButton="0" quotePrefix="0" xfId="1">
      <alignment vertical="center" wrapText="1" shrinkToFit="1"/>
    </xf>
    <xf numFmtId="165" fontId="7" fillId="0" borderId="44" applyAlignment="1" pivotButton="0" quotePrefix="0" xfId="1">
      <alignment vertical="center" wrapText="1" shrinkToFit="1"/>
    </xf>
    <xf numFmtId="165" fontId="7" fillId="0" borderId="45" applyAlignment="1" pivotButton="0" quotePrefix="0" xfId="1">
      <alignment vertical="center" wrapText="1" shrinkToFit="1"/>
    </xf>
    <xf numFmtId="165" fontId="7" fillId="0" borderId="45" applyAlignment="1" pivotButton="0" quotePrefix="0" xfId="1">
      <alignment horizontal="center" vertical="center" wrapText="1" shrinkToFit="1"/>
    </xf>
    <xf numFmtId="165" fontId="7" fillId="0" borderId="52" applyAlignment="1" pivotButton="0" quotePrefix="0" xfId="1">
      <alignment vertical="center" wrapText="1" shrinkToFit="1"/>
    </xf>
    <xf numFmtId="165" fontId="7" fillId="0" borderId="53" applyAlignment="1" pivotButton="0" quotePrefix="0" xfId="1">
      <alignment vertical="center" wrapText="1" shrinkToFit="1"/>
    </xf>
    <xf numFmtId="165" fontId="7" fillId="0" borderId="43" applyAlignment="1" pivotButton="0" quotePrefix="0" xfId="1">
      <alignment vertical="center" wrapText="1" shrinkToFit="1"/>
    </xf>
    <xf numFmtId="167" fontId="2" fillId="0" borderId="46" applyAlignment="1" pivotButton="0" quotePrefix="0" xfId="3">
      <alignment horizontal="center" vertical="center" shrinkToFit="1"/>
    </xf>
    <xf numFmtId="165" fontId="2" fillId="0" borderId="48" applyAlignment="1" pivotButton="0" quotePrefix="0" xfId="1">
      <alignment vertical="center" wrapText="1" shrinkToFit="1"/>
    </xf>
    <xf numFmtId="166" fontId="7" fillId="0" borderId="45" applyAlignment="1" pivotButton="0" quotePrefix="0" xfId="1">
      <alignment horizontal="left" vertical="center" wrapText="1" shrinkToFit="1"/>
    </xf>
    <xf numFmtId="167" fontId="2" fillId="0" borderId="45" applyAlignment="1" pivotButton="0" quotePrefix="0" xfId="3">
      <alignment horizontal="center" vertical="center" shrinkToFit="1"/>
    </xf>
    <xf numFmtId="165" fontId="7" fillId="0" borderId="51" applyAlignment="1" pivotButton="0" quotePrefix="0" xfId="1">
      <alignment vertical="center" shrinkToFit="1"/>
    </xf>
    <xf numFmtId="165" fontId="7" fillId="0" borderId="44" applyAlignment="1" pivotButton="0" quotePrefix="0" xfId="1">
      <alignment vertical="center" shrinkToFit="1"/>
    </xf>
    <xf numFmtId="165" fontId="7" fillId="0" borderId="45" applyAlignment="1" pivotButton="0" quotePrefix="0" xfId="1">
      <alignment vertical="center" shrinkToFit="1"/>
    </xf>
    <xf numFmtId="165" fontId="7" fillId="0" borderId="53" applyAlignment="1" pivotButton="0" quotePrefix="0" xfId="1">
      <alignment vertical="center" shrinkToFit="1"/>
    </xf>
    <xf numFmtId="166" fontId="2" fillId="0" borderId="47" applyAlignment="1" pivotButton="0" quotePrefix="0" xfId="1">
      <alignment vertical="center" wrapText="1" shrinkToFit="1"/>
    </xf>
    <xf numFmtId="165" fontId="2" fillId="0" borderId="46" applyAlignment="1" pivotButton="0" quotePrefix="0" xfId="1">
      <alignment horizontal="center" vertical="center" wrapText="1" shrinkToFit="1"/>
    </xf>
    <xf numFmtId="166" fontId="2" fillId="0" borderId="45" applyAlignment="1" pivotButton="0" quotePrefix="0" xfId="3">
      <alignment horizontal="center" vertical="center" shrinkToFit="1"/>
    </xf>
    <xf numFmtId="165" fontId="7" fillId="0" borderId="45" applyAlignment="1" pivotButton="0" quotePrefix="0" xfId="1">
      <alignment horizontal="left" vertical="center" wrapText="1" shrinkToFit="1"/>
    </xf>
    <xf numFmtId="165" fontId="7" fillId="0" borderId="44" applyAlignment="1" pivotButton="0" quotePrefix="0" xfId="1">
      <alignment horizontal="center" vertical="center" wrapText="1" shrinkToFit="1"/>
    </xf>
    <xf numFmtId="166" fontId="7" fillId="0" borderId="45" applyAlignment="1" pivotButton="0" quotePrefix="0" xfId="1">
      <alignment horizontal="center" vertical="center" wrapText="1" shrinkToFit="1"/>
    </xf>
    <xf numFmtId="166" fontId="2" fillId="0" borderId="49" applyAlignment="1" pivotButton="0" quotePrefix="0" xfId="1">
      <alignment vertical="center" wrapText="1" shrinkToFit="1"/>
    </xf>
    <xf numFmtId="166" fontId="2" fillId="0" borderId="51" applyAlignment="1" pivotButton="0" quotePrefix="0" xfId="3">
      <alignment horizontal="center" vertical="center" shrinkToFit="1"/>
    </xf>
    <xf numFmtId="165" fontId="3" fillId="10" borderId="55" applyAlignment="1" pivotButton="0" quotePrefix="0" xfId="1">
      <alignment vertical="center" wrapText="1" shrinkToFit="1"/>
    </xf>
    <xf numFmtId="165" fontId="3" fillId="10" borderId="55" applyAlignment="1" pivotButton="0" quotePrefix="0" xfId="1">
      <alignment horizontal="center" vertical="center" wrapText="1" shrinkToFit="1"/>
    </xf>
    <xf numFmtId="165" fontId="3" fillId="9" borderId="55" applyAlignment="1" pivotButton="0" quotePrefix="0" xfId="1">
      <alignment vertical="center" wrapText="1" shrinkToFit="1"/>
    </xf>
    <xf numFmtId="165" fontId="7" fillId="10" borderId="55" applyAlignment="1" pivotButton="0" quotePrefix="0" xfId="1">
      <alignment vertical="center" wrapText="1" shrinkToFit="1"/>
    </xf>
    <xf numFmtId="165" fontId="7" fillId="10" borderId="55" applyAlignment="1" pivotButton="0" quotePrefix="0" xfId="1">
      <alignment vertical="center" shrinkToFit="1"/>
    </xf>
    <xf numFmtId="165" fontId="7" fillId="10" borderId="56" applyAlignment="1" pivotButton="0" quotePrefix="0" xfId="1">
      <alignment vertical="center" shrinkToFit="1"/>
    </xf>
    <xf numFmtId="165" fontId="3" fillId="9" borderId="57" applyAlignment="1" pivotButton="0" quotePrefix="0" xfId="3">
      <alignment vertical="center"/>
    </xf>
    <xf numFmtId="165" fontId="3" fillId="9" borderId="58" applyAlignment="1" pivotButton="0" quotePrefix="0" xfId="3">
      <alignment vertical="center" wrapText="1" shrinkToFit="1"/>
    </xf>
    <xf numFmtId="165" fontId="3" fillId="9" borderId="59" applyAlignment="1" pivotButton="0" quotePrefix="0" xfId="1">
      <alignment vertical="center" wrapText="1" shrinkToFit="1"/>
    </xf>
    <xf numFmtId="165" fontId="3" fillId="9" borderId="38" applyAlignment="1" pivotButton="0" quotePrefix="0" xfId="1">
      <alignment vertical="center" wrapText="1" shrinkToFit="1"/>
    </xf>
    <xf numFmtId="165" fontId="3" fillId="9" borderId="39" applyAlignment="1" pivotButton="0" quotePrefix="0" xfId="1">
      <alignment vertical="center" wrapText="1" shrinkToFit="1"/>
    </xf>
    <xf numFmtId="165" fontId="3" fillId="9" borderId="60" applyAlignment="1" pivotButton="0" quotePrefix="0" xfId="1">
      <alignment vertical="center" wrapText="1" shrinkToFit="1"/>
    </xf>
    <xf numFmtId="165" fontId="3" fillId="9" borderId="61" applyAlignment="1" pivotButton="0" quotePrefix="0" xfId="1">
      <alignment vertical="center" wrapText="1" shrinkToFit="1"/>
    </xf>
    <xf numFmtId="165" fontId="3" fillId="9" borderId="62" applyAlignment="1" pivotButton="0" quotePrefix="0" xfId="1">
      <alignment vertical="center" wrapText="1" shrinkToFit="1"/>
    </xf>
    <xf numFmtId="165" fontId="3" fillId="9" borderId="63" applyAlignment="1" pivotButton="0" quotePrefix="0" xfId="1">
      <alignment vertical="center" wrapText="1" shrinkToFit="1"/>
    </xf>
    <xf numFmtId="165" fontId="3" fillId="9" borderId="38" applyAlignment="1" pivotButton="0" quotePrefix="0" xfId="1">
      <alignment horizontal="center" vertical="center" wrapText="1" shrinkToFit="1"/>
    </xf>
    <xf numFmtId="165" fontId="3" fillId="9" borderId="58" applyAlignment="1" pivotButton="0" quotePrefix="0" xfId="1">
      <alignment vertical="center" wrapText="1" shrinkToFit="1"/>
    </xf>
    <xf numFmtId="165" fontId="3" fillId="9" borderId="51" applyAlignment="1" pivotButton="0" quotePrefix="0" xfId="1">
      <alignment vertical="center" wrapText="1" shrinkToFit="1"/>
    </xf>
    <xf numFmtId="165" fontId="3" fillId="9" borderId="45" applyAlignment="1" pivotButton="0" quotePrefix="0" xfId="1">
      <alignment horizontal="center" vertical="center" wrapText="1" shrinkToFit="1"/>
    </xf>
    <xf numFmtId="165" fontId="3" fillId="9" borderId="46" applyAlignment="1" pivotButton="0" quotePrefix="0" xfId="1">
      <alignment horizontal="center" vertical="center" wrapText="1" shrinkToFit="1"/>
    </xf>
    <xf numFmtId="165" fontId="7" fillId="9" borderId="37" applyAlignment="1" pivotButton="0" quotePrefix="0" xfId="1">
      <alignment vertical="center" wrapText="1" shrinkToFit="1"/>
    </xf>
    <xf numFmtId="165" fontId="7" fillId="9" borderId="59" applyAlignment="1" pivotButton="0" quotePrefix="0" xfId="1">
      <alignment vertical="center" wrapText="1" shrinkToFit="1"/>
    </xf>
    <xf numFmtId="165" fontId="7" fillId="9" borderId="38" applyAlignment="1" pivotButton="0" quotePrefix="0" xfId="1">
      <alignment vertical="center" wrapText="1" shrinkToFit="1"/>
    </xf>
    <xf numFmtId="165" fontId="7" fillId="9" borderId="38" applyAlignment="1" pivotButton="0" quotePrefix="0" xfId="1">
      <alignment horizontal="center" vertical="center" wrapText="1" shrinkToFit="1"/>
    </xf>
    <xf numFmtId="165" fontId="7" fillId="9" borderId="64" applyAlignment="1" pivotButton="0" quotePrefix="0" xfId="1">
      <alignment vertical="center" wrapText="1" shrinkToFit="1"/>
    </xf>
    <xf numFmtId="165" fontId="7" fillId="9" borderId="39" applyAlignment="1" pivotButton="0" quotePrefix="0" xfId="1">
      <alignment vertical="center" wrapText="1" shrinkToFit="1"/>
    </xf>
    <xf numFmtId="165" fontId="2" fillId="0" borderId="43" applyAlignment="1" pivotButton="0" quotePrefix="0" xfId="3">
      <alignment horizontal="right" vertical="center" wrapText="1" shrinkToFit="1"/>
    </xf>
    <xf numFmtId="166" fontId="2" fillId="0" borderId="47" applyAlignment="1" pivotButton="0" quotePrefix="0" xfId="1">
      <alignment vertical="top" wrapText="1" shrinkToFit="1"/>
    </xf>
    <xf numFmtId="165" fontId="2" fillId="0" borderId="51" applyAlignment="1" pivotButton="0" quotePrefix="0" xfId="1">
      <alignment vertical="center" wrapText="1" shrinkToFit="1"/>
    </xf>
    <xf numFmtId="165" fontId="7" fillId="0" borderId="46" applyAlignment="1" pivotButton="0" quotePrefix="0" xfId="1">
      <alignment vertical="center" wrapText="1" shrinkToFit="1"/>
    </xf>
    <xf numFmtId="166" fontId="2" fillId="0" borderId="46" applyAlignment="1" pivotButton="0" quotePrefix="0" xfId="3">
      <alignment horizontal="center" vertical="center" shrinkToFit="1"/>
    </xf>
    <xf numFmtId="165" fontId="2" fillId="0" borderId="65" applyAlignment="1" pivotButton="0" quotePrefix="0" xfId="1">
      <alignment vertical="center" wrapText="1" shrinkToFit="1"/>
    </xf>
    <xf numFmtId="165" fontId="2" fillId="0" borderId="66" applyAlignment="1" pivotButton="0" quotePrefix="0" xfId="1">
      <alignment vertical="center" wrapText="1" shrinkToFit="1"/>
    </xf>
    <xf numFmtId="165" fontId="3" fillId="9" borderId="67" applyAlignment="1" pivotButton="0" quotePrefix="0" xfId="1">
      <alignment vertical="center" wrapText="1" shrinkToFit="1"/>
    </xf>
    <xf numFmtId="165" fontId="2" fillId="0" borderId="68" applyAlignment="1" pivotButton="0" quotePrefix="0" xfId="1">
      <alignment vertical="center" wrapText="1" shrinkToFit="1"/>
    </xf>
    <xf numFmtId="166" fontId="2" fillId="0" borderId="68" applyAlignment="1" pivotButton="0" quotePrefix="0" xfId="1">
      <alignment vertical="top" wrapText="1" shrinkToFit="1"/>
    </xf>
    <xf numFmtId="165" fontId="2" fillId="0" borderId="69" applyAlignment="1" pivotButton="0" quotePrefix="0" xfId="1">
      <alignment vertical="center" wrapText="1" shrinkToFit="1"/>
    </xf>
    <xf numFmtId="165" fontId="2" fillId="0" borderId="70" applyAlignment="1" pivotButton="0" quotePrefix="0" xfId="1">
      <alignment vertical="center" wrapText="1" shrinkToFit="1"/>
    </xf>
    <xf numFmtId="165" fontId="2" fillId="0" borderId="71" applyAlignment="1" pivotButton="0" quotePrefix="0" xfId="1">
      <alignment vertical="center" wrapText="1" shrinkToFit="1"/>
    </xf>
    <xf numFmtId="165" fontId="2" fillId="0" borderId="66" applyAlignment="1" pivotButton="0" quotePrefix="0" xfId="1">
      <alignment horizontal="center" vertical="center" wrapText="1" shrinkToFit="1"/>
    </xf>
    <xf numFmtId="165" fontId="2" fillId="0" borderId="72" applyAlignment="1" pivotButton="0" quotePrefix="0" xfId="1">
      <alignment vertical="center" wrapText="1" shrinkToFit="1"/>
    </xf>
    <xf numFmtId="165" fontId="7" fillId="0" borderId="73" applyAlignment="1" pivotButton="0" quotePrefix="0" xfId="1">
      <alignment vertical="center" wrapText="1" shrinkToFit="1"/>
    </xf>
    <xf numFmtId="165" fontId="7" fillId="0" borderId="65" applyAlignment="1" pivotButton="0" quotePrefix="0" xfId="1">
      <alignment vertical="center" wrapText="1" shrinkToFit="1"/>
    </xf>
    <xf numFmtId="165" fontId="7" fillId="0" borderId="66" applyAlignment="1" pivotButton="0" quotePrefix="0" xfId="1">
      <alignment vertical="center" wrapText="1" shrinkToFit="1"/>
    </xf>
    <xf numFmtId="165" fontId="7" fillId="0" borderId="66" applyAlignment="1" pivotButton="0" quotePrefix="0" xfId="1">
      <alignment horizontal="center" vertical="center" wrapText="1" shrinkToFit="1"/>
    </xf>
    <xf numFmtId="165" fontId="7" fillId="0" borderId="74" applyAlignment="1" pivotButton="0" quotePrefix="0" xfId="1">
      <alignment vertical="center" wrapText="1" shrinkToFit="1"/>
    </xf>
    <xf numFmtId="165" fontId="7" fillId="0" borderId="67" applyAlignment="1" pivotButton="0" quotePrefix="0" xfId="1">
      <alignment vertical="center" wrapText="1" shrinkToFit="1"/>
    </xf>
    <xf numFmtId="165" fontId="3" fillId="9" borderId="75" applyAlignment="1" pivotButton="0" quotePrefix="0" xfId="3">
      <alignment vertical="center"/>
    </xf>
    <xf numFmtId="165" fontId="3" fillId="9" borderId="76" applyAlignment="1" pivotButton="0" quotePrefix="0" xfId="3">
      <alignment vertical="center"/>
    </xf>
    <xf numFmtId="165" fontId="3" fillId="10" borderId="77" applyAlignment="1" pivotButton="0" quotePrefix="0" xfId="1">
      <alignment vertical="center" wrapText="1" shrinkToFit="1"/>
    </xf>
    <xf numFmtId="165" fontId="3" fillId="10" borderId="78" applyAlignment="1" pivotButton="0" quotePrefix="0" xfId="1">
      <alignment vertical="center" wrapText="1" shrinkToFit="1"/>
    </xf>
    <xf numFmtId="165" fontId="3" fillId="10" borderId="79" applyAlignment="1" pivotButton="0" quotePrefix="0" xfId="1">
      <alignment vertical="center" wrapText="1" shrinkToFit="1"/>
    </xf>
    <xf numFmtId="165" fontId="3" fillId="10" borderId="80" applyAlignment="1" pivotButton="0" quotePrefix="0" xfId="1">
      <alignment vertical="center" wrapText="1" shrinkToFit="1"/>
    </xf>
    <xf numFmtId="165" fontId="3" fillId="10" borderId="81" applyAlignment="1" pivotButton="0" quotePrefix="0" xfId="1">
      <alignment vertical="center" wrapText="1" shrinkToFit="1"/>
    </xf>
    <xf numFmtId="165" fontId="3" fillId="10" borderId="82" applyAlignment="1" pivotButton="0" quotePrefix="0" xfId="1">
      <alignment vertical="center" wrapText="1" shrinkToFit="1"/>
    </xf>
    <xf numFmtId="165" fontId="3" fillId="10" borderId="83" applyAlignment="1" pivotButton="0" quotePrefix="0" xfId="1">
      <alignment vertical="center" wrapText="1" shrinkToFit="1"/>
    </xf>
    <xf numFmtId="165" fontId="3" fillId="10" borderId="78" applyAlignment="1" pivotButton="0" quotePrefix="0" xfId="1">
      <alignment horizontal="center" vertical="center" wrapText="1" shrinkToFit="1"/>
    </xf>
    <xf numFmtId="165" fontId="3" fillId="10" borderId="84" applyAlignment="1" pivotButton="0" quotePrefix="0" xfId="1">
      <alignment vertical="center" wrapText="1" shrinkToFit="1"/>
    </xf>
    <xf numFmtId="165" fontId="3" fillId="9" borderId="85" applyAlignment="1" pivotButton="0" quotePrefix="0" xfId="1">
      <alignment vertical="center" wrapText="1" shrinkToFit="1"/>
    </xf>
    <xf numFmtId="165" fontId="3" fillId="10" borderId="86" applyAlignment="1" pivotButton="0" quotePrefix="0" xfId="1">
      <alignment vertical="center" wrapText="1" shrinkToFit="1"/>
    </xf>
    <xf numFmtId="165" fontId="3" fillId="10" borderId="79" applyAlignment="1" pivotButton="0" quotePrefix="0" xfId="1">
      <alignment horizontal="center" vertical="center" wrapText="1" shrinkToFit="1"/>
    </xf>
    <xf numFmtId="165" fontId="7" fillId="10" borderId="86" applyAlignment="1" pivotButton="0" quotePrefix="0" xfId="1">
      <alignment vertical="center" wrapText="1" shrinkToFit="1"/>
    </xf>
    <xf numFmtId="165" fontId="7" fillId="10" borderId="77" applyAlignment="1" pivotButton="0" quotePrefix="0" xfId="1">
      <alignment vertical="center" wrapText="1" shrinkToFit="1"/>
    </xf>
    <xf numFmtId="165" fontId="7" fillId="10" borderId="78" applyAlignment="1" pivotButton="0" quotePrefix="0" xfId="1">
      <alignment vertical="center" wrapText="1" shrinkToFit="1"/>
    </xf>
    <xf numFmtId="165" fontId="7" fillId="10" borderId="78" applyAlignment="1" pivotButton="0" quotePrefix="0" xfId="1">
      <alignment horizontal="center" vertical="center" wrapText="1" shrinkToFit="1"/>
    </xf>
    <xf numFmtId="165" fontId="7" fillId="10" borderId="87" applyAlignment="1" pivotButton="0" quotePrefix="0" xfId="1">
      <alignment vertical="center" wrapText="1" shrinkToFit="1"/>
    </xf>
    <xf numFmtId="165" fontId="7" fillId="10" borderId="79" applyAlignment="1" pivotButton="0" quotePrefix="0" xfId="1">
      <alignment vertical="center" wrapText="1" shrinkToFit="1"/>
    </xf>
    <xf numFmtId="165" fontId="2" fillId="0" borderId="0" applyAlignment="1" pivotButton="0" quotePrefix="0" xfId="1">
      <alignment vertical="center" wrapText="1" shrinkToFit="1"/>
    </xf>
    <xf numFmtId="165" fontId="2" fillId="0" borderId="0" applyAlignment="1" pivotButton="0" quotePrefix="0" xfId="0">
      <alignment vertical="center" wrapText="1" shrinkToFit="1"/>
    </xf>
    <xf numFmtId="165" fontId="2" fillId="0" borderId="0" applyAlignment="1" pivotButton="0" quotePrefix="0" xfId="0">
      <alignment horizontal="center" vertical="center" wrapText="1" shrinkToFit="1"/>
    </xf>
    <xf numFmtId="165" fontId="4" fillId="0" borderId="0" applyAlignment="1" pivotButton="0" quotePrefix="0" xfId="0">
      <alignment vertical="center" wrapText="1" shrinkToFit="1"/>
    </xf>
  </cellXfs>
  <cellStyles count="7">
    <cellStyle name="常规" xfId="0" builtinId="0"/>
    <cellStyle name="千位分隔" xfId="1" builtinId="3"/>
    <cellStyle name="超链接" xfId="2" builtinId="8"/>
    <cellStyle name="常规 10" xfId="3"/>
    <cellStyle name="常规 105" xfId="4"/>
    <cellStyle name="常规 2" xfId="5"/>
    <cellStyle name="常规 2 4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67032819201104"/>
          <y val="0.254150684871346"/>
          <w val="0.529169932932671"/>
          <h val="0.607150684991668"/>
        </manualLayout>
      </layout>
      <barChart>
        <barDir val="col"/>
        <grouping val="stacked"/>
        <varyColors val="0"/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242985704"/>
        <axId val="454932228"/>
      </barChart>
      <catAx>
        <axId val="242985704"/>
        <scaling>
          <orientation val="minMax"/>
        </scaling>
        <delete val="1"/>
        <axPos val="b"/>
        <majorTickMark val="none"/>
        <minorTickMark val="none"/>
        <tickLblPos val="nextTo"/>
        <crossAx val="454932228"/>
        <crosses val="autoZero"/>
        <auto val="1"/>
        <lblAlgn val="ctr"/>
        <lblOffset val="100"/>
        <noMultiLvlLbl val="0"/>
      </catAx>
      <valAx>
        <axId val="454932228"/>
        <scaling>
          <orientation val="minMax"/>
          <max val="60000"/>
          <min val="-5000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42985704"/>
        <crosses val="autoZero"/>
        <crossBetween val="between"/>
      </valAx>
    </plotArea>
    <plotVisOnly val="1"/>
    <dispBlanksAs val="gap"/>
  </chart>
  <spPr>
    <a:gradFill rotWithShape="1">
      <a:gsLst>
        <a:gs pos="0">
          <a:srgbClr val="9BC2E6"/>
        </a:gs>
        <a:gs pos="50000">
          <a:schemeClr val="accent1">
            <a:tint val="73000"/>
            <a:satMod val="103000"/>
            <a:lumMod val="105000"/>
          </a:schemeClr>
        </a:gs>
        <a:gs pos="100000">
          <a:schemeClr val="accent1">
            <a:tint val="81000"/>
            <a:satMod val="109000"/>
            <a:lumMod val="10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sp3d>
      <contourClr rgb="00000000"/>
      <extrusionClr rgb="00000000"/>
    </a:sp3d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23711340206186"/>
          <y val="0.0123864574731627"/>
          <w val="0.974020618556701"/>
          <h val="0.9752270850536749"/>
        </manualLayout>
      </layout>
      <pieChart>
        <varyColors val="1"/>
        <ser>
          <idx val="0"/>
          <order val="0"/>
          <spPr>
            <a:ln w="19050">
              <a:noFill/>
              <a:prstDash val="solid"/>
            </a:ln>
          </spPr>
          <dPt>
            <idx val="0"/>
            <bubble3D val="0"/>
            <spPr>
              <a:solidFill>
                <a:srgbClr val="5B9BD5"/>
              </a:solidFill>
              <a:ln w="19050"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bg1">
                  <a:lumMod val="95000"/>
                </a:schemeClr>
              </a:solidFill>
              <a:ln w="19050">
                <a:noFill/>
                <a:prstDash val="solid"/>
              </a:ln>
            </spPr>
          </dPt>
          <val>
            <numRef>
              <f>([2]X公司年度收支表!$K$39,[2]X公司年度收支表!$G$39)</f>
              <numCache>
                <formatCode>General</formatCode>
                <ptCount val="2"/>
                <pt idx="0">
                  <v>34640</v>
                </pt>
                <pt idx="1">
                  <v>7520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年度财务收支表!$B$82</f>
              <strCache>
                <ptCount val="1"/>
                <pt idx="0">
                  <v xml:space="preserve"> 收 入 合 计：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年度财务收支表!$D$81:$H$81</f>
              <strCache>
                <ptCount val="4"/>
                <pt idx="0">
                  <v xml:space="preserve"> Q1 </v>
                </pt>
                <pt idx="1">
                  <v xml:space="preserve"> Q2 </v>
                </pt>
                <pt idx="2">
                  <v xml:space="preserve"> Q3 </v>
                </pt>
                <pt idx="3">
                  <v xml:space="preserve"> Q4 </v>
                </pt>
              </strCache>
            </strRef>
          </cat>
          <val>
            <numRef>
              <f>年度财务收支表!$D$82:$H$82</f>
              <numCache>
                <formatCode>_(* #,##0.00_);_(* \(#,##0.00\);_(* "-"??_);_(@_)</formatCode>
                <ptCount val="4"/>
                <pt idx="0">
                  <v>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年度财务收支表!$B$83</f>
              <strCache>
                <ptCount val="1"/>
                <pt idx="0">
                  <v xml:space="preserve"> 支 出 合 计：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年度财务收支表!$D$81:$H$81</f>
              <strCache>
                <ptCount val="4"/>
                <pt idx="0">
                  <v xml:space="preserve"> Q1 </v>
                </pt>
                <pt idx="1">
                  <v xml:space="preserve"> Q2 </v>
                </pt>
                <pt idx="2">
                  <v xml:space="preserve"> Q3 </v>
                </pt>
                <pt idx="3">
                  <v xml:space="preserve"> Q4 </v>
                </pt>
              </strCache>
            </strRef>
          </cat>
          <val>
            <numRef>
              <f>年度财务收支表!$D$83:$H$83</f>
              <numCache>
                <formatCode>_(* #,##0.00_);_(* \(#,##0.00\);_(* "-"??_);_(@_)</formatCode>
                <ptCount val="4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793652804"/>
        <axId val="247792591"/>
      </barChart>
      <lineChart>
        <grouping val="standard"/>
        <varyColors val="0"/>
        <ser>
          <idx val="2"/>
          <order val="2"/>
          <tx>
            <strRef>
              <f>年度财务收支表!$B$84</f>
              <strCache>
                <ptCount val="1"/>
                <pt idx="0">
                  <v xml:space="preserve"> 期末余额                                           </v>
                </pt>
              </strCache>
            </strRef>
          </tx>
          <spPr>
            <a:ln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年度财务收支表!$D$81:$H$81</f>
              <strCache>
                <ptCount val="4"/>
                <pt idx="0">
                  <v xml:space="preserve"> Q1 </v>
                </pt>
                <pt idx="1">
                  <v xml:space="preserve"> Q2 </v>
                </pt>
                <pt idx="2">
                  <v xml:space="preserve"> Q3 </v>
                </pt>
                <pt idx="3">
                  <v xml:space="preserve"> Q4 </v>
                </pt>
              </strCache>
            </strRef>
          </cat>
          <val>
            <numRef>
              <f>年度财务收支表!$D$84:$H$84</f>
              <numCache>
                <formatCode>_(* #,##0.00_);_(* \(#,##0.00\);_(* "-"??_);_(@_)</formatCode>
                <ptCount val="4"/>
                <pt idx="0">
                  <v>0</v>
                </pt>
                <pt idx="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81996266"/>
        <axId val="600473566"/>
      </lineChart>
      <catAx>
        <axId val="7936528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47792591"/>
        <crosses val="autoZero"/>
        <auto val="0"/>
        <lblAlgn val="ctr"/>
        <lblOffset val="100"/>
        <noMultiLvlLbl val="0"/>
      </catAx>
      <valAx>
        <axId val="247792591"/>
        <scaling>
          <orientation val="minMax"/>
          <max val="80000"/>
          <min val="-30000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793652804"/>
        <crosses val="autoZero"/>
        <crossBetween val="between"/>
        <majorUnit val="30000"/>
        <minorUnit val="5000"/>
      </valAx>
      <catAx>
        <axId val="38199626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600473566"/>
        <crosses val="autoZero"/>
        <auto val="1"/>
        <lblAlgn val="ctr"/>
        <lblOffset val="100"/>
        <noMultiLvlLbl val="0"/>
      </catAx>
      <valAx>
        <axId val="600473566"/>
        <scaling>
          <orientation val="minMax"/>
        </scaling>
        <delete val="1"/>
        <axPos val="r"/>
        <numFmt formatCode="_(* #,##0.00_);_(* \(#,##0.00\);_(* &quot;-&quot;??_);_(@_)" sourceLinked="1"/>
        <majorTickMark val="none"/>
        <minorTickMark val="none"/>
        <tickLblPos val="nextTo"/>
        <crossAx val="381996266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rgbClr val="A0C1E5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WindsysUser</author>
  </authors>
  <commentList>
    <comment ref="B19" authorId="0" shapeId="0">
      <text>
        <t>此项目如发生需手动调金额，调整之前需问上级。</t>
      </text>
    </comment>
    <comment ref="B53" authorId="0" shapeId="0">
      <text>
        <t xml:space="preserve">总经办+后勤部门
</t>
      </text>
    </comment>
  </commentList>
</comments>
</file>

<file path=xl/comments/comment2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Q3" authorId="0" shapeId="0">
      <text>
        <t xml:space="preserve">总经办+后勤部门
</t>
      </text>
    </comment>
  </commentList>
</comments>
</file>

<file path=xl/comments/comment3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Q3" authorId="0" shapeId="0">
      <text>
        <t xml:space="preserve">总经办+后勤部门
</t>
      </text>
    </comment>
  </commentList>
</comments>
</file>

<file path=xl/comments/comment4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Q3" authorId="0" shapeId="0">
      <text>
        <t xml:space="preserve">总经办+后勤部门
</t>
      </text>
    </comment>
  </commentList>
</comments>
</file>

<file path=xl/comments/comment5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comments/comment6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comments/comment7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comments/comment8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comments/comment9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comments/comment10.xml><?xml version="1.0" encoding="utf-8"?>
<comments xmlns="http://schemas.openxmlformats.org/spreadsheetml/2006/main">
  <authors>
    <author>WindsysUser</author>
  </authors>
  <commentList>
    <comment ref="T2" authorId="0" shapeId="0">
      <text>
        <t xml:space="preserve">总经办
销售部：
1、音乐组
2、侯明昊组
3、曾舜晞组
4、点星组
5、上海黑金计划组
5、新人开发培训组
6、商务部
市场部
财务部
人事部
行政部
</t>
      </text>
    </comment>
    <comment ref="U2" authorId="0" shapeId="0">
      <text>
        <t>摘要格式：支付XX部XXX(人名）申请的XX费用。</t>
      </text>
    </comment>
    <comment ref="AP3" authorId="0" shapeId="0">
      <text>
        <t xml:space="preserve">总经办+后勤部门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86995</colOff>
      <row>1</row>
      <rowOff>31750</rowOff>
    </from>
    <to>
      <col>8</col>
      <colOff>913130</colOff>
      <row>9</row>
      <rowOff>207010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381000</colOff>
      <row>3</row>
      <rowOff>22225</rowOff>
    </from>
    <to>
      <col>1</col>
      <colOff>1377950</colOff>
      <row>8</row>
      <rowOff>103505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1606550</colOff>
      <row>1</row>
      <rowOff>123825</rowOff>
    </from>
    <to>
      <col>7</col>
      <colOff>778510</colOff>
      <row>9</row>
      <rowOff>111125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ThinkPad\AppData\Local\Temp\Temp1_Q201703&#26376;&#29616;&#37329;&#27969;-C.zip\Q201702&#36164;&#20135;%20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71786\Desktop\&#24180;&#32456;&#36130;&#21153;&#25253;&#34920;%20&#24180;&#24230;&#25910;&#25903;&#27719;&#24635;&#34920;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3 在外库存-2"/>
      <sheetName val="1 利润表-2"/>
      <sheetName val="2 资产负债表-2"/>
      <sheetName val="3 现金流-2"/>
      <sheetName val="4 收款记录-2"/>
      <sheetName val="5 资金分布-2"/>
      <sheetName val="6 预付账款-2"/>
      <sheetName val="7 应收账款-2"/>
      <sheetName val="8 代销客户-2"/>
      <sheetName val="9 代销成本-2"/>
      <sheetName val="10 物流成本-2"/>
      <sheetName val="11 代付运费-2"/>
      <sheetName val="12 库存-2"/>
      <sheetName val="14 出货排名表-2"/>
      <sheetName val="15 销售毛利-2"/>
      <sheetName val="16 销售分析表 -2"/>
      <sheetName val="17 其他应收款-2"/>
      <sheetName val="18 营业外支出-2"/>
      <sheetName val="19 研发-2"/>
      <sheetName val="20 固定资产折旧-2"/>
      <sheetName val="21 固定费用表"/>
      <sheetName val="22 人员成本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X公司年度收支表"/>
      <sheetName val="Sheet2"/>
    </sheetNames>
    <sheetDataSet>
      <sheetData sheetId="0">
        <row r="39">
          <cell r="G39">
            <v>7520</v>
          </cell>
          <cell r="K39">
            <v>34640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XEZ85"/>
  <sheetViews>
    <sheetView workbookViewId="0">
      <pane ySplit="12" topLeftCell="A13" activePane="bottomLeft" state="frozen"/>
      <selection pane="bottomLeft" activeCell="E67" sqref="E67"/>
    </sheetView>
  </sheetViews>
  <sheetFormatPr baseColWidth="8" defaultColWidth="9" defaultRowHeight="15.6"/>
  <cols>
    <col width="1.296875" customWidth="1" style="405" min="1" max="1"/>
    <col width="28.5" customWidth="1" style="406" min="2" max="2"/>
    <col width="14.296875" customWidth="1" style="590" min="3" max="3"/>
    <col width="13" customWidth="1" style="408" min="4" max="7"/>
    <col hidden="1" width="13" customWidth="1" style="405" min="8" max="8"/>
    <col width="12.09765625" customWidth="1" style="409" min="9" max="9"/>
    <col width="9" customWidth="1" style="405" min="10" max="14"/>
    <col width="10.09765625" customWidth="1" style="405" min="15" max="15"/>
    <col width="9" customWidth="1" style="405" min="16" max="16379"/>
  </cols>
  <sheetData>
    <row r="1" ht="30" customFormat="1" customHeight="1" s="402">
      <c r="A1" s="404" t="n"/>
      <c r="B1" s="469" t="inlineStr">
        <is>
          <t>2026年XX资金收支季度报表</t>
        </is>
      </c>
      <c r="I1" s="410" t="n"/>
    </row>
    <row r="2" customFormat="1" s="402">
      <c r="A2" s="404" t="n"/>
      <c r="B2" s="411" t="n"/>
      <c r="C2" s="591" t="n"/>
      <c r="I2" s="413" t="n"/>
    </row>
    <row r="3" customFormat="1" s="402">
      <c r="A3" s="404" t="n"/>
      <c r="B3" s="411" t="n"/>
      <c r="C3" s="591" t="n"/>
      <c r="I3" s="413" t="n"/>
    </row>
    <row r="4" customFormat="1" s="402">
      <c r="A4" s="404" t="n"/>
      <c r="B4" s="411" t="n"/>
      <c r="C4" s="591" t="n"/>
      <c r="I4" s="413" t="n"/>
      <c r="M4" s="414" t="n"/>
      <c r="N4" s="414" t="n"/>
      <c r="O4" s="414" t="n"/>
    </row>
    <row r="5" customFormat="1" s="402">
      <c r="A5" s="404" t="n"/>
      <c r="B5" s="411" t="n"/>
      <c r="C5" s="591" t="n"/>
      <c r="I5" s="413" t="n"/>
    </row>
    <row r="6" customFormat="1" s="402">
      <c r="A6" s="404" t="n"/>
      <c r="B6" s="411" t="n"/>
      <c r="C6" s="591" t="n"/>
      <c r="I6" s="413" t="n"/>
    </row>
    <row r="7" customFormat="1" s="402">
      <c r="A7" s="404" t="n"/>
      <c r="B7" s="411" t="n"/>
      <c r="C7" s="591" t="n"/>
      <c r="I7" s="413" t="n"/>
    </row>
    <row r="8" customFormat="1" s="402">
      <c r="A8" s="404" t="n"/>
      <c r="B8" s="411" t="n"/>
      <c r="C8" s="591" t="n"/>
      <c r="I8" s="413" t="n"/>
    </row>
    <row r="9" customFormat="1" s="402">
      <c r="A9" s="404" t="n"/>
      <c r="B9" s="411" t="n"/>
      <c r="C9" s="591" t="n"/>
      <c r="I9" s="413" t="n"/>
    </row>
    <row r="10" customFormat="1" s="402">
      <c r="A10" s="404" t="n"/>
      <c r="B10" s="411" t="n"/>
      <c r="C10" s="591" t="n"/>
      <c r="I10" s="413" t="n"/>
    </row>
    <row r="11" ht="21" customHeight="1">
      <c r="B11" s="415" t="inlineStr">
        <is>
          <t>项目</t>
        </is>
      </c>
      <c r="C11" s="592" t="inlineStr">
        <is>
          <t>年度合计</t>
        </is>
      </c>
      <c r="D11" s="417" t="inlineStr">
        <is>
          <t>Q1</t>
        </is>
      </c>
      <c r="E11" s="417" t="inlineStr">
        <is>
          <t>Q2</t>
        </is>
      </c>
      <c r="F11" s="417" t="inlineStr">
        <is>
          <t>Q3</t>
        </is>
      </c>
      <c r="G11" s="593" t="inlineStr">
        <is>
          <t>Q4</t>
        </is>
      </c>
      <c r="H11" s="593" t="n"/>
      <c r="I11" s="419" t="inlineStr">
        <is>
          <t>占比</t>
        </is>
      </c>
      <c r="XEZ11" s="405" t="n"/>
    </row>
    <row r="12">
      <c r="B12" s="420" t="inlineStr">
        <is>
          <t>期初数：</t>
        </is>
      </c>
      <c r="C12" s="594" t="n">
        <v>0</v>
      </c>
      <c r="D12" s="422">
        <f>'1.建行Q1'!N4</f>
        <v/>
      </c>
      <c r="E12" s="422">
        <f>'1.建行Q2'!R4</f>
        <v/>
      </c>
      <c r="F12" s="422" t="n"/>
      <c r="G12" s="422" t="n"/>
      <c r="H12" s="595" t="n"/>
      <c r="I12" s="424" t="n"/>
      <c r="XEZ12" s="405" t="n"/>
    </row>
    <row r="13" ht="18" customHeight="1">
      <c r="B13" s="425" t="inlineStr">
        <is>
          <t>1、主营收入：</t>
        </is>
      </c>
      <c r="C13" s="596">
        <f>SUM(D13:H13)</f>
        <v/>
      </c>
      <c r="D13" s="596">
        <f>SUM(D14:D16)</f>
        <v/>
      </c>
      <c r="E13" s="596">
        <f>SUM(E14:E16)</f>
        <v/>
      </c>
      <c r="F13" s="596">
        <f>SUM(F14:F16)</f>
        <v/>
      </c>
      <c r="G13" s="596">
        <f>SUM(G14:G16)</f>
        <v/>
      </c>
      <c r="H13" s="597" t="n"/>
      <c r="I13" s="428">
        <f>H13*$H$20</f>
        <v/>
      </c>
      <c r="XEZ13" s="405" t="n"/>
    </row>
    <row r="14">
      <c r="B14" s="429" t="inlineStr">
        <is>
          <t>产品收入</t>
        </is>
      </c>
      <c r="C14" s="598">
        <f>汇总表!O9</f>
        <v/>
      </c>
      <c r="D14" s="431">
        <f>汇总表!O5</f>
        <v/>
      </c>
      <c r="E14" s="431">
        <f>汇总表!O6</f>
        <v/>
      </c>
      <c r="F14" s="431" t="n"/>
      <c r="G14" s="599" t="n"/>
      <c r="H14" s="599" t="n"/>
      <c r="I14" s="433">
        <f>H14*$H$20</f>
        <v/>
      </c>
      <c r="XEZ14" s="405" t="n"/>
    </row>
    <row r="15">
      <c r="B15" s="429" t="inlineStr">
        <is>
          <t>服务收入</t>
        </is>
      </c>
      <c r="C15" s="598">
        <f>汇总表!O10</f>
        <v/>
      </c>
      <c r="D15" s="431">
        <f>汇总表!O6</f>
        <v/>
      </c>
      <c r="E15" s="431">
        <f>汇总表!P6</f>
        <v/>
      </c>
      <c r="F15" s="431" t="n"/>
      <c r="G15" s="599" t="n"/>
      <c r="H15" s="599" t="n"/>
      <c r="I15" s="433">
        <f>H15*$H$20</f>
        <v/>
      </c>
      <c r="XEZ15" s="405" t="n"/>
    </row>
    <row r="16">
      <c r="B16" s="429" t="inlineStr">
        <is>
          <t>其他收入</t>
        </is>
      </c>
      <c r="C16" s="598">
        <f>汇总表!O11</f>
        <v/>
      </c>
      <c r="D16" s="431">
        <f>汇总表!O7</f>
        <v/>
      </c>
      <c r="E16" s="431">
        <f>汇总表!Q6</f>
        <v/>
      </c>
      <c r="F16" s="431" t="n"/>
      <c r="G16" s="599" t="n"/>
      <c r="H16" s="599" t="n"/>
      <c r="I16" s="433">
        <f>H16*$H$20</f>
        <v/>
      </c>
      <c r="XEZ16" s="405" t="n"/>
    </row>
    <row r="17">
      <c r="B17" s="429" t="n"/>
      <c r="C17" s="598" t="n"/>
      <c r="D17" s="431" t="n"/>
      <c r="E17" s="431" t="n"/>
      <c r="F17" s="431" t="n"/>
      <c r="G17" s="599" t="n"/>
      <c r="H17" s="599" t="n"/>
      <c r="I17" s="433">
        <f>H17*$H$20</f>
        <v/>
      </c>
      <c r="XEZ17" s="405" t="n"/>
    </row>
    <row r="18">
      <c r="B18" s="429" t="n"/>
      <c r="C18" s="598" t="n"/>
      <c r="D18" s="431" t="n"/>
      <c r="E18" s="431" t="n"/>
      <c r="F18" s="431" t="n"/>
      <c r="G18" s="599" t="n"/>
      <c r="H18" s="599" t="n"/>
      <c r="I18" s="433">
        <f>H18*$H$20</f>
        <v/>
      </c>
      <c r="XEZ18" s="405" t="n"/>
    </row>
    <row r="19">
      <c r="B19" s="425" t="inlineStr">
        <is>
          <t>2、股东投入：</t>
        </is>
      </c>
      <c r="C19" s="596">
        <f>汇总表!N9</f>
        <v/>
      </c>
      <c r="D19" s="596">
        <f>汇总表!N5</f>
        <v/>
      </c>
      <c r="E19" s="434">
        <f>汇总表!N6</f>
        <v/>
      </c>
      <c r="F19" s="434" t="n"/>
      <c r="G19" s="597" t="n"/>
      <c r="H19" s="597" t="n"/>
      <c r="I19" s="428">
        <f>H19*$H$20</f>
        <v/>
      </c>
      <c r="XEZ19" s="405" t="n"/>
    </row>
    <row r="20">
      <c r="B20" s="435" t="inlineStr">
        <is>
          <t>本 期 收 入 合 计：</t>
        </is>
      </c>
      <c r="C20" s="600">
        <f>SUM(D20:H20)</f>
        <v/>
      </c>
      <c r="D20" s="600">
        <f>D19+D13</f>
        <v/>
      </c>
      <c r="E20" s="600">
        <f>E19+E13</f>
        <v/>
      </c>
      <c r="F20" s="600">
        <f>F19+F13</f>
        <v/>
      </c>
      <c r="G20" s="600">
        <f>G19+G13</f>
        <v/>
      </c>
      <c r="H20" s="600" t="n"/>
      <c r="I20" s="437">
        <f>I19+I13</f>
        <v/>
      </c>
      <c r="XEZ20" s="405" t="n"/>
    </row>
    <row r="21">
      <c r="B21" s="435" t="inlineStr">
        <is>
          <t>本 期 支 出 合 计：</t>
        </is>
      </c>
      <c r="C21" s="600">
        <f>SUM(D21:H21)</f>
        <v/>
      </c>
      <c r="D21" s="435">
        <f>D22+D31+D37+D47+D57+D61+D65+D68+D69+D74</f>
        <v/>
      </c>
      <c r="E21" s="435">
        <f>E22+E31+E37+E47+E57+E61+E65+E68+E69+E74</f>
        <v/>
      </c>
      <c r="F21" s="435" t="n"/>
      <c r="G21" s="600" t="n"/>
      <c r="H21" s="600" t="n"/>
      <c r="I21" s="437">
        <f>I22+I31+I37+I47+I57+I61+I65+I68+I69+I74</f>
        <v/>
      </c>
      <c r="XEZ21" s="405" t="n"/>
    </row>
    <row r="22">
      <c r="B22" s="425" t="inlineStr">
        <is>
          <t>1、主营业务支出</t>
        </is>
      </c>
      <c r="C22" s="596">
        <f>SUM(D22:H22)</f>
        <v/>
      </c>
      <c r="D22" s="596">
        <f>SUM(D23:D30)</f>
        <v/>
      </c>
      <c r="E22" s="596">
        <f>SUM(E23:E30)</f>
        <v/>
      </c>
      <c r="F22" s="596">
        <f>SUM(F23:F30)</f>
        <v/>
      </c>
      <c r="G22" s="596">
        <f>SUM(G23:G30)</f>
        <v/>
      </c>
      <c r="H22" s="601" t="n"/>
      <c r="I22" s="439">
        <f>C22/C21</f>
        <v/>
      </c>
      <c r="XEZ22" s="405" t="n"/>
    </row>
    <row r="23">
      <c r="B23" s="429" t="inlineStr">
        <is>
          <t>商品采购</t>
        </is>
      </c>
      <c r="C23" s="598">
        <f>汇总表!V9</f>
        <v/>
      </c>
      <c r="D23" s="431">
        <f>汇总表!V5</f>
        <v/>
      </c>
      <c r="E23" s="431">
        <f>汇总表!V6</f>
        <v/>
      </c>
      <c r="F23" s="431" t="n"/>
      <c r="G23" s="602" t="n"/>
      <c r="H23" s="602" t="n"/>
      <c r="I23" s="433">
        <f>C23/C21</f>
        <v/>
      </c>
      <c r="XEZ23" s="405" t="n"/>
    </row>
    <row r="24">
      <c r="B24" s="429" t="inlineStr">
        <is>
          <t>运费</t>
        </is>
      </c>
      <c r="C24" s="598">
        <f>汇总表!V10</f>
        <v/>
      </c>
      <c r="D24" s="431">
        <f>汇总表!W5</f>
        <v/>
      </c>
      <c r="E24" s="431">
        <f>汇总表!W6</f>
        <v/>
      </c>
      <c r="F24" s="431" t="n"/>
      <c r="G24" s="602" t="n"/>
      <c r="H24" s="602" t="n"/>
      <c r="I24" s="433">
        <f>C24/C21</f>
        <v/>
      </c>
      <c r="XEZ24" s="405" t="n"/>
    </row>
    <row r="25">
      <c r="B25" s="429" t="inlineStr">
        <is>
          <t>服务费</t>
        </is>
      </c>
      <c r="C25" s="598">
        <f>汇总表!V11</f>
        <v/>
      </c>
      <c r="D25" s="431">
        <f>汇总表!X5</f>
        <v/>
      </c>
      <c r="E25" s="431">
        <f>汇总表!X6</f>
        <v/>
      </c>
      <c r="F25" s="431" t="n"/>
      <c r="G25" s="602" t="n"/>
      <c r="H25" s="602" t="n"/>
      <c r="I25" s="433">
        <f>C25/C21</f>
        <v/>
      </c>
      <c r="XEZ25" s="405" t="n"/>
    </row>
    <row r="26">
      <c r="B26" s="429" t="inlineStr">
        <is>
          <t>返点佣金</t>
        </is>
      </c>
      <c r="C26" s="598">
        <f>汇总表!V12</f>
        <v/>
      </c>
      <c r="D26" s="431">
        <f>汇总表!Y5</f>
        <v/>
      </c>
      <c r="E26" s="431">
        <f>汇总表!Y6</f>
        <v/>
      </c>
      <c r="F26" s="431" t="n"/>
      <c r="G26" s="602" t="n"/>
      <c r="H26" s="602" t="n"/>
      <c r="I26" s="433">
        <f>C26/C21</f>
        <v/>
      </c>
      <c r="XEZ26" s="405" t="n"/>
    </row>
    <row r="27">
      <c r="B27" s="429" t="n"/>
      <c r="C27" s="598" t="n"/>
      <c r="D27" s="431" t="n"/>
      <c r="E27" s="431" t="n"/>
      <c r="F27" s="431" t="n"/>
      <c r="G27" s="602" t="n"/>
      <c r="H27" s="602" t="n"/>
      <c r="I27" s="433">
        <f>C27/C21</f>
        <v/>
      </c>
      <c r="XEZ27" s="405" t="n"/>
    </row>
    <row r="28">
      <c r="B28" s="429" t="n"/>
      <c r="C28" s="598" t="n"/>
      <c r="D28" s="431" t="n"/>
      <c r="E28" s="431" t="n"/>
      <c r="F28" s="431" t="n"/>
      <c r="G28" s="602" t="n"/>
      <c r="H28" s="602" t="n"/>
      <c r="I28" s="433">
        <f>C28/C21</f>
        <v/>
      </c>
      <c r="XEZ28" s="405" t="n"/>
    </row>
    <row r="29">
      <c r="B29" s="429" t="n"/>
      <c r="C29" s="598" t="n"/>
      <c r="D29" s="431" t="n"/>
      <c r="E29" s="431" t="n"/>
      <c r="F29" s="431" t="n"/>
      <c r="G29" s="602" t="n"/>
      <c r="H29" s="602" t="n"/>
      <c r="I29" s="433">
        <f>C29/C21</f>
        <v/>
      </c>
      <c r="XEZ29" s="405" t="n"/>
    </row>
    <row r="30">
      <c r="B30" s="429" t="n"/>
      <c r="C30" s="598" t="n"/>
      <c r="D30" s="431" t="n"/>
      <c r="E30" s="431" t="n"/>
      <c r="F30" s="431" t="n"/>
      <c r="G30" s="602" t="n"/>
      <c r="H30" s="602" t="n"/>
      <c r="I30" s="433">
        <f>C30/C21</f>
        <v/>
      </c>
      <c r="XEZ30" s="405" t="n"/>
    </row>
    <row r="31">
      <c r="B31" s="425" t="inlineStr">
        <is>
          <t>2、研发费用</t>
        </is>
      </c>
      <c r="C31" s="596">
        <f>SUM(D31:H31)</f>
        <v/>
      </c>
      <c r="D31" s="596">
        <f>SUM(D32:D36)</f>
        <v/>
      </c>
      <c r="E31" s="596">
        <f>SUM(E32:E36)</f>
        <v/>
      </c>
      <c r="F31" s="596">
        <f>SUM(F32:F36)</f>
        <v/>
      </c>
      <c r="G31" s="596">
        <f>SUM(G32:G36)</f>
        <v/>
      </c>
      <c r="H31" s="601" t="n"/>
      <c r="I31" s="439">
        <f>C31/$C$21</f>
        <v/>
      </c>
      <c r="XEZ31" s="405" t="n"/>
    </row>
    <row r="32">
      <c r="B32" s="429" t="inlineStr">
        <is>
          <t>人工成本</t>
        </is>
      </c>
      <c r="C32" s="598">
        <f>汇总表!Z9</f>
        <v/>
      </c>
      <c r="D32" s="431">
        <f>汇总表!Z5</f>
        <v/>
      </c>
      <c r="E32" s="431">
        <f>汇总表!Z6</f>
        <v/>
      </c>
      <c r="F32" s="431" t="n"/>
      <c r="G32" s="602" t="n"/>
      <c r="H32" s="602" t="n"/>
      <c r="I32" s="433">
        <f>C32/$C$21</f>
        <v/>
      </c>
      <c r="XEZ32" s="405" t="n"/>
    </row>
    <row r="33">
      <c r="B33" s="429" t="inlineStr">
        <is>
          <t>材料设备</t>
        </is>
      </c>
      <c r="C33" s="598">
        <f>汇总表!AA9</f>
        <v/>
      </c>
      <c r="D33" s="431">
        <f>汇总表!AA5</f>
        <v/>
      </c>
      <c r="E33" s="431">
        <f>汇总表!AA6</f>
        <v/>
      </c>
      <c r="F33" s="431" t="n"/>
      <c r="G33" s="602" t="n"/>
      <c r="H33" s="602" t="n"/>
      <c r="I33" s="433">
        <f>C33/$C$21</f>
        <v/>
      </c>
      <c r="XEZ33" s="405" t="n"/>
    </row>
    <row r="34">
      <c r="B34" s="429" t="inlineStr">
        <is>
          <t>服务费</t>
        </is>
      </c>
      <c r="C34" s="598">
        <f>汇总表!AB9</f>
        <v/>
      </c>
      <c r="D34" s="431">
        <f>汇总表!AB5</f>
        <v/>
      </c>
      <c r="E34" s="431">
        <f>汇总表!AB6</f>
        <v/>
      </c>
      <c r="F34" s="431" t="n"/>
      <c r="G34" s="602" t="n"/>
      <c r="H34" s="602" t="n"/>
      <c r="I34" s="433">
        <f>C34/$C$21</f>
        <v/>
      </c>
      <c r="XEZ34" s="405" t="n"/>
    </row>
    <row r="35">
      <c r="B35" s="429" t="inlineStr">
        <is>
          <t>委外</t>
        </is>
      </c>
      <c r="C35" s="598">
        <f>汇总表!AC9</f>
        <v/>
      </c>
      <c r="D35" s="431">
        <f>汇总表!AC5</f>
        <v/>
      </c>
      <c r="E35" s="431">
        <f>汇总表!AC6</f>
        <v/>
      </c>
      <c r="F35" s="431" t="n"/>
      <c r="G35" s="602" t="n"/>
      <c r="H35" s="602" t="n"/>
      <c r="I35" s="433">
        <f>C35/$C$21</f>
        <v/>
      </c>
      <c r="XEZ35" s="405" t="n"/>
    </row>
    <row r="36">
      <c r="B36" s="429" t="n"/>
      <c r="C36" s="598" t="n"/>
      <c r="D36" s="431" t="n"/>
      <c r="E36" s="431" t="n"/>
      <c r="F36" s="431" t="n"/>
      <c r="G36" s="602" t="n"/>
      <c r="H36" s="602" t="n"/>
      <c r="I36" s="433">
        <f>C36/$C$21</f>
        <v/>
      </c>
      <c r="XEZ36" s="405" t="n"/>
    </row>
    <row r="37">
      <c r="B37" s="425" t="inlineStr">
        <is>
          <t>3、销售费用</t>
        </is>
      </c>
      <c r="C37" s="596">
        <f>SUM(D37:H37)</f>
        <v/>
      </c>
      <c r="D37" s="596">
        <f>SUM(D38:D46)</f>
        <v/>
      </c>
      <c r="E37" s="596">
        <f>SUM(E38:E46)</f>
        <v/>
      </c>
      <c r="F37" s="596">
        <f>SUM(F38:F46)</f>
        <v/>
      </c>
      <c r="G37" s="596">
        <f>SUM(G38:G46)</f>
        <v/>
      </c>
      <c r="H37" s="601" t="n"/>
      <c r="I37" s="439">
        <f>C37/$C$21</f>
        <v/>
      </c>
      <c r="XEZ37" s="405" t="n"/>
    </row>
    <row r="38">
      <c r="B38" s="429" t="inlineStr">
        <is>
          <t>飞机、动车等</t>
        </is>
      </c>
      <c r="C38" s="598">
        <f>汇总表!AD9</f>
        <v/>
      </c>
      <c r="D38" s="431">
        <f>汇总表!AD5</f>
        <v/>
      </c>
      <c r="E38" s="431">
        <f>汇总表!AD6</f>
        <v/>
      </c>
      <c r="F38" s="431" t="n"/>
      <c r="G38" s="431" t="n"/>
      <c r="H38" s="602" t="n"/>
      <c r="I38" s="433">
        <f>C38/$C$21</f>
        <v/>
      </c>
      <c r="XEZ38" s="405" t="n"/>
    </row>
    <row r="39">
      <c r="B39" s="429" t="inlineStr">
        <is>
          <t>住宿费</t>
        </is>
      </c>
      <c r="C39" s="598">
        <f>汇总表!AE9</f>
        <v/>
      </c>
      <c r="D39" s="431">
        <f>汇总表!AE5</f>
        <v/>
      </c>
      <c r="E39" s="431">
        <f>汇总表!AE6</f>
        <v/>
      </c>
      <c r="F39" s="431" t="n"/>
      <c r="G39" s="431" t="n"/>
      <c r="H39" s="602" t="n"/>
      <c r="I39" s="433">
        <f>C39/$C$21</f>
        <v/>
      </c>
      <c r="XEZ39" s="405" t="n"/>
    </row>
    <row r="40">
      <c r="B40" s="429" t="inlineStr">
        <is>
          <t>车辆费</t>
        </is>
      </c>
      <c r="C40" s="598">
        <f>汇总表!AF9</f>
        <v/>
      </c>
      <c r="D40" s="431">
        <f>汇总表!AF5</f>
        <v/>
      </c>
      <c r="E40" s="431">
        <f>汇总表!AF6</f>
        <v/>
      </c>
      <c r="F40" s="431" t="n"/>
      <c r="G40" s="431" t="n"/>
      <c r="H40" s="602" t="n"/>
      <c r="I40" s="433">
        <f>C40/$C$21</f>
        <v/>
      </c>
      <c r="XEZ40" s="405" t="n"/>
    </row>
    <row r="41">
      <c r="B41" s="429" t="inlineStr">
        <is>
          <t>市内交通</t>
        </is>
      </c>
      <c r="C41" s="598">
        <f>汇总表!AG9</f>
        <v/>
      </c>
      <c r="D41" s="431">
        <f>汇总表!AG5</f>
        <v/>
      </c>
      <c r="E41" s="431">
        <f>汇总表!AG6</f>
        <v/>
      </c>
      <c r="F41" s="431" t="n"/>
      <c r="G41" s="431" t="n"/>
      <c r="H41" s="602" t="n"/>
      <c r="I41" s="433">
        <f>C41/$C$21</f>
        <v/>
      </c>
      <c r="XEZ41" s="405" t="n"/>
    </row>
    <row r="42">
      <c r="B42" s="429" t="inlineStr">
        <is>
          <t>招待/公关</t>
        </is>
      </c>
      <c r="C42" s="598">
        <f>汇总表!AH9</f>
        <v/>
      </c>
      <c r="D42" s="431">
        <f>汇总表!AH5</f>
        <v/>
      </c>
      <c r="E42" s="431">
        <f>汇总表!AH6</f>
        <v/>
      </c>
      <c r="F42" s="431" t="n"/>
      <c r="G42" s="431" t="n"/>
      <c r="H42" s="602" t="n"/>
      <c r="I42" s="433">
        <f>C42/$C$21</f>
        <v/>
      </c>
      <c r="XEZ42" s="405" t="n"/>
    </row>
    <row r="43">
      <c r="B43" s="429" t="inlineStr">
        <is>
          <t>服务费</t>
        </is>
      </c>
      <c r="C43" s="598">
        <f>汇总表!AI9</f>
        <v/>
      </c>
      <c r="D43" s="431">
        <f>汇总表!AI5</f>
        <v/>
      </c>
      <c r="E43" s="431">
        <f>汇总表!AI6</f>
        <v/>
      </c>
      <c r="F43" s="431" t="n"/>
      <c r="G43" s="431" t="n"/>
      <c r="H43" s="602" t="n"/>
      <c r="I43" s="433">
        <f>C43/$C$21</f>
        <v/>
      </c>
      <c r="XEZ43" s="405" t="n"/>
    </row>
    <row r="44">
      <c r="B44" s="429" t="inlineStr">
        <is>
          <t>经销返点</t>
        </is>
      </c>
      <c r="C44" s="598">
        <f>汇总表!AJ9</f>
        <v/>
      </c>
      <c r="D44" s="431">
        <f>汇总表!AJ5</f>
        <v/>
      </c>
      <c r="E44" s="431">
        <f>汇总表!AJ6</f>
        <v/>
      </c>
      <c r="F44" s="431" t="n"/>
      <c r="G44" s="431" t="n"/>
      <c r="H44" s="602" t="n"/>
      <c r="I44" s="433">
        <f>C44/$C$21</f>
        <v/>
      </c>
      <c r="XEZ44" s="405" t="n"/>
    </row>
    <row r="45">
      <c r="B45" s="429" t="inlineStr">
        <is>
          <t>其他</t>
        </is>
      </c>
      <c r="C45" s="598">
        <f>汇总表!AK9</f>
        <v/>
      </c>
      <c r="D45" s="431">
        <f>汇总表!AK5</f>
        <v/>
      </c>
      <c r="E45" s="431">
        <f>汇总表!AK6</f>
        <v/>
      </c>
      <c r="F45" s="431" t="n"/>
      <c r="G45" s="431" t="n"/>
      <c r="H45" s="602" t="n"/>
      <c r="I45" s="433">
        <f>C45/$C$21</f>
        <v/>
      </c>
      <c r="XEZ45" s="405" t="n"/>
    </row>
    <row r="46">
      <c r="B46" s="429" t="n"/>
      <c r="C46" s="598" t="n"/>
      <c r="D46" s="431" t="n"/>
      <c r="E46" s="431" t="n"/>
      <c r="F46" s="431" t="n"/>
      <c r="G46" s="602" t="n"/>
      <c r="H46" s="602" t="n"/>
      <c r="I46" s="433">
        <f>C46/$C$21</f>
        <v/>
      </c>
      <c r="XEZ46" s="405" t="n"/>
    </row>
    <row r="47">
      <c r="B47" s="425" t="inlineStr">
        <is>
          <t>4、管理费用</t>
        </is>
      </c>
      <c r="C47" s="596">
        <f>SUM(D47:G47)</f>
        <v/>
      </c>
      <c r="D47" s="596">
        <f>SUM(D48:D56)</f>
        <v/>
      </c>
      <c r="E47" s="596">
        <f>SUM(E48:E56)</f>
        <v/>
      </c>
      <c r="F47" s="596">
        <f>SUM(F48:F56)</f>
        <v/>
      </c>
      <c r="G47" s="596">
        <f>SUM(G48:G56)</f>
        <v/>
      </c>
      <c r="H47" s="601" t="n"/>
      <c r="I47" s="439">
        <f>C47/$C$21</f>
        <v/>
      </c>
      <c r="XEZ47" s="405" t="n"/>
    </row>
    <row r="48">
      <c r="B48" s="429" t="inlineStr">
        <is>
          <t>办公费</t>
        </is>
      </c>
      <c r="C48" s="598">
        <f>汇总表!AL9</f>
        <v/>
      </c>
      <c r="D48" s="431">
        <f>汇总表!AL5</f>
        <v/>
      </c>
      <c r="E48" s="431">
        <f>汇总表!AL6</f>
        <v/>
      </c>
      <c r="F48" s="431" t="n"/>
      <c r="G48" s="602" t="n"/>
      <c r="H48" s="602" t="n"/>
      <c r="I48" s="433">
        <f>C48/$C$21</f>
        <v/>
      </c>
      <c r="XEZ48" s="405" t="n"/>
    </row>
    <row r="49">
      <c r="B49" s="429" t="inlineStr">
        <is>
          <t>办公租金&amp;物业费&amp;水电费</t>
        </is>
      </c>
      <c r="C49" s="598">
        <f>汇总表!AM9</f>
        <v/>
      </c>
      <c r="D49" s="431">
        <f>汇总表!AM5</f>
        <v/>
      </c>
      <c r="E49" s="431">
        <f>汇总表!AM6</f>
        <v/>
      </c>
      <c r="F49" s="431" t="n"/>
      <c r="G49" s="602" t="n"/>
      <c r="H49" s="602" t="n"/>
      <c r="I49" s="433">
        <f>C49/$C$21</f>
        <v/>
      </c>
      <c r="XEZ49" s="405" t="n"/>
    </row>
    <row r="50">
      <c r="B50" s="429" t="inlineStr">
        <is>
          <t>市内交通</t>
        </is>
      </c>
      <c r="C50" s="598">
        <f>汇总表!AN9</f>
        <v/>
      </c>
      <c r="D50" s="431">
        <f>汇总表!AN5</f>
        <v/>
      </c>
      <c r="E50" s="431">
        <f>汇总表!AN6</f>
        <v/>
      </c>
      <c r="F50" s="431" t="n"/>
      <c r="G50" s="602" t="n"/>
      <c r="H50" s="602" t="n"/>
      <c r="I50" s="433">
        <f>C50/$C$21</f>
        <v/>
      </c>
      <c r="XEZ50" s="405" t="n"/>
    </row>
    <row r="51">
      <c r="B51" s="429" t="inlineStr">
        <is>
          <t>招待/公关</t>
        </is>
      </c>
      <c r="C51" s="598">
        <f>汇总表!AO9</f>
        <v/>
      </c>
      <c r="D51" s="431">
        <f>汇总表!AO5</f>
        <v/>
      </c>
      <c r="E51" s="431">
        <f>汇总表!AO6</f>
        <v/>
      </c>
      <c r="F51" s="431" t="n"/>
      <c r="G51" s="602" t="n"/>
      <c r="H51" s="602" t="n"/>
      <c r="I51" s="433">
        <f>C51/$C$21</f>
        <v/>
      </c>
      <c r="XEZ51" s="405" t="n"/>
    </row>
    <row r="52">
      <c r="B52" s="429" t="inlineStr">
        <is>
          <t>飞机、动车等</t>
        </is>
      </c>
      <c r="C52" s="598">
        <f>汇总表!AP9</f>
        <v/>
      </c>
      <c r="D52" s="431">
        <f>汇总表!AP5</f>
        <v/>
      </c>
      <c r="E52" s="431">
        <f>汇总表!AP6</f>
        <v/>
      </c>
      <c r="F52" s="431" t="n"/>
      <c r="G52" s="602" t="n"/>
      <c r="H52" s="602" t="n"/>
      <c r="I52" s="433">
        <f>C52/$C$21</f>
        <v/>
      </c>
      <c r="XEZ52" s="405" t="n"/>
    </row>
    <row r="53">
      <c r="B53" s="429" t="inlineStr">
        <is>
          <t>人员薪资</t>
        </is>
      </c>
      <c r="C53" s="598">
        <f>汇总表!AQ9</f>
        <v/>
      </c>
      <c r="D53" s="431">
        <f>汇总表!AQ5</f>
        <v/>
      </c>
      <c r="E53" s="431">
        <f>汇总表!AQ6</f>
        <v/>
      </c>
      <c r="F53" s="431" t="n"/>
      <c r="G53" s="602" t="n"/>
      <c r="H53" s="602" t="n"/>
      <c r="I53" s="433">
        <f>C53/$C$21</f>
        <v/>
      </c>
      <c r="XEZ53" s="405" t="n"/>
    </row>
    <row r="54">
      <c r="B54" s="429" t="inlineStr">
        <is>
          <t>社保&amp;公积金</t>
        </is>
      </c>
      <c r="C54" s="598">
        <f>汇总表!AR9</f>
        <v/>
      </c>
      <c r="D54" s="431">
        <f>汇总表!AR5</f>
        <v/>
      </c>
      <c r="E54" s="431">
        <f>汇总表!AR6</f>
        <v/>
      </c>
      <c r="F54" s="431" t="n"/>
      <c r="G54" s="602" t="n"/>
      <c r="H54" s="602" t="n"/>
      <c r="I54" s="433">
        <f>C54/$C$21</f>
        <v/>
      </c>
      <c r="XEZ54" s="405" t="n"/>
    </row>
    <row r="55">
      <c r="B55" s="429" t="inlineStr">
        <is>
          <t>员工福利</t>
        </is>
      </c>
      <c r="C55" s="598">
        <f>汇总表!AS9</f>
        <v/>
      </c>
      <c r="D55" s="431">
        <f>汇总表!AS5</f>
        <v/>
      </c>
      <c r="E55" s="431">
        <f>汇总表!AS6</f>
        <v/>
      </c>
      <c r="F55" s="431" t="n"/>
      <c r="G55" s="602" t="n"/>
      <c r="H55" s="602" t="n"/>
      <c r="I55" s="433">
        <f>C55/$C$21</f>
        <v/>
      </c>
      <c r="XEZ55" s="405" t="n"/>
    </row>
    <row r="56">
      <c r="B56" s="429" t="inlineStr">
        <is>
          <t>其他</t>
        </is>
      </c>
      <c r="C56" s="598">
        <f>汇总表!AT9</f>
        <v/>
      </c>
      <c r="D56" s="431">
        <f>汇总表!AT5</f>
        <v/>
      </c>
      <c r="E56" s="431">
        <f>汇总表!AT6</f>
        <v/>
      </c>
      <c r="F56" s="431" t="n"/>
      <c r="G56" s="602" t="n"/>
      <c r="H56" s="602" t="n"/>
      <c r="I56" s="433">
        <f>C56/$C$21</f>
        <v/>
      </c>
      <c r="XEZ56" s="405" t="n"/>
    </row>
    <row r="57">
      <c r="B57" s="425" t="inlineStr">
        <is>
          <t>5、财务费用</t>
        </is>
      </c>
      <c r="C57" s="596">
        <f>C58+C60+C59</f>
        <v/>
      </c>
      <c r="D57" s="596">
        <f>D58+D60+D59</f>
        <v/>
      </c>
      <c r="E57" s="596">
        <f>E58+E60+E59</f>
        <v/>
      </c>
      <c r="F57" s="596">
        <f>F58+F60+F59</f>
        <v/>
      </c>
      <c r="G57" s="596">
        <f>G58+G60+G59</f>
        <v/>
      </c>
      <c r="H57" s="601" t="n"/>
      <c r="I57" s="439">
        <f>C57/$C$21</f>
        <v/>
      </c>
      <c r="XEZ57" s="405" t="n"/>
    </row>
    <row r="58">
      <c r="B58" s="429" t="inlineStr">
        <is>
          <t>手续费</t>
        </is>
      </c>
      <c r="C58" s="598">
        <f>汇总表!AU9</f>
        <v/>
      </c>
      <c r="D58" s="431">
        <f>汇总表!AU5</f>
        <v/>
      </c>
      <c r="E58" s="431">
        <f>汇总表!AU6</f>
        <v/>
      </c>
      <c r="F58" s="431" t="n"/>
      <c r="G58" s="602" t="n"/>
      <c r="H58" s="602" t="n"/>
      <c r="I58" s="433">
        <f>C58/$C$21</f>
        <v/>
      </c>
      <c r="XEZ58" s="405" t="n"/>
    </row>
    <row r="59">
      <c r="B59" s="429" t="inlineStr">
        <is>
          <t>结息</t>
        </is>
      </c>
      <c r="C59" s="598">
        <f>汇总表!AV9</f>
        <v/>
      </c>
      <c r="D59" s="431">
        <f>汇总表!AV5</f>
        <v/>
      </c>
      <c r="E59" s="431">
        <f>汇总表!AV6</f>
        <v/>
      </c>
      <c r="F59" s="431" t="n"/>
      <c r="G59" s="602" t="n"/>
      <c r="H59" s="602" t="n"/>
      <c r="I59" s="433">
        <f>C59/$C$21</f>
        <v/>
      </c>
      <c r="XEZ59" s="405" t="n"/>
    </row>
    <row r="60">
      <c r="B60" s="429" t="inlineStr">
        <is>
          <t>贷款利息</t>
        </is>
      </c>
      <c r="C60" s="598">
        <f>汇总表!AW9</f>
        <v/>
      </c>
      <c r="D60" s="431">
        <f>汇总表!AW5</f>
        <v/>
      </c>
      <c r="E60" s="431">
        <f>汇总表!AW6</f>
        <v/>
      </c>
      <c r="F60" s="431" t="n"/>
      <c r="G60" s="602" t="n"/>
      <c r="H60" s="602" t="n"/>
      <c r="I60" s="433">
        <f>C60/$C$21</f>
        <v/>
      </c>
      <c r="XEZ60" s="405" t="n"/>
    </row>
    <row r="61">
      <c r="B61" s="425" t="inlineStr">
        <is>
          <t>6、固定资产</t>
        </is>
      </c>
      <c r="C61" s="596">
        <f>SUM(D61:H61)</f>
        <v/>
      </c>
      <c r="D61" s="434" t="n"/>
      <c r="E61" s="434" t="n"/>
      <c r="F61" s="434" t="n"/>
      <c r="G61" s="601" t="n">
        <v>0</v>
      </c>
      <c r="H61" s="601" t="n"/>
      <c r="I61" s="439">
        <f>C61/$C$21</f>
        <v/>
      </c>
      <c r="XEZ61" s="405" t="n"/>
    </row>
    <row r="62">
      <c r="B62" s="429" t="inlineStr">
        <is>
          <t>办公设备</t>
        </is>
      </c>
      <c r="C62" s="598">
        <f>汇总表!BC9</f>
        <v/>
      </c>
      <c r="D62" s="431">
        <f>汇总表!BC5</f>
        <v/>
      </c>
      <c r="E62" s="431">
        <f>汇总表!BC6</f>
        <v/>
      </c>
      <c r="F62" s="431" t="n"/>
      <c r="G62" s="602" t="n"/>
      <c r="H62" s="602" t="n"/>
      <c r="I62" s="433">
        <f>C62/$C$21</f>
        <v/>
      </c>
      <c r="XEZ62" s="405" t="n"/>
    </row>
    <row r="63">
      <c r="B63" s="429" t="inlineStr">
        <is>
          <t>办公家具   (包含车等）</t>
        </is>
      </c>
      <c r="C63" s="598">
        <f>汇总表!BC10</f>
        <v/>
      </c>
      <c r="D63" s="431">
        <f>汇总表!BD5</f>
        <v/>
      </c>
      <c r="E63" s="431">
        <f>汇总表!BD6</f>
        <v/>
      </c>
      <c r="F63" s="431" t="n"/>
      <c r="G63" s="602" t="n"/>
      <c r="H63" s="602" t="n"/>
      <c r="I63" s="433">
        <f>C63/$C$21</f>
        <v/>
      </c>
      <c r="XEZ63" s="405" t="n"/>
    </row>
    <row r="64">
      <c r="B64" s="429" t="n"/>
      <c r="C64" s="598" t="n"/>
      <c r="D64" s="431" t="n"/>
      <c r="E64" s="431" t="n"/>
      <c r="F64" s="431" t="n"/>
      <c r="G64" s="602" t="n"/>
      <c r="H64" s="602" t="n"/>
      <c r="I64" s="433">
        <f>C64/$C$21</f>
        <v/>
      </c>
      <c r="XEZ64" s="405" t="n"/>
    </row>
    <row r="65">
      <c r="B65" s="425" t="inlineStr">
        <is>
          <t>7、预付/暂支款</t>
        </is>
      </c>
      <c r="C65" s="596">
        <f>C66+C67</f>
        <v/>
      </c>
      <c r="D65" s="596">
        <f>D66+D67</f>
        <v/>
      </c>
      <c r="E65" s="596">
        <f>E66+E67</f>
        <v/>
      </c>
      <c r="F65" s="596">
        <f>F66+F67</f>
        <v/>
      </c>
      <c r="G65" s="596">
        <f>G66+G67</f>
        <v/>
      </c>
      <c r="H65" s="596">
        <f>H66+H67</f>
        <v/>
      </c>
      <c r="I65" s="439">
        <f>C65/$C$21</f>
        <v/>
      </c>
      <c r="XEZ65" s="405" t="n"/>
    </row>
    <row r="66">
      <c r="B66" s="441" t="inlineStr">
        <is>
          <t>预付</t>
        </is>
      </c>
      <c r="C66" s="598">
        <f>汇总表!M9</f>
        <v/>
      </c>
      <c r="D66" s="598">
        <f>汇总表!M5</f>
        <v/>
      </c>
      <c r="E66" s="431">
        <f>汇总表!M6</f>
        <v/>
      </c>
      <c r="F66" s="431" t="n"/>
      <c r="G66" s="602" t="n"/>
      <c r="H66" s="602" t="n"/>
      <c r="I66" s="433">
        <f>C66/$C$21</f>
        <v/>
      </c>
      <c r="XEZ66" s="405" t="n"/>
    </row>
    <row r="67">
      <c r="B67" s="441" t="inlineStr">
        <is>
          <t>归还</t>
        </is>
      </c>
      <c r="C67" s="598">
        <f>SUM(D67:H67)</f>
        <v/>
      </c>
      <c r="D67" s="431" t="n"/>
      <c r="E67" s="431" t="n"/>
      <c r="F67" s="431" t="n"/>
      <c r="G67" s="602" t="n"/>
      <c r="H67" s="602" t="n"/>
      <c r="I67" s="433">
        <f>C67/$C$21</f>
        <v/>
      </c>
      <c r="XEZ67" s="405" t="n"/>
    </row>
    <row r="68">
      <c r="B68" s="425" t="inlineStr">
        <is>
          <t>8、营业外支出</t>
        </is>
      </c>
      <c r="C68" s="596">
        <f>汇总表!BE9+汇总表!BF9</f>
        <v/>
      </c>
      <c r="D68" s="434" t="n"/>
      <c r="E68" s="434" t="n"/>
      <c r="F68" s="434" t="n"/>
      <c r="G68" s="601" t="n">
        <v>0</v>
      </c>
      <c r="H68" s="601" t="n"/>
      <c r="I68" s="439">
        <f>C68/$C$21</f>
        <v/>
      </c>
      <c r="XEZ68" s="405" t="n"/>
    </row>
    <row r="69">
      <c r="B69" s="425" t="inlineStr">
        <is>
          <t>9、税金支出</t>
        </is>
      </c>
      <c r="C69" s="596">
        <f>C70+C71+C72+C73</f>
        <v/>
      </c>
      <c r="D69" s="596">
        <f>D70+D71+D72+D73</f>
        <v/>
      </c>
      <c r="E69" s="596">
        <f>E70+E71+E72+E73</f>
        <v/>
      </c>
      <c r="F69" s="596">
        <f>F70+F71+F72+F73</f>
        <v/>
      </c>
      <c r="G69" s="596">
        <f>G70+G71+G72+G73</f>
        <v/>
      </c>
      <c r="H69" s="601" t="n"/>
      <c r="I69" s="439">
        <f>C69/$C$21</f>
        <v/>
      </c>
      <c r="XEZ69" s="405" t="n"/>
    </row>
    <row r="70">
      <c r="B70" s="429" t="inlineStr">
        <is>
          <t>增值税及附加</t>
        </is>
      </c>
      <c r="C70" s="598">
        <f>SUM(D70:H70)</f>
        <v/>
      </c>
      <c r="D70" s="431">
        <f>汇总表!AX5</f>
        <v/>
      </c>
      <c r="E70" s="431">
        <f>汇总表!AX6</f>
        <v/>
      </c>
      <c r="F70" s="431" t="n"/>
      <c r="G70" s="602" t="n">
        <v>0</v>
      </c>
      <c r="H70" s="602" t="n"/>
      <c r="I70" s="433">
        <f>C70/$C$21</f>
        <v/>
      </c>
      <c r="XEZ70" s="405" t="n"/>
    </row>
    <row r="71">
      <c r="B71" s="429" t="inlineStr">
        <is>
          <t>所得税</t>
        </is>
      </c>
      <c r="C71" s="598">
        <f>SUM(D71:H71)</f>
        <v/>
      </c>
      <c r="D71" s="431">
        <f>汇总表!AY5</f>
        <v/>
      </c>
      <c r="E71" s="431">
        <f>汇总表!AY6</f>
        <v/>
      </c>
      <c r="F71" s="431" t="n"/>
      <c r="G71" s="602" t="n">
        <v>0</v>
      </c>
      <c r="H71" s="602" t="n"/>
      <c r="I71" s="433">
        <f>C71/$C$21</f>
        <v/>
      </c>
      <c r="XEZ71" s="405" t="n"/>
    </row>
    <row r="72">
      <c r="B72" s="429" t="inlineStr">
        <is>
          <t>印花税</t>
        </is>
      </c>
      <c r="C72" s="598">
        <f>SUM(D72:H72)</f>
        <v/>
      </c>
      <c r="D72" s="431">
        <f>汇总表!AZ5</f>
        <v/>
      </c>
      <c r="E72" s="431">
        <f>汇总表!AZ6</f>
        <v/>
      </c>
      <c r="F72" s="431" t="n"/>
      <c r="G72" s="602" t="n">
        <v>0</v>
      </c>
      <c r="H72" s="602" t="n"/>
      <c r="I72" s="433">
        <f>C72/$C$21</f>
        <v/>
      </c>
      <c r="XEZ72" s="405" t="n"/>
    </row>
    <row r="73">
      <c r="B73" s="429" t="inlineStr">
        <is>
          <t>代扣代缴个税</t>
        </is>
      </c>
      <c r="C73" s="598">
        <f>SUM(D73:H73)</f>
        <v/>
      </c>
      <c r="D73" s="598">
        <f>汇总表!BA5</f>
        <v/>
      </c>
      <c r="E73" s="431">
        <f>汇总表!BA6</f>
        <v/>
      </c>
      <c r="F73" s="431" t="n"/>
      <c r="G73" s="602" t="n">
        <v>0</v>
      </c>
      <c r="H73" s="602" t="n"/>
      <c r="I73" s="433">
        <f>C73/$C$21</f>
        <v/>
      </c>
      <c r="XEZ73" s="405" t="n"/>
    </row>
    <row r="74">
      <c r="B74" s="425" t="inlineStr">
        <is>
          <t>10、集团划拨往来</t>
        </is>
      </c>
      <c r="C74" s="596">
        <f>SUM(D74:H74)</f>
        <v/>
      </c>
      <c r="D74" s="434" t="n">
        <v>0</v>
      </c>
      <c r="E74" s="434" t="n">
        <v>0</v>
      </c>
      <c r="F74" s="434" t="n"/>
      <c r="G74" s="601" t="n">
        <v>0</v>
      </c>
      <c r="H74" s="601" t="n"/>
      <c r="I74" s="439">
        <f>C74/$C$21</f>
        <v/>
      </c>
      <c r="XEZ74" s="405" t="n"/>
    </row>
    <row r="75" ht="22.95" customHeight="1">
      <c r="B75" s="420" t="inlineStr">
        <is>
          <t>本月资金净流入</t>
        </is>
      </c>
      <c r="C75" s="603">
        <f>C20-C21</f>
        <v/>
      </c>
      <c r="D75" s="603">
        <f>D20-D21</f>
        <v/>
      </c>
      <c r="E75" s="603">
        <f>E20-E21</f>
        <v/>
      </c>
      <c r="F75" s="422" t="n"/>
      <c r="G75" s="604" t="n"/>
      <c r="H75" s="604" t="n"/>
      <c r="I75" s="444" t="n"/>
      <c r="XEZ75" s="405" t="n"/>
    </row>
    <row r="76" ht="24" customFormat="1" customHeight="1" s="403">
      <c r="B76" s="445" t="inlineStr">
        <is>
          <t xml:space="preserve">本月资金余额                                          </t>
        </is>
      </c>
      <c r="C76" s="605">
        <f>C75+C12</f>
        <v/>
      </c>
      <c r="D76" s="605">
        <f>D75+D12</f>
        <v/>
      </c>
      <c r="E76" s="605">
        <f>E75+E12</f>
        <v/>
      </c>
      <c r="F76" s="605">
        <f>F75+F12</f>
        <v/>
      </c>
      <c r="G76" s="605">
        <f>G75+G12</f>
        <v/>
      </c>
      <c r="H76" s="606">
        <f>H12+H20-H21</f>
        <v/>
      </c>
      <c r="I76" s="448" t="n"/>
      <c r="J76" s="403">
        <f>D75-'1.建行Q1'!R23</f>
        <v/>
      </c>
    </row>
    <row r="77" ht="34.05" customFormat="1" customHeight="1" s="404">
      <c r="B77" s="449" t="inlineStr">
        <is>
          <t>总收入：</t>
        </is>
      </c>
      <c r="C77" s="607">
        <f>D20+E20+F20+G20+H20</f>
        <v/>
      </c>
      <c r="D77" s="607">
        <f>E20+F20+G20+H20+I20</f>
        <v/>
      </c>
      <c r="E77" s="451" t="n"/>
      <c r="F77" s="452" t="inlineStr">
        <is>
          <t>总支出：</t>
        </is>
      </c>
      <c r="G77" s="608">
        <f>D21+E21+F21+G21+H21</f>
        <v/>
      </c>
      <c r="H77" s="454" t="n"/>
      <c r="I77" s="455" t="n"/>
    </row>
    <row r="78" ht="34.05" customFormat="1" customHeight="1" s="404">
      <c r="B78" s="456" t="inlineStr">
        <is>
          <t>净流入：</t>
        </is>
      </c>
      <c r="C78" s="609">
        <f>C77-G77</f>
        <v/>
      </c>
      <c r="D78" s="609">
        <f>D77-H77</f>
        <v/>
      </c>
      <c r="E78" s="458" t="n"/>
      <c r="F78" s="459" t="inlineStr">
        <is>
          <t>收支占比</t>
        </is>
      </c>
      <c r="G78" s="460">
        <f>G77/C77</f>
        <v/>
      </c>
      <c r="H78" s="461" t="n"/>
      <c r="I78" s="462" t="n"/>
    </row>
    <row r="81">
      <c r="B81" s="610" t="inlineStr">
        <is>
          <t>项目</t>
        </is>
      </c>
      <c r="C81" s="611" t="inlineStr">
        <is>
          <t>年度合计</t>
        </is>
      </c>
      <c r="D81" s="610" t="inlineStr">
        <is>
          <t>Q1</t>
        </is>
      </c>
      <c r="E81" s="610" t="inlineStr">
        <is>
          <t>Q2</t>
        </is>
      </c>
      <c r="F81" s="610" t="inlineStr">
        <is>
          <t>Q3</t>
        </is>
      </c>
      <c r="G81" s="610" t="inlineStr">
        <is>
          <t>Q4</t>
        </is>
      </c>
      <c r="H81" s="610" t="n"/>
      <c r="I81" s="465" t="n"/>
    </row>
    <row r="82">
      <c r="B82" s="612" t="inlineStr">
        <is>
          <t>收 入 合 计：</t>
        </is>
      </c>
      <c r="C82" s="612">
        <f>SUM(D82:G82)</f>
        <v/>
      </c>
      <c r="D82" s="612">
        <f>D20</f>
        <v/>
      </c>
      <c r="E82" s="612">
        <f>E20</f>
        <v/>
      </c>
      <c r="F82" s="612" t="n"/>
      <c r="G82" s="612" t="n"/>
      <c r="H82" s="612" t="n"/>
      <c r="I82" s="465" t="n"/>
    </row>
    <row r="83">
      <c r="B83" s="612" t="inlineStr">
        <is>
          <t>支 出 合 计：</t>
        </is>
      </c>
      <c r="C83" s="612">
        <f>SUM(D83:G83)</f>
        <v/>
      </c>
      <c r="D83" s="612">
        <f>D21</f>
        <v/>
      </c>
      <c r="E83" s="612">
        <f>E21</f>
        <v/>
      </c>
      <c r="F83" s="612" t="n"/>
      <c r="G83" s="612" t="n"/>
      <c r="H83" s="612" t="n"/>
      <c r="I83" s="465" t="n"/>
    </row>
    <row r="84">
      <c r="B84" s="612" t="inlineStr">
        <is>
          <t xml:space="preserve">期末余额                                          </t>
        </is>
      </c>
      <c r="C84" s="612" t="n"/>
      <c r="D84" s="612">
        <f>D75</f>
        <v/>
      </c>
      <c r="E84" s="612">
        <f>D84+E82-E83</f>
        <v/>
      </c>
      <c r="F84" s="612" t="n"/>
      <c r="G84" s="612" t="n"/>
      <c r="H84" s="612" t="n"/>
      <c r="I84" s="465" t="n"/>
    </row>
    <row r="85">
      <c r="C85" s="613" t="n"/>
      <c r="H85" s="408" t="n"/>
      <c r="I85" s="468" t="n"/>
      <c r="XEZ85" s="405" t="n"/>
    </row>
  </sheetData>
  <mergeCells count="1">
    <mergeCell ref="B1:H1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BF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N5" sqref="N5"/>
    </sheetView>
  </sheetViews>
  <sheetFormatPr baseColWidth="8" defaultColWidth="9" defaultRowHeight="15.6"/>
  <cols>
    <col width="13.5" customWidth="1" style="389" min="1" max="1"/>
    <col width="7" customWidth="1" style="614" min="2" max="2"/>
    <col outlineLevel="1" width="6.296875" customWidth="1" style="615" min="3" max="6"/>
    <col outlineLevel="1" width="6.296875" customWidth="1" style="195" min="7" max="8"/>
    <col width="9.5" customWidth="1" style="195" min="9" max="9"/>
    <col outlineLevel="1" width="8.19921875" customWidth="1" style="195" min="10" max="10"/>
    <col outlineLevel="1" width="4.19921875" customWidth="1" style="195" min="11" max="11"/>
    <col width="4.8984375" customWidth="1" style="195" min="12" max="12"/>
    <col width="7.796875" customWidth="1" style="195" min="13" max="13"/>
    <col outlineLevel="1" width="7.69921875" customWidth="1" style="195" min="14" max="14"/>
    <col outlineLevel="1" width="5.3984375" customWidth="1" style="195" min="15" max="17"/>
    <col outlineLevel="1" width="7.8984375" customWidth="1" style="195" min="18" max="18"/>
    <col outlineLevel="1" width="9.296875" customWidth="1" style="195" min="19" max="19"/>
    <col width="12.5" customWidth="1" style="195" min="20" max="20"/>
    <col width="6.296875" customWidth="1" style="195" min="21" max="21"/>
    <col width="6.296875" customWidth="1" style="198" min="22" max="22"/>
    <col width="9.5" customWidth="1" style="198" min="23" max="23"/>
    <col outlineLevel="1" width="5.3984375" customWidth="1" style="195" min="24" max="25"/>
    <col outlineLevel="1" width="6.09765625" customWidth="1" style="195" min="26" max="26"/>
    <col outlineLevel="1" width="6.59765625" customWidth="1" style="195" min="27" max="27"/>
    <col outlineLevel="1" width="5.3984375" customWidth="1" style="195" min="28" max="31"/>
    <col outlineLevel="1" width="5.09765625" customWidth="1" style="199" min="32" max="32"/>
    <col outlineLevel="1" width="4.09765625" customWidth="1" style="199" min="33" max="33"/>
    <col outlineLevel="1" width="4.59765625" customWidth="1" style="199" min="34" max="34"/>
    <col outlineLevel="1" width="3.8984375" customWidth="1" style="199" min="35" max="39"/>
    <col outlineLevel="1" width="4.5" customWidth="1" style="195" min="40" max="40"/>
    <col outlineLevel="1" width="6.19921875" customWidth="1" style="195" min="41" max="41"/>
    <col outlineLevel="1" width="6.59765625" customWidth="1" style="195" min="42" max="42"/>
    <col outlineLevel="1" width="5.19921875" customWidth="1" style="195" min="43" max="46"/>
    <col outlineLevel="1" width="6.09765625" customWidth="1" style="195" min="47" max="47"/>
    <col width="6.09765625" customWidth="1" style="195" min="48" max="48"/>
    <col width="7.69921875" customWidth="1" style="195" min="49" max="49"/>
    <col width="4.8984375" customWidth="1" style="195" min="50" max="51"/>
    <col width="5" customWidth="1" style="195" min="52" max="52"/>
    <col width="7.09765625" customWidth="1" style="195" min="53" max="53"/>
    <col width="4.09765625" customWidth="1" style="195" min="54" max="54"/>
    <col width="4.19921875" customWidth="1" style="195" min="55" max="55"/>
    <col width="6.59765625" customWidth="1" style="195" min="56" max="56"/>
    <col width="6.3984375" customWidth="1" style="195" min="57" max="57"/>
    <col width="6.8984375" customWidth="1" style="195" min="58" max="58"/>
    <col width="9" customWidth="1" style="195" min="59" max="16384"/>
  </cols>
  <sheetData>
    <row r="1">
      <c r="A1" s="391" t="n"/>
      <c r="T1" s="616" t="n"/>
      <c r="U1" s="616" t="n"/>
    </row>
    <row r="2" ht="25.5" customFormat="1" customHeight="1" s="189">
      <c r="A2" s="500" t="inlineStr">
        <is>
          <t>行号</t>
        </is>
      </c>
      <c r="B2" s="617" t="inlineStr">
        <is>
          <t>交易时间</t>
        </is>
      </c>
      <c r="C2" s="618" t="inlineStr">
        <is>
          <t>研发费用</t>
        </is>
      </c>
      <c r="D2" s="619" t="inlineStr">
        <is>
          <t>销售费用</t>
        </is>
      </c>
      <c r="E2" s="620" t="inlineStr">
        <is>
          <t>管理费用</t>
        </is>
      </c>
      <c r="F2" s="621" t="inlineStr">
        <is>
          <t>财务费用</t>
        </is>
      </c>
      <c r="G2" s="622" t="inlineStr">
        <is>
          <t>应缴税金</t>
        </is>
      </c>
      <c r="H2" s="623" t="inlineStr">
        <is>
          <t>固定资产</t>
        </is>
      </c>
      <c r="I2" s="624" t="inlineStr">
        <is>
          <t>主营业务支出</t>
        </is>
      </c>
      <c r="J2" s="625" t="inlineStr">
        <is>
          <t>日常支出和</t>
        </is>
      </c>
      <c r="K2" s="626" t="inlineStr">
        <is>
          <t>集团往来</t>
        </is>
      </c>
      <c r="L2" s="627" t="inlineStr">
        <is>
          <t>理财</t>
        </is>
      </c>
      <c r="M2" s="628" t="inlineStr">
        <is>
          <t>暂支/预付</t>
        </is>
      </c>
      <c r="N2" s="628" t="inlineStr">
        <is>
          <t>投资款</t>
        </is>
      </c>
      <c r="O2" s="472" t="inlineStr">
        <is>
          <t>收入</t>
        </is>
      </c>
      <c r="P2" s="629" t="n"/>
      <c r="Q2" s="630" t="n"/>
      <c r="R2" s="631" t="inlineStr">
        <is>
          <t>余额</t>
        </is>
      </c>
      <c r="S2" s="632" t="inlineStr">
        <is>
          <t>客户/供应商</t>
        </is>
      </c>
      <c r="T2" s="633" t="inlineStr">
        <is>
          <t>部门</t>
        </is>
      </c>
      <c r="U2" s="634" t="inlineStr">
        <is>
          <t>摘要</t>
        </is>
      </c>
      <c r="V2" s="635" t="inlineStr">
        <is>
          <t>主营业务支出</t>
        </is>
      </c>
      <c r="W2" s="636" t="n"/>
      <c r="X2" s="636" t="n"/>
      <c r="Y2" s="637" t="n"/>
      <c r="Z2" s="638" t="inlineStr">
        <is>
          <t>研发费用</t>
        </is>
      </c>
      <c r="AA2" s="636" t="n"/>
      <c r="AB2" s="636" t="n"/>
      <c r="AC2" s="637" t="n"/>
      <c r="AD2" s="639" t="inlineStr">
        <is>
          <t>销售费用</t>
        </is>
      </c>
      <c r="AE2" s="636" t="n"/>
      <c r="AF2" s="636" t="n"/>
      <c r="AG2" s="636" t="n"/>
      <c r="AH2" s="636" t="n"/>
      <c r="AI2" s="636" t="n"/>
      <c r="AJ2" s="636" t="n"/>
      <c r="AK2" s="637" t="n"/>
      <c r="AL2" s="640" t="inlineStr">
        <is>
          <t>管理费用</t>
        </is>
      </c>
      <c r="AM2" s="636" t="n"/>
      <c r="AN2" s="636" t="n"/>
      <c r="AO2" s="636" t="n"/>
      <c r="AP2" s="636" t="n"/>
      <c r="AQ2" s="636" t="n"/>
      <c r="AR2" s="636" t="n"/>
      <c r="AS2" s="636" t="n"/>
      <c r="AT2" s="637" t="n"/>
      <c r="AU2" s="641" t="inlineStr">
        <is>
          <t>财务费用</t>
        </is>
      </c>
      <c r="AV2" s="636" t="n"/>
      <c r="AW2" s="637" t="n"/>
      <c r="AX2" s="642" t="inlineStr">
        <is>
          <t>应缴税金</t>
        </is>
      </c>
      <c r="AY2" s="636" t="n"/>
      <c r="AZ2" s="636" t="n"/>
      <c r="BA2" s="636" t="n"/>
      <c r="BB2" s="637" t="n"/>
      <c r="BC2" s="643" t="inlineStr">
        <is>
          <t>有形资产</t>
        </is>
      </c>
      <c r="BD2" s="637" t="n"/>
      <c r="BE2" s="644" t="inlineStr">
        <is>
          <t>营业外支出</t>
        </is>
      </c>
      <c r="BF2" s="637" t="n"/>
    </row>
    <row r="3" ht="30" customFormat="1" customHeight="1" s="190">
      <c r="A3" s="645" t="n"/>
      <c r="B3" s="646" t="n"/>
      <c r="C3" s="647" t="n"/>
      <c r="D3" s="648" t="n"/>
      <c r="E3" s="649" t="n"/>
      <c r="F3" s="649" t="n"/>
      <c r="G3" s="649" t="n"/>
      <c r="H3" s="649" t="n"/>
      <c r="I3" s="649" t="n"/>
      <c r="J3" s="646" t="n"/>
      <c r="K3" s="650" t="n"/>
      <c r="L3" s="650" t="n"/>
      <c r="M3" s="651" t="n"/>
      <c r="N3" s="651" t="n"/>
      <c r="O3" s="652" t="inlineStr">
        <is>
          <t>产品收入</t>
        </is>
      </c>
      <c r="P3" s="653" t="inlineStr">
        <is>
          <t>服务收入</t>
        </is>
      </c>
      <c r="Q3" s="653" t="inlineStr">
        <is>
          <t>其他收入</t>
        </is>
      </c>
      <c r="R3" s="650" t="n"/>
      <c r="S3" s="648" t="n"/>
      <c r="T3" s="649" t="n"/>
      <c r="U3" s="654" t="n"/>
      <c r="V3" s="655" t="inlineStr">
        <is>
          <t>商品采购</t>
        </is>
      </c>
      <c r="W3" s="655" t="inlineStr">
        <is>
          <t>运费</t>
        </is>
      </c>
      <c r="X3" s="655" t="inlineStr">
        <is>
          <t>服务费</t>
        </is>
      </c>
      <c r="Y3" s="655" t="inlineStr">
        <is>
          <t>返点佣金</t>
        </is>
      </c>
      <c r="Z3" s="656" t="inlineStr">
        <is>
          <t>人工成本</t>
        </is>
      </c>
      <c r="AA3" s="656" t="inlineStr">
        <is>
          <t>材料设备</t>
        </is>
      </c>
      <c r="AB3" s="656" t="inlineStr">
        <is>
          <t>服务费</t>
        </is>
      </c>
      <c r="AC3" s="656" t="inlineStr">
        <is>
          <t>委外</t>
        </is>
      </c>
      <c r="AD3" s="657" t="inlineStr">
        <is>
          <t>飞机、动车等</t>
        </is>
      </c>
      <c r="AE3" s="657" t="inlineStr">
        <is>
          <t>住宿费</t>
        </is>
      </c>
      <c r="AF3" s="657" t="inlineStr">
        <is>
          <t>车辆费</t>
        </is>
      </c>
      <c r="AG3" s="657" t="inlineStr">
        <is>
          <t>市内交通</t>
        </is>
      </c>
      <c r="AH3" s="657" t="inlineStr">
        <is>
          <t>招待/公关</t>
        </is>
      </c>
      <c r="AI3" s="657" t="inlineStr">
        <is>
          <t>服务费</t>
        </is>
      </c>
      <c r="AJ3" s="657" t="inlineStr">
        <is>
          <t>经销返点</t>
        </is>
      </c>
      <c r="AK3" s="658" t="inlineStr">
        <is>
          <t>其他</t>
        </is>
      </c>
      <c r="AL3" s="659" t="inlineStr">
        <is>
          <t>办公费</t>
        </is>
      </c>
      <c r="AM3" s="660" t="inlineStr">
        <is>
          <t>办公租金&amp;物业费&amp;水电费</t>
        </is>
      </c>
      <c r="AN3" s="660" t="inlineStr">
        <is>
          <t>市内交通</t>
        </is>
      </c>
      <c r="AO3" s="660" t="inlineStr">
        <is>
          <t>招待/公关</t>
        </is>
      </c>
      <c r="AP3" s="660" t="inlineStr">
        <is>
          <t>飞机、动车等</t>
        </is>
      </c>
      <c r="AQ3" s="660" t="inlineStr">
        <is>
          <t>人员薪资</t>
        </is>
      </c>
      <c r="AR3" s="660" t="inlineStr">
        <is>
          <t>社保&amp;公积金</t>
        </is>
      </c>
      <c r="AS3" s="660" t="inlineStr">
        <is>
          <t>员工福利</t>
        </is>
      </c>
      <c r="AT3" s="661" t="inlineStr">
        <is>
          <t>其他</t>
        </is>
      </c>
      <c r="AU3" s="662" t="inlineStr">
        <is>
          <t>手续费</t>
        </is>
      </c>
      <c r="AV3" s="663" t="inlineStr">
        <is>
          <t>结息</t>
        </is>
      </c>
      <c r="AW3" s="216" t="inlineStr">
        <is>
          <t>贷款利息</t>
        </is>
      </c>
      <c r="AX3" s="664" t="inlineStr">
        <is>
          <t>增值税及附加</t>
        </is>
      </c>
      <c r="AY3" s="665" t="inlineStr">
        <is>
          <t>所得税</t>
        </is>
      </c>
      <c r="AZ3" s="665" t="inlineStr">
        <is>
          <t>印花税</t>
        </is>
      </c>
      <c r="BA3" s="665" t="inlineStr">
        <is>
          <t>工资个税</t>
        </is>
      </c>
      <c r="BB3" s="666" t="inlineStr">
        <is>
          <t>劳务个税</t>
        </is>
      </c>
      <c r="BC3" s="667" t="inlineStr">
        <is>
          <t>办公设备</t>
        </is>
      </c>
      <c r="BD3" s="668" t="inlineStr">
        <is>
          <t>办公家具   (包含车等）</t>
        </is>
      </c>
      <c r="BE3" s="669" t="inlineStr">
        <is>
          <t>违约金</t>
        </is>
      </c>
      <c r="BF3" s="670" t="inlineStr">
        <is>
          <t>罚款</t>
        </is>
      </c>
    </row>
    <row r="4" ht="20.25" customFormat="1" customHeight="1" s="191">
      <c r="A4" s="496" t="inlineStr">
        <is>
          <t>期初余额</t>
        </is>
      </c>
      <c r="B4" s="671" t="n"/>
      <c r="C4" s="497" t="n"/>
      <c r="D4" s="672" t="n"/>
      <c r="E4" s="672" t="n"/>
      <c r="F4" s="672" t="n"/>
      <c r="G4" s="672" t="n"/>
      <c r="H4" s="226" t="n"/>
      <c r="I4" s="226" t="n"/>
      <c r="J4" s="672" t="n">
        <v>0</v>
      </c>
      <c r="K4" s="226" t="n"/>
      <c r="L4" s="226" t="n"/>
      <c r="M4" s="226" t="n"/>
      <c r="N4" s="226" t="n"/>
      <c r="O4" s="226" t="n"/>
      <c r="P4" s="226" t="n"/>
      <c r="Q4" s="226" t="n"/>
      <c r="R4" s="392" t="n">
        <v>0</v>
      </c>
      <c r="S4" s="226" t="n"/>
      <c r="T4" s="226" t="n"/>
      <c r="U4" s="228" t="n"/>
      <c r="V4" s="226" t="n"/>
      <c r="W4" s="226" t="n"/>
      <c r="X4" s="226" t="n"/>
      <c r="Y4" s="226" t="n"/>
      <c r="Z4" s="226" t="n"/>
      <c r="AA4" s="229" t="n"/>
      <c r="AB4" s="229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30" t="n"/>
      <c r="BE4" s="226" t="n"/>
      <c r="BF4" s="230" t="n"/>
    </row>
    <row r="5" ht="18" customFormat="1" customHeight="1" s="191">
      <c r="A5" s="231" t="inlineStr">
        <is>
          <t>建行</t>
        </is>
      </c>
      <c r="B5" s="393" t="inlineStr">
        <is>
          <t>Q1</t>
        </is>
      </c>
      <c r="C5" s="673">
        <f>'1.建行Q1'!C23</f>
        <v/>
      </c>
      <c r="D5" s="673">
        <f>'1.建行Q1'!D23</f>
        <v/>
      </c>
      <c r="E5" s="673">
        <f>'1.建行Q1'!E23</f>
        <v/>
      </c>
      <c r="F5" s="673">
        <f>'1.建行Q1'!F23</f>
        <v/>
      </c>
      <c r="G5" s="673">
        <f>'1.建行Q1'!G23</f>
        <v/>
      </c>
      <c r="H5" s="673">
        <f>'1.建行Q1'!H23</f>
        <v/>
      </c>
      <c r="I5" s="673">
        <f>'1.建行Q1'!I23</f>
        <v/>
      </c>
      <c r="J5" s="673">
        <f>'1.建行Q1'!J23</f>
        <v/>
      </c>
      <c r="K5" s="673">
        <f>'1.建行Q1'!K23</f>
        <v/>
      </c>
      <c r="L5" s="673">
        <f>'1.建行Q1'!L23</f>
        <v/>
      </c>
      <c r="M5" s="673">
        <f>'1.建行Q1'!M23</f>
        <v/>
      </c>
      <c r="N5" s="673">
        <f>'1.建行Q1'!N23</f>
        <v/>
      </c>
      <c r="O5" s="673">
        <f>'1.建行Q1'!O23</f>
        <v/>
      </c>
      <c r="P5" s="673">
        <f>'1.建行Q1'!P23</f>
        <v/>
      </c>
      <c r="Q5" s="673">
        <f>'1.建行Q1'!Q23</f>
        <v/>
      </c>
      <c r="R5" s="673">
        <f>'1.建行Q1'!R23</f>
        <v/>
      </c>
      <c r="S5" s="673">
        <f>'1.建行Q1'!S23</f>
        <v/>
      </c>
      <c r="T5" s="673">
        <f>'1.建行Q1'!T23</f>
        <v/>
      </c>
      <c r="U5" s="673">
        <f>'1.建行Q1'!U23</f>
        <v/>
      </c>
      <c r="V5" s="673">
        <f>'1.建行Q1'!V23</f>
        <v/>
      </c>
      <c r="W5" s="673">
        <f>'1.建行Q1'!W23</f>
        <v/>
      </c>
      <c r="X5" s="673">
        <f>'1.建行Q1'!X23</f>
        <v/>
      </c>
      <c r="Y5" s="673">
        <f>'1.建行Q1'!Y23</f>
        <v/>
      </c>
      <c r="Z5" s="673">
        <f>'1.建行Q1'!Z23</f>
        <v/>
      </c>
      <c r="AA5" s="673">
        <f>'1.建行Q1'!AA23</f>
        <v/>
      </c>
      <c r="AB5" s="673">
        <f>'1.建行Q1'!AB23</f>
        <v/>
      </c>
      <c r="AC5" s="673">
        <f>'1.建行Q1'!AC23</f>
        <v/>
      </c>
      <c r="AD5" s="673">
        <f>'1.建行Q1'!AD23</f>
        <v/>
      </c>
      <c r="AE5" s="673">
        <f>'1.建行Q1'!AE23</f>
        <v/>
      </c>
      <c r="AF5" s="673">
        <f>'1.建行Q1'!AF23</f>
        <v/>
      </c>
      <c r="AG5" s="673">
        <f>'1.建行Q1'!AG23</f>
        <v/>
      </c>
      <c r="AH5" s="673">
        <f>'1.建行Q1'!AH23</f>
        <v/>
      </c>
      <c r="AI5" s="673">
        <f>'1.建行Q1'!AI23</f>
        <v/>
      </c>
      <c r="AJ5" s="673">
        <f>'1.建行Q1'!AJ23</f>
        <v/>
      </c>
      <c r="AK5" s="673">
        <f>'1.建行Q1'!AK23</f>
        <v/>
      </c>
      <c r="AL5" s="673">
        <f>'1.建行Q1'!AL23</f>
        <v/>
      </c>
      <c r="AM5" s="673">
        <f>'1.建行Q1'!AM23</f>
        <v/>
      </c>
      <c r="AN5" s="673">
        <f>'1.建行Q1'!AN23</f>
        <v/>
      </c>
      <c r="AO5" s="673">
        <f>'1.建行Q1'!AO23</f>
        <v/>
      </c>
      <c r="AP5" s="673">
        <f>'1.建行Q1'!AP23</f>
        <v/>
      </c>
      <c r="AQ5" s="673">
        <f>'1.建行Q1'!AQ23</f>
        <v/>
      </c>
      <c r="AR5" s="673">
        <f>'1.建行Q1'!AR23</f>
        <v/>
      </c>
      <c r="AS5" s="673">
        <f>'1.建行Q1'!AS23</f>
        <v/>
      </c>
      <c r="AT5" s="673">
        <f>'1.建行Q1'!AT23</f>
        <v/>
      </c>
      <c r="AU5" s="673">
        <f>'1.建行Q1'!AU23</f>
        <v/>
      </c>
      <c r="AV5" s="673">
        <f>'1.建行Q1'!AV23</f>
        <v/>
      </c>
      <c r="AW5" s="673">
        <f>'1.建行Q1'!AW23</f>
        <v/>
      </c>
      <c r="AX5" s="673">
        <f>'1.建行Q1'!AX23</f>
        <v/>
      </c>
      <c r="AY5" s="673">
        <f>'1.建行Q1'!AY23</f>
        <v/>
      </c>
      <c r="AZ5" s="673">
        <f>'1.建行Q1'!AZ23</f>
        <v/>
      </c>
      <c r="BA5" s="673">
        <f>'1.建行Q1'!BA23</f>
        <v/>
      </c>
      <c r="BB5" s="673">
        <f>'1.建行Q1'!BB23</f>
        <v/>
      </c>
      <c r="BC5" s="673">
        <f>'1.建行Q1'!BC23</f>
        <v/>
      </c>
      <c r="BD5" s="673">
        <f>'1.建行Q1'!BD23</f>
        <v/>
      </c>
      <c r="BE5" s="673">
        <f>'1.建行Q1'!BE23</f>
        <v/>
      </c>
      <c r="BF5" s="673">
        <f>'1.建行Q1'!BF23</f>
        <v/>
      </c>
    </row>
    <row r="6" ht="16.95" customFormat="1" customHeight="1" s="4">
      <c r="A6" s="231" t="inlineStr">
        <is>
          <t>建行</t>
        </is>
      </c>
      <c r="B6" s="393" t="inlineStr">
        <is>
          <t>Q2</t>
        </is>
      </c>
      <c r="C6" s="673">
        <f>'1.建行Q2'!C23</f>
        <v/>
      </c>
      <c r="D6" s="673">
        <f>'1.建行Q2'!D23</f>
        <v/>
      </c>
      <c r="E6" s="673">
        <f>'1.建行Q2'!E23</f>
        <v/>
      </c>
      <c r="F6" s="673">
        <f>'1.建行Q2'!F23</f>
        <v/>
      </c>
      <c r="G6" s="673">
        <f>'1.建行Q2'!G23</f>
        <v/>
      </c>
      <c r="H6" s="673">
        <f>'1.建行Q2'!H23</f>
        <v/>
      </c>
      <c r="I6" s="673">
        <f>'1.建行Q2'!I23</f>
        <v/>
      </c>
      <c r="J6" s="673">
        <f>'1.建行Q2'!J23</f>
        <v/>
      </c>
      <c r="K6" s="673">
        <f>'1.建行Q2'!K23</f>
        <v/>
      </c>
      <c r="L6" s="673">
        <f>'1.建行Q2'!L23</f>
        <v/>
      </c>
      <c r="M6" s="673">
        <f>'1.建行Q2'!M23</f>
        <v/>
      </c>
      <c r="N6" s="673">
        <f>'1.建行Q2'!N23</f>
        <v/>
      </c>
      <c r="O6" s="673">
        <f>'1.建行Q2'!O23</f>
        <v/>
      </c>
      <c r="P6" s="673">
        <f>'1.建行Q2'!P23</f>
        <v/>
      </c>
      <c r="Q6" s="673">
        <f>'1.建行Q2'!Q23</f>
        <v/>
      </c>
      <c r="R6" s="673">
        <f>'1.建行Q2'!R23</f>
        <v/>
      </c>
      <c r="S6" s="673">
        <f>'1.建行Q2'!S23</f>
        <v/>
      </c>
      <c r="T6" s="673">
        <f>'1.建行Q2'!T23</f>
        <v/>
      </c>
      <c r="U6" s="673">
        <f>'1.建行Q2'!U23</f>
        <v/>
      </c>
      <c r="V6" s="673">
        <f>'1.建行Q2'!V23</f>
        <v/>
      </c>
      <c r="W6" s="673">
        <f>'1.建行Q2'!W23</f>
        <v/>
      </c>
      <c r="X6" s="673">
        <f>'1.建行Q2'!X23</f>
        <v/>
      </c>
      <c r="Y6" s="673">
        <f>'1.建行Q2'!Y23</f>
        <v/>
      </c>
      <c r="Z6" s="673">
        <f>'1.建行Q2'!Z23</f>
        <v/>
      </c>
      <c r="AA6" s="673">
        <f>'1.建行Q2'!AA23</f>
        <v/>
      </c>
      <c r="AB6" s="673">
        <f>'1.建行Q2'!AB23</f>
        <v/>
      </c>
      <c r="AC6" s="673">
        <f>'1.建行Q2'!AC23</f>
        <v/>
      </c>
      <c r="AD6" s="673">
        <f>'1.建行Q2'!AD23</f>
        <v/>
      </c>
      <c r="AE6" s="673">
        <f>'1.建行Q2'!AE23</f>
        <v/>
      </c>
      <c r="AF6" s="673">
        <f>'1.建行Q2'!AF23</f>
        <v/>
      </c>
      <c r="AG6" s="673">
        <f>'1.建行Q2'!AG23</f>
        <v/>
      </c>
      <c r="AH6" s="673">
        <f>'1.建行Q2'!AH23</f>
        <v/>
      </c>
      <c r="AI6" s="673">
        <f>'1.建行Q2'!AI23</f>
        <v/>
      </c>
      <c r="AJ6" s="673">
        <f>'1.建行Q2'!AJ23</f>
        <v/>
      </c>
      <c r="AK6" s="673">
        <f>'1.建行Q2'!AK23</f>
        <v/>
      </c>
      <c r="AL6" s="673">
        <f>'1.建行Q2'!AL23</f>
        <v/>
      </c>
      <c r="AM6" s="673">
        <f>'1.建行Q2'!AM23</f>
        <v/>
      </c>
      <c r="AN6" s="673">
        <f>'1.建行Q2'!AN23</f>
        <v/>
      </c>
      <c r="AO6" s="673">
        <f>'1.建行Q2'!AO23</f>
        <v/>
      </c>
      <c r="AP6" s="674">
        <f>'1.建行Q2'!AP23</f>
        <v/>
      </c>
      <c r="AQ6" s="673">
        <f>'1.建行Q2'!AQ23</f>
        <v/>
      </c>
      <c r="AR6" s="673">
        <f>'1.建行Q2'!AR23</f>
        <v/>
      </c>
      <c r="AS6" s="673">
        <f>'1.建行Q2'!AS23</f>
        <v/>
      </c>
      <c r="AT6" s="673">
        <f>'1.建行Q2'!AT23</f>
        <v/>
      </c>
      <c r="AU6" s="673">
        <f>'1.建行Q2'!AU23</f>
        <v/>
      </c>
      <c r="AV6" s="673">
        <f>'1.建行Q2'!AV23</f>
        <v/>
      </c>
      <c r="AW6" s="673">
        <f>'1.建行Q2'!AW23</f>
        <v/>
      </c>
      <c r="AX6" s="673">
        <f>'1.建行Q2'!AX23</f>
        <v/>
      </c>
      <c r="AY6" s="673">
        <f>'1.建行Q2'!AY23</f>
        <v/>
      </c>
      <c r="AZ6" s="673">
        <f>'1.建行Q2'!AZ23</f>
        <v/>
      </c>
      <c r="BA6" s="673">
        <f>'1.建行Q2'!BA23</f>
        <v/>
      </c>
      <c r="BB6" s="673">
        <f>'1.建行Q2'!BB23</f>
        <v/>
      </c>
      <c r="BC6" s="673">
        <f>'1.建行Q2'!BC23</f>
        <v/>
      </c>
      <c r="BD6" s="673">
        <f>'1.建行Q2'!BD23</f>
        <v/>
      </c>
      <c r="BE6" s="673">
        <f>'1.建行Q2'!BE23</f>
        <v/>
      </c>
      <c r="BF6" s="673">
        <f>'1.建行Q2'!BF23</f>
        <v/>
      </c>
    </row>
    <row r="7" ht="16.95" customFormat="1" customHeight="1" s="4">
      <c r="A7" s="231" t="inlineStr">
        <is>
          <t>'1、北京黑金'!A1</t>
        </is>
      </c>
      <c r="B7" s="393" t="n"/>
      <c r="C7" s="673" t="n"/>
      <c r="D7" s="673" t="n"/>
      <c r="E7" s="673" t="n"/>
      <c r="F7" s="673" t="n"/>
      <c r="G7" s="673" t="n"/>
      <c r="H7" s="673" t="n"/>
      <c r="I7" s="673" t="n"/>
      <c r="J7" s="673" t="n"/>
      <c r="K7" s="673" t="n"/>
      <c r="L7" s="673" t="n"/>
      <c r="M7" s="673" t="n"/>
      <c r="N7" s="673" t="n"/>
      <c r="O7" s="673" t="n"/>
      <c r="P7" s="673" t="n"/>
      <c r="Q7" s="673" t="n"/>
      <c r="R7" s="673" t="n"/>
      <c r="S7" s="673" t="n"/>
      <c r="T7" s="673" t="n"/>
      <c r="U7" s="673" t="n"/>
      <c r="V7" s="673" t="n"/>
      <c r="W7" s="673" t="n"/>
      <c r="X7" s="673" t="n"/>
      <c r="Y7" s="673" t="n"/>
      <c r="Z7" s="673" t="n"/>
      <c r="AA7" s="673" t="n"/>
      <c r="AB7" s="673" t="n"/>
      <c r="AC7" s="673" t="n"/>
      <c r="AD7" s="673" t="n"/>
      <c r="AE7" s="673" t="n"/>
      <c r="AF7" s="673" t="n"/>
      <c r="AG7" s="673" t="n"/>
      <c r="AH7" s="673" t="n"/>
      <c r="AI7" s="673" t="n"/>
      <c r="AJ7" s="673" t="n"/>
      <c r="AK7" s="673" t="n"/>
      <c r="AL7" s="673" t="n"/>
      <c r="AM7" s="673" t="n"/>
      <c r="AN7" s="673" t="n"/>
      <c r="AO7" s="673" t="n"/>
      <c r="AP7" s="675" t="n"/>
      <c r="AQ7" s="673" t="n"/>
      <c r="AR7" s="673" t="n"/>
      <c r="AS7" s="673" t="n"/>
      <c r="AT7" s="673" t="n"/>
      <c r="AU7" s="673" t="n"/>
      <c r="AV7" s="673" t="n"/>
      <c r="AW7" s="673" t="n"/>
      <c r="AX7" s="673" t="n"/>
      <c r="AY7" s="673" t="n"/>
      <c r="AZ7" s="673" t="n"/>
      <c r="BA7" s="673" t="n"/>
      <c r="BB7" s="673" t="n"/>
      <c r="BC7" s="673" t="n"/>
      <c r="BD7" s="673" t="n"/>
      <c r="BE7" s="673" t="n"/>
      <c r="BF7" s="673" t="n"/>
    </row>
    <row r="8" ht="16.95" customFormat="1" customHeight="1" s="4">
      <c r="A8" s="231" t="n"/>
      <c r="B8" s="393" t="n"/>
      <c r="C8" s="673" t="n"/>
      <c r="D8" s="673" t="n"/>
      <c r="E8" s="673" t="n"/>
      <c r="F8" s="673" t="n"/>
      <c r="G8" s="673" t="n"/>
      <c r="H8" s="673" t="n"/>
      <c r="I8" s="673" t="n"/>
      <c r="J8" s="673" t="n"/>
      <c r="K8" s="673" t="n"/>
      <c r="L8" s="673" t="n"/>
      <c r="M8" s="673" t="n"/>
      <c r="N8" s="673" t="n"/>
      <c r="O8" s="673" t="n"/>
      <c r="P8" s="673" t="n"/>
      <c r="Q8" s="673" t="n"/>
      <c r="R8" s="673" t="n"/>
      <c r="S8" s="673" t="n"/>
      <c r="T8" s="673" t="n"/>
      <c r="U8" s="673" t="n"/>
      <c r="V8" s="673" t="n"/>
      <c r="W8" s="673" t="n"/>
      <c r="X8" s="673" t="n"/>
      <c r="Y8" s="673" t="n"/>
      <c r="Z8" s="673" t="n"/>
      <c r="AA8" s="673" t="n"/>
      <c r="AB8" s="673" t="n"/>
      <c r="AC8" s="673" t="n"/>
      <c r="AD8" s="673" t="n"/>
      <c r="AE8" s="673" t="n"/>
      <c r="AF8" s="673" t="n"/>
      <c r="AG8" s="673" t="n"/>
      <c r="AH8" s="673" t="n"/>
      <c r="AI8" s="673" t="n"/>
      <c r="AJ8" s="673" t="n"/>
      <c r="AK8" s="673" t="n"/>
      <c r="AL8" s="673" t="n"/>
      <c r="AM8" s="673" t="n"/>
      <c r="AN8" s="673" t="n"/>
      <c r="AO8" s="673" t="n"/>
      <c r="AP8" s="675" t="n"/>
      <c r="AQ8" s="673" t="n"/>
      <c r="AR8" s="673" t="n"/>
      <c r="AS8" s="673" t="n"/>
      <c r="AT8" s="673" t="n"/>
      <c r="AU8" s="673" t="n"/>
      <c r="AV8" s="673" t="n"/>
      <c r="AW8" s="673" t="n"/>
      <c r="AX8" s="673" t="n"/>
      <c r="AY8" s="673" t="n"/>
      <c r="AZ8" s="673" t="n"/>
      <c r="BA8" s="673" t="n"/>
      <c r="BB8" s="673" t="n"/>
      <c r="BC8" s="673" t="n"/>
      <c r="BD8" s="673" t="n"/>
      <c r="BE8" s="673" t="n"/>
      <c r="BF8" s="673" t="n"/>
    </row>
    <row r="9" ht="16.95" customFormat="1" customHeight="1" s="388">
      <c r="A9" s="498" t="inlineStr">
        <is>
          <t>2026年合计</t>
        </is>
      </c>
      <c r="B9" s="676" t="n"/>
      <c r="C9" s="677">
        <f>SUM(C5:C8)</f>
        <v/>
      </c>
      <c r="D9" s="678">
        <f>SUM(D5:D8)</f>
        <v/>
      </c>
      <c r="E9" s="678">
        <f>SUM(E5:E8)</f>
        <v/>
      </c>
      <c r="F9" s="678">
        <f>SUM(F5:F8)</f>
        <v/>
      </c>
      <c r="G9" s="678">
        <f>SUM(G5:G8)</f>
        <v/>
      </c>
      <c r="H9" s="678">
        <f>SUM(H5:H8)</f>
        <v/>
      </c>
      <c r="I9" s="679">
        <f>SUM(I5:I8)</f>
        <v/>
      </c>
      <c r="J9" s="680">
        <f>SUM(J5:J8)</f>
        <v/>
      </c>
      <c r="K9" s="678">
        <f>SUM(K5:K8)</f>
        <v/>
      </c>
      <c r="L9" s="678">
        <f>SUM(L5:L8)</f>
        <v/>
      </c>
      <c r="M9" s="681">
        <f>SUM(M5:M8)</f>
        <v/>
      </c>
      <c r="N9" s="677">
        <f>SUM(N5:N8)</f>
        <v/>
      </c>
      <c r="O9" s="677">
        <f>SUM(O5:O8)</f>
        <v/>
      </c>
      <c r="P9" s="677">
        <f>SUM(P5:P8)</f>
        <v/>
      </c>
      <c r="Q9" s="677">
        <f>SUM(Q5:Q8)</f>
        <v/>
      </c>
      <c r="R9" s="677">
        <f>SUM(R5:R8)</f>
        <v/>
      </c>
      <c r="S9" s="677">
        <f>SUM(S5:S8)</f>
        <v/>
      </c>
      <c r="T9" s="682">
        <f>T4+SUM(N9:S9)-SUM(I9:M9)</f>
        <v/>
      </c>
      <c r="U9" s="677">
        <f>SUM(U5:U8)</f>
        <v/>
      </c>
      <c r="V9" s="678">
        <f>SUM(V5:V8)</f>
        <v/>
      </c>
      <c r="W9" s="679">
        <f>SUM(W5:W8)</f>
        <v/>
      </c>
      <c r="X9" s="680">
        <f>SUM(X5:X8)</f>
        <v/>
      </c>
      <c r="Y9" s="678">
        <f>SUM(Y5:Y8)</f>
        <v/>
      </c>
      <c r="Z9" s="678">
        <f>SUM(Z5:Z8)</f>
        <v/>
      </c>
      <c r="AA9" s="678">
        <f>SUM(AA5:AA8)</f>
        <v/>
      </c>
      <c r="AB9" s="678">
        <f>SUM(AB5:AB8)</f>
        <v/>
      </c>
      <c r="AC9" s="678">
        <f>SUM(AC5:AC8)</f>
        <v/>
      </c>
      <c r="AD9" s="678" t="n"/>
      <c r="AE9" s="678">
        <f>SUM(AE5:AE8)</f>
        <v/>
      </c>
      <c r="AF9" s="677">
        <f>SUM(AF5:AF8)</f>
        <v/>
      </c>
      <c r="AG9" s="678">
        <f>SUM(AG5:AG8)</f>
        <v/>
      </c>
      <c r="AH9" s="678">
        <f>SUM(AH5:AH8)</f>
        <v/>
      </c>
      <c r="AI9" s="678">
        <f>SUM(AI5:AI8)</f>
        <v/>
      </c>
      <c r="AJ9" s="678">
        <f>SUM(AJ5:AJ8)</f>
        <v/>
      </c>
      <c r="AK9" s="678">
        <f>SUM(AK5:AK8)</f>
        <v/>
      </c>
      <c r="AL9" s="678">
        <f>SUM(AL5:AL8)</f>
        <v/>
      </c>
      <c r="AM9" s="678">
        <f>SUM(AM5:AM8)</f>
        <v/>
      </c>
      <c r="AN9" s="680">
        <f>SUM(AN5:AN8)</f>
        <v/>
      </c>
      <c r="AO9" s="678">
        <f>SUM(AO5:AO8)</f>
        <v/>
      </c>
      <c r="AP9" s="678">
        <f>SUM(AP5:AP8)</f>
        <v/>
      </c>
      <c r="AQ9" s="678">
        <f>SUM(AQ5:AQ8)</f>
        <v/>
      </c>
      <c r="AR9" s="678">
        <f>SUM(AR5:AR8)</f>
        <v/>
      </c>
      <c r="AS9" s="678">
        <f>SUM(AS5:AS8)</f>
        <v/>
      </c>
      <c r="AT9" s="678">
        <f>SUM(AT5:AT8)</f>
        <v/>
      </c>
      <c r="AU9" s="678">
        <f>SUM(AU5:AU8)</f>
        <v/>
      </c>
      <c r="AV9" s="681">
        <f>SUM(AV5:AV8)</f>
        <v/>
      </c>
      <c r="AW9" s="677">
        <f>SUM(AW5:AW8)</f>
        <v/>
      </c>
      <c r="AX9" s="677">
        <f>SUM(AX5:AX8)</f>
        <v/>
      </c>
      <c r="AY9" s="679">
        <f>SUM(AY5:AY8)</f>
        <v/>
      </c>
      <c r="AZ9" s="680">
        <f>SUM(AZ5:AZ8)</f>
        <v/>
      </c>
      <c r="BA9" s="678">
        <f>SUM(BA5:BA8)</f>
        <v/>
      </c>
      <c r="BB9" s="678">
        <f>SUM(BB5:BB8)</f>
        <v/>
      </c>
      <c r="BC9" s="678">
        <f>SUM(BC5:BC8)</f>
        <v/>
      </c>
      <c r="BD9" s="681">
        <f>SUM(BD5:BD8)</f>
        <v/>
      </c>
      <c r="BE9" s="677">
        <f>SUM(BE5:BE8)</f>
        <v/>
      </c>
      <c r="BF9" s="681">
        <f>SUM(BF5:BF8)</f>
        <v/>
      </c>
    </row>
  </sheetData>
  <autoFilter ref="A3:BF9"/>
  <mergeCells count="29">
    <mergeCell ref="M2:M3"/>
    <mergeCell ref="BC2:BD2"/>
    <mergeCell ref="B2:B3"/>
    <mergeCell ref="N2:N3"/>
    <mergeCell ref="U2:U3"/>
    <mergeCell ref="D2:D3"/>
    <mergeCell ref="F2:F3"/>
    <mergeCell ref="H2:H3"/>
    <mergeCell ref="AX2:BB2"/>
    <mergeCell ref="V2:Y2"/>
    <mergeCell ref="A2:A3"/>
    <mergeCell ref="T2:T3"/>
    <mergeCell ref="C2:C3"/>
    <mergeCell ref="E2:E3"/>
    <mergeCell ref="K2:K3"/>
    <mergeCell ref="O2:Q2"/>
    <mergeCell ref="AU2:AW2"/>
    <mergeCell ref="AD2:AK2"/>
    <mergeCell ref="BE2:BF2"/>
    <mergeCell ref="R2:R3"/>
    <mergeCell ref="J2:J3"/>
    <mergeCell ref="L2:L3"/>
    <mergeCell ref="A4:B4"/>
    <mergeCell ref="AL2:AT2"/>
    <mergeCell ref="Z2:AC2"/>
    <mergeCell ref="A9:B9"/>
    <mergeCell ref="G2:G3"/>
    <mergeCell ref="S2:S3"/>
    <mergeCell ref="I2:I3"/>
  </mergeCells>
  <hyperlinks>
    <hyperlink ref="A6" location="中国银行!A1" display="建行"/>
    <hyperlink ref="A7" location="'1、北京黑金'!A1" display="建行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N23" sqref="N23"/>
    </sheetView>
  </sheetViews>
  <sheetFormatPr baseColWidth="8" defaultColWidth="9" defaultRowHeight="15.6"/>
  <cols>
    <col width="5.8984375" customWidth="1" style="192" min="1" max="1"/>
    <col width="11.19921875" customWidth="1" style="683" min="2" max="2"/>
    <col width="8.796875" customWidth="1" style="683" min="3" max="3"/>
    <col outlineLevel="1" width="7.19921875" customWidth="1" style="615" min="4" max="4"/>
    <col outlineLevel="1" width="8" customWidth="1" style="615" min="5" max="6"/>
    <col outlineLevel="1" width="7.69921875" customWidth="1" style="615" min="7" max="7"/>
    <col outlineLevel="1" width="8" customWidth="1" style="195" min="8" max="8"/>
    <col outlineLevel="1" width="10.296875" customWidth="1" style="195" min="9" max="9"/>
    <col width="10.09765625" customWidth="1" style="195" min="10" max="10"/>
    <col outlineLevel="1" width="9.19921875" customWidth="1" style="195" min="11" max="11"/>
    <col outlineLevel="1" width="6" customWidth="1" style="195" min="12" max="12"/>
    <col width="8.59765625" customWidth="1" style="195" min="13" max="13"/>
    <col width="9.59765625" customWidth="1" style="195" min="14" max="14"/>
    <col outlineLevel="1" width="8.3984375" customWidth="1" style="191" min="15" max="15"/>
    <col outlineLevel="1" width="6.5" customWidth="1" style="191" min="16" max="17"/>
    <col width="16.8984375" customWidth="1" style="196" min="18" max="18"/>
    <col width="15.296875" customWidth="1" style="195" min="19" max="19"/>
    <col width="11.296875" customWidth="1" style="195" min="20" max="20"/>
    <col width="15.3984375" customWidth="1" style="197" min="21" max="21"/>
    <col outlineLevel="1" width="6.19921875" customWidth="1" style="195" min="22" max="23"/>
    <col outlineLevel="1" width="7.796875" customWidth="1" style="195" min="24" max="24"/>
    <col outlineLevel="1" width="8.09765625" customWidth="1" style="195" min="25" max="25"/>
    <col outlineLevel="1" width="6.19921875" customWidth="1" style="195" min="26" max="26"/>
    <col outlineLevel="1" width="5.796875" customWidth="1" style="198" min="27" max="28"/>
    <col outlineLevel="1" width="5.69921875" customWidth="1" style="195" min="29" max="29"/>
    <col outlineLevel="1" width="5.09765625" customWidth="1" style="199" min="30" max="30"/>
    <col outlineLevel="1" width="4.09765625" customWidth="1" style="199" min="31" max="31"/>
    <col outlineLevel="1" width="4.59765625" customWidth="1" style="199" min="32" max="32"/>
    <col outlineLevel="1" width="3.8984375" customWidth="1" style="199" min="33" max="36"/>
    <col width="6.3984375" customWidth="1" style="199" min="37" max="37"/>
    <col outlineLevel="1" width="4.5" customWidth="1" style="195" min="38" max="39"/>
    <col outlineLevel="1" width="7.3984375" customWidth="1" style="195" min="40" max="40"/>
    <col outlineLevel="1" width="8" customWidth="1" style="195" min="41" max="41"/>
    <col outlineLevel="1" width="5" customWidth="1" style="195" min="42" max="42"/>
    <col outlineLevel="1" width="5.5" customWidth="1" style="195" min="43" max="44"/>
    <col outlineLevel="1" width="4.5" customWidth="1" style="195" min="45" max="45"/>
    <col width="4.5" customWidth="1" style="195" min="46" max="46"/>
    <col width="4.3984375" customWidth="1" style="195" min="47" max="47"/>
    <col width="4.8984375" customWidth="1" style="195" min="48" max="49"/>
    <col width="6.09765625" customWidth="1" style="195" min="50" max="50"/>
    <col width="5.3984375" customWidth="1" style="195" min="51" max="51"/>
    <col width="4.09765625" customWidth="1" style="195" min="52" max="52"/>
    <col width="4.796875" customWidth="1" style="195" min="53" max="53"/>
    <col width="4.8984375" customWidth="1" style="195" min="54" max="54"/>
    <col width="6.3984375" customWidth="1" style="195" min="55" max="55"/>
    <col width="7.19921875" customWidth="1" style="195" min="56" max="56"/>
    <col width="6.3984375" customWidth="1" style="195" min="57" max="57"/>
    <col width="7.19921875" customWidth="1" style="195" min="58" max="58"/>
    <col width="9" customWidth="1" style="195" min="59" max="16384"/>
  </cols>
  <sheetData>
    <row r="1" ht="22.05" customHeight="1">
      <c r="A1" s="200" t="inlineStr">
        <is>
          <t>←返回</t>
        </is>
      </c>
      <c r="F1" s="201" t="inlineStr">
        <is>
          <t>账号名称</t>
        </is>
      </c>
      <c r="G1" s="202" t="n"/>
      <c r="H1" s="202" t="n"/>
      <c r="I1" s="201" t="inlineStr">
        <is>
          <t>银行码</t>
        </is>
      </c>
      <c r="J1" s="202" t="n"/>
      <c r="K1" s="201" t="inlineStr">
        <is>
          <t>银行账号</t>
        </is>
      </c>
      <c r="L1" s="202" t="n"/>
      <c r="R1" s="684" t="n"/>
      <c r="S1" s="616" t="n"/>
    </row>
    <row r="2" ht="25.5" customFormat="1" customHeight="1" s="189">
      <c r="A2" s="500" t="inlineStr">
        <is>
          <t>行号</t>
        </is>
      </c>
      <c r="B2" s="617" t="inlineStr">
        <is>
          <t>交易时间</t>
        </is>
      </c>
      <c r="C2" s="618" t="inlineStr">
        <is>
          <t>研发费用</t>
        </is>
      </c>
      <c r="D2" s="619" t="inlineStr">
        <is>
          <t>销售费用</t>
        </is>
      </c>
      <c r="E2" s="620" t="inlineStr">
        <is>
          <t>管理费用</t>
        </is>
      </c>
      <c r="F2" s="621" t="inlineStr">
        <is>
          <t>财务费用</t>
        </is>
      </c>
      <c r="G2" s="622" t="inlineStr">
        <is>
          <t>应缴税金</t>
        </is>
      </c>
      <c r="H2" s="623" t="inlineStr">
        <is>
          <t>固定资产</t>
        </is>
      </c>
      <c r="I2" s="624" t="inlineStr">
        <is>
          <t>主营业务支出</t>
        </is>
      </c>
      <c r="J2" s="625" t="inlineStr">
        <is>
          <t>日常支出和</t>
        </is>
      </c>
      <c r="K2" s="626" t="inlineStr">
        <is>
          <t>集团往来</t>
        </is>
      </c>
      <c r="L2" s="627" t="inlineStr">
        <is>
          <t>理财</t>
        </is>
      </c>
      <c r="M2" s="628" t="inlineStr">
        <is>
          <t>暂支/预付</t>
        </is>
      </c>
      <c r="N2" s="628" t="inlineStr">
        <is>
          <t>投资款</t>
        </is>
      </c>
      <c r="O2" s="472" t="inlineStr">
        <is>
          <t>收入</t>
        </is>
      </c>
      <c r="P2" s="629" t="n"/>
      <c r="Q2" s="630" t="n"/>
      <c r="R2" s="631" t="inlineStr">
        <is>
          <t>余额</t>
        </is>
      </c>
      <c r="S2" s="632" t="inlineStr">
        <is>
          <t>客户/供应商</t>
        </is>
      </c>
      <c r="T2" s="633" t="inlineStr">
        <is>
          <t>部门</t>
        </is>
      </c>
      <c r="U2" s="634" t="inlineStr">
        <is>
          <t>摘要</t>
        </is>
      </c>
      <c r="V2" s="635" t="inlineStr">
        <is>
          <t>主营业务支出</t>
        </is>
      </c>
      <c r="W2" s="636" t="n"/>
      <c r="X2" s="636" t="n"/>
      <c r="Y2" s="637" t="n"/>
      <c r="Z2" s="638" t="inlineStr">
        <is>
          <t>研发费用</t>
        </is>
      </c>
      <c r="AA2" s="636" t="n"/>
      <c r="AB2" s="636" t="n"/>
      <c r="AC2" s="637" t="n"/>
      <c r="AD2" s="639" t="inlineStr">
        <is>
          <t>销售费用</t>
        </is>
      </c>
      <c r="AE2" s="636" t="n"/>
      <c r="AF2" s="636" t="n"/>
      <c r="AG2" s="636" t="n"/>
      <c r="AH2" s="636" t="n"/>
      <c r="AI2" s="636" t="n"/>
      <c r="AJ2" s="636" t="n"/>
      <c r="AK2" s="637" t="n"/>
      <c r="AL2" s="640" t="inlineStr">
        <is>
          <t>管理费用</t>
        </is>
      </c>
      <c r="AM2" s="636" t="n"/>
      <c r="AN2" s="636" t="n"/>
      <c r="AO2" s="636" t="n"/>
      <c r="AP2" s="636" t="n"/>
      <c r="AQ2" s="636" t="n"/>
      <c r="AR2" s="636" t="n"/>
      <c r="AS2" s="636" t="n"/>
      <c r="AT2" s="637" t="n"/>
      <c r="AU2" s="641" t="inlineStr">
        <is>
          <t>财务费用</t>
        </is>
      </c>
      <c r="AV2" s="636" t="n"/>
      <c r="AW2" s="637" t="n"/>
      <c r="AX2" s="642" t="inlineStr">
        <is>
          <t>应缴税金</t>
        </is>
      </c>
      <c r="AY2" s="636" t="n"/>
      <c r="AZ2" s="636" t="n"/>
      <c r="BA2" s="636" t="n"/>
      <c r="BB2" s="637" t="n"/>
      <c r="BC2" s="643" t="inlineStr">
        <is>
          <t>有形资产</t>
        </is>
      </c>
      <c r="BD2" s="637" t="n"/>
      <c r="BE2" s="644" t="inlineStr">
        <is>
          <t>营业外支出</t>
        </is>
      </c>
      <c r="BF2" s="637" t="n"/>
    </row>
    <row r="3" ht="30" customFormat="1" customHeight="1" s="190">
      <c r="A3" s="645" t="n"/>
      <c r="B3" s="646" t="n"/>
      <c r="C3" s="647" t="n"/>
      <c r="D3" s="648" t="n"/>
      <c r="E3" s="649" t="n"/>
      <c r="F3" s="649" t="n"/>
      <c r="G3" s="649" t="n"/>
      <c r="H3" s="649" t="n"/>
      <c r="I3" s="649" t="n"/>
      <c r="J3" s="646" t="n"/>
      <c r="K3" s="650" t="n"/>
      <c r="L3" s="650" t="n"/>
      <c r="M3" s="651" t="n"/>
      <c r="N3" s="651" t="n"/>
      <c r="O3" s="652" t="inlineStr">
        <is>
          <t>产品收入</t>
        </is>
      </c>
      <c r="P3" s="653" t="inlineStr">
        <is>
          <t>服务收入</t>
        </is>
      </c>
      <c r="Q3" s="653" t="inlineStr">
        <is>
          <t>其他收入</t>
        </is>
      </c>
      <c r="R3" s="650" t="n"/>
      <c r="S3" s="648" t="n"/>
      <c r="T3" s="649" t="n"/>
      <c r="U3" s="654" t="n"/>
      <c r="V3" s="655" t="inlineStr">
        <is>
          <t>商品采购</t>
        </is>
      </c>
      <c r="W3" s="655" t="inlineStr">
        <is>
          <t>运费</t>
        </is>
      </c>
      <c r="X3" s="655" t="inlineStr">
        <is>
          <t>服务费</t>
        </is>
      </c>
      <c r="Y3" s="655" t="inlineStr">
        <is>
          <t>返点佣金</t>
        </is>
      </c>
      <c r="Z3" s="656" t="inlineStr">
        <is>
          <t>人工成本</t>
        </is>
      </c>
      <c r="AA3" s="656" t="inlineStr">
        <is>
          <t>材料设备</t>
        </is>
      </c>
      <c r="AB3" s="656" t="inlineStr">
        <is>
          <t>服务费</t>
        </is>
      </c>
      <c r="AC3" s="656" t="inlineStr">
        <is>
          <t>委外</t>
        </is>
      </c>
      <c r="AD3" s="657" t="inlineStr">
        <is>
          <t>飞机、动车等</t>
        </is>
      </c>
      <c r="AE3" s="657" t="inlineStr">
        <is>
          <t>住宿费</t>
        </is>
      </c>
      <c r="AF3" s="657" t="inlineStr">
        <is>
          <t>车辆费</t>
        </is>
      </c>
      <c r="AG3" s="657" t="inlineStr">
        <is>
          <t>市内交通</t>
        </is>
      </c>
      <c r="AH3" s="657" t="inlineStr">
        <is>
          <t>招待/公关</t>
        </is>
      </c>
      <c r="AI3" s="657" t="inlineStr">
        <is>
          <t>服务费</t>
        </is>
      </c>
      <c r="AJ3" s="657" t="inlineStr">
        <is>
          <t>经销返点</t>
        </is>
      </c>
      <c r="AK3" s="658" t="inlineStr">
        <is>
          <t>其他</t>
        </is>
      </c>
      <c r="AL3" s="659" t="inlineStr">
        <is>
          <t>办公费</t>
        </is>
      </c>
      <c r="AM3" s="660" t="inlineStr">
        <is>
          <t>办公租金&amp;物业费&amp;水电费</t>
        </is>
      </c>
      <c r="AN3" s="660" t="inlineStr">
        <is>
          <t>市内交通</t>
        </is>
      </c>
      <c r="AO3" s="660" t="inlineStr">
        <is>
          <t>招待/公关</t>
        </is>
      </c>
      <c r="AP3" s="660" t="inlineStr">
        <is>
          <t>飞机、动车等</t>
        </is>
      </c>
      <c r="AQ3" s="660" t="inlineStr">
        <is>
          <t>人员薪资</t>
        </is>
      </c>
      <c r="AR3" s="660" t="inlineStr">
        <is>
          <t>社保&amp;公积金</t>
        </is>
      </c>
      <c r="AS3" s="660" t="inlineStr">
        <is>
          <t>员工福利</t>
        </is>
      </c>
      <c r="AT3" s="661" t="inlineStr">
        <is>
          <t>其他</t>
        </is>
      </c>
      <c r="AU3" s="662" t="inlineStr">
        <is>
          <t>手续费</t>
        </is>
      </c>
      <c r="AV3" s="663" t="inlineStr">
        <is>
          <t>结息</t>
        </is>
      </c>
      <c r="AW3" s="216" t="inlineStr">
        <is>
          <t>贷款利息</t>
        </is>
      </c>
      <c r="AX3" s="664" t="inlineStr">
        <is>
          <t>增值税及附加</t>
        </is>
      </c>
      <c r="AY3" s="665" t="inlineStr">
        <is>
          <t>所得税</t>
        </is>
      </c>
      <c r="AZ3" s="665" t="inlineStr">
        <is>
          <t>印花税</t>
        </is>
      </c>
      <c r="BA3" s="665" t="inlineStr">
        <is>
          <t>工资个税</t>
        </is>
      </c>
      <c r="BB3" s="666" t="inlineStr">
        <is>
          <t>劳务个税</t>
        </is>
      </c>
      <c r="BC3" s="667" t="inlineStr">
        <is>
          <t>办公设备</t>
        </is>
      </c>
      <c r="BD3" s="668" t="inlineStr">
        <is>
          <t>办公家具   (包含车等）</t>
        </is>
      </c>
      <c r="BE3" s="669" t="inlineStr">
        <is>
          <t>违约金</t>
        </is>
      </c>
      <c r="BF3" s="670" t="inlineStr">
        <is>
          <t>罚款</t>
        </is>
      </c>
    </row>
    <row r="4" ht="20.25" customFormat="1" customHeight="1" s="191">
      <c r="A4" s="496" t="inlineStr">
        <is>
          <t>期初余额</t>
        </is>
      </c>
      <c r="B4" s="671" t="n"/>
      <c r="C4" s="497" t="n"/>
      <c r="D4" s="672" t="n"/>
      <c r="E4" s="672" t="n"/>
      <c r="F4" s="672" t="n"/>
      <c r="G4" s="672" t="n"/>
      <c r="H4" s="226" t="n"/>
      <c r="I4" s="226" t="n"/>
      <c r="J4" s="672" t="n">
        <v>0</v>
      </c>
      <c r="K4" s="226" t="n"/>
      <c r="L4" s="226" t="n"/>
      <c r="M4" s="226" t="n"/>
      <c r="N4" s="226" t="n"/>
      <c r="O4" s="226" t="n"/>
      <c r="P4" s="226" t="n"/>
      <c r="Q4" s="226" t="n"/>
      <c r="R4" s="227" t="n">
        <v>0</v>
      </c>
      <c r="S4" s="226" t="n"/>
      <c r="T4" s="226" t="n"/>
      <c r="U4" s="228" t="n"/>
      <c r="V4" s="226" t="n"/>
      <c r="W4" s="226" t="n"/>
      <c r="X4" s="226" t="n"/>
      <c r="Y4" s="226" t="n"/>
      <c r="Z4" s="226" t="n"/>
      <c r="AA4" s="229" t="n"/>
      <c r="AB4" s="229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30" t="n"/>
      <c r="BE4" s="226" t="n"/>
      <c r="BF4" s="230" t="n"/>
    </row>
    <row r="5" ht="15" customFormat="1" customHeight="1" s="191">
      <c r="A5" s="231" t="n"/>
      <c r="B5" s="232" t="n"/>
      <c r="C5" s="673">
        <f>SUM(Z5:AC5)</f>
        <v/>
      </c>
      <c r="D5" s="673">
        <f>SUM(AD5:AK5)</f>
        <v/>
      </c>
      <c r="E5" s="685">
        <f>SUM(AL5:AT5)</f>
        <v/>
      </c>
      <c r="F5" s="685">
        <f>SUM(AU5:AW5)</f>
        <v/>
      </c>
      <c r="G5" s="685">
        <f>SUM(AX5:BB5)</f>
        <v/>
      </c>
      <c r="H5" s="685">
        <f>SUM(BC5:BD5)</f>
        <v/>
      </c>
      <c r="I5" s="685">
        <f>SUM(V5:Y5)</f>
        <v/>
      </c>
      <c r="J5" s="686">
        <f>SUM(C5:I5)</f>
        <v/>
      </c>
      <c r="K5" s="687" t="n"/>
      <c r="L5" s="688" t="n"/>
      <c r="M5" s="689" t="n"/>
      <c r="N5" s="690" t="n"/>
      <c r="O5" s="691" t="n"/>
      <c r="P5" s="690" t="n"/>
      <c r="Q5" s="690" t="n"/>
      <c r="R5" s="692">
        <f>R4+SUM(N5:Q5)-SUM(J5:M5)</f>
        <v/>
      </c>
      <c r="S5" s="373" t="n"/>
      <c r="T5" s="374" t="n"/>
      <c r="U5" s="375" t="n"/>
      <c r="V5" s="693" t="n"/>
      <c r="W5" s="673" t="n"/>
      <c r="X5" s="673" t="n"/>
      <c r="Y5" s="673" t="n"/>
      <c r="Z5" s="673" t="n"/>
      <c r="AA5" s="694" t="n"/>
      <c r="AB5" s="695" t="n"/>
      <c r="AC5" s="696" t="n"/>
      <c r="AD5" s="693" t="n"/>
      <c r="AE5" s="673" t="n"/>
      <c r="AF5" s="685" t="n"/>
      <c r="AG5" s="685" t="n"/>
      <c r="AH5" s="685" t="n"/>
      <c r="AI5" s="685" t="n"/>
      <c r="AJ5" s="685" t="n"/>
      <c r="AK5" s="685" t="n"/>
      <c r="AL5" s="697" t="n"/>
      <c r="AM5" s="685" t="n"/>
      <c r="AN5" s="685" t="n"/>
      <c r="AO5" s="685" t="n"/>
      <c r="AP5" s="685" t="n"/>
      <c r="AQ5" s="685" t="n"/>
      <c r="AR5" s="698" t="n"/>
      <c r="AS5" s="698" t="n"/>
      <c r="AT5" s="699" t="n"/>
      <c r="AU5" s="700" t="n"/>
      <c r="AV5" s="701" t="n"/>
      <c r="AW5" s="699" t="n"/>
      <c r="AX5" s="697" t="n"/>
      <c r="AY5" s="685" t="n"/>
      <c r="AZ5" s="685" t="n"/>
      <c r="BA5" s="685" t="n"/>
      <c r="BB5" s="696" t="n"/>
      <c r="BC5" s="673" t="n"/>
      <c r="BD5" s="696" t="n"/>
      <c r="BE5" s="673" t="n"/>
      <c r="BF5" s="696" t="n"/>
    </row>
    <row r="6" ht="15" customFormat="1" customHeight="1" s="191">
      <c r="A6" s="231" t="n"/>
      <c r="B6" s="232" t="n"/>
      <c r="C6" s="673">
        <f>SUM(Z6:AC6)</f>
        <v/>
      </c>
      <c r="D6" s="702">
        <f>SUM(AD6:AK6)</f>
        <v/>
      </c>
      <c r="E6" s="703">
        <f>SUM(AL6:AT6)</f>
        <v/>
      </c>
      <c r="F6" s="703">
        <f>SUM(AU6:AW6)</f>
        <v/>
      </c>
      <c r="G6" s="685">
        <f>SUM(AX6:BB6)</f>
        <v/>
      </c>
      <c r="H6" s="703">
        <f>SUM(BC6:BD6)</f>
        <v/>
      </c>
      <c r="I6" s="685">
        <f>SUM(V6:Y6)</f>
        <v/>
      </c>
      <c r="J6" s="686">
        <f>SUM(C6:I6)</f>
        <v/>
      </c>
      <c r="K6" s="687" t="n"/>
      <c r="L6" s="704" t="n"/>
      <c r="M6" s="687" t="n"/>
      <c r="N6" s="705" t="n"/>
      <c r="O6" s="706" t="n"/>
      <c r="P6" s="705" t="n"/>
      <c r="Q6" s="705" t="n"/>
      <c r="R6" s="692">
        <f>R5+SUM(N6:Q6)-SUM(J6:M6)</f>
        <v/>
      </c>
      <c r="S6" s="373" t="n"/>
      <c r="T6" s="383" t="n"/>
      <c r="U6" s="375" t="n"/>
      <c r="V6" s="707" t="n"/>
      <c r="W6" s="702" t="n"/>
      <c r="X6" s="702" t="n"/>
      <c r="Y6" s="702" t="n"/>
      <c r="Z6" s="702" t="n"/>
      <c r="AA6" s="708" t="n"/>
      <c r="AB6" s="709" t="n"/>
      <c r="AC6" s="710" t="n"/>
      <c r="AD6" s="707" t="n"/>
      <c r="AE6" s="702" t="n"/>
      <c r="AF6" s="703" t="n"/>
      <c r="AG6" s="703" t="n"/>
      <c r="AH6" s="703" t="n"/>
      <c r="AI6" s="703" t="n"/>
      <c r="AJ6" s="703" t="n"/>
      <c r="AK6" s="703" t="n"/>
      <c r="AL6" s="711" t="n"/>
      <c r="AM6" s="703" t="n"/>
      <c r="AN6" s="703" t="n"/>
      <c r="AO6" s="703" t="n"/>
      <c r="AP6" s="703" t="n"/>
      <c r="AQ6" s="703" t="n"/>
      <c r="AR6" s="712" t="n"/>
      <c r="AS6" s="712" t="n"/>
      <c r="AT6" s="713" t="n"/>
      <c r="AU6" s="714" t="n"/>
      <c r="AV6" s="715" t="n"/>
      <c r="AW6" s="713" t="n"/>
      <c r="AX6" s="711" t="n"/>
      <c r="AY6" s="703" t="n"/>
      <c r="AZ6" s="703" t="n"/>
      <c r="BA6" s="703" t="n"/>
      <c r="BB6" s="710" t="n"/>
      <c r="BC6" s="702" t="n"/>
      <c r="BD6" s="710" t="n"/>
      <c r="BE6" s="702" t="n"/>
      <c r="BF6" s="710" t="n"/>
    </row>
    <row r="7" ht="15" customFormat="1" customHeight="1" s="191">
      <c r="A7" s="231" t="n"/>
      <c r="B7" s="232" t="n"/>
      <c r="C7" s="673">
        <f>SUM(Z7:AC7)</f>
        <v/>
      </c>
      <c r="D7" s="702">
        <f>SUM(AD7:AK7)</f>
        <v/>
      </c>
      <c r="E7" s="703">
        <f>SUM(AL7:AT7)</f>
        <v/>
      </c>
      <c r="F7" s="703">
        <f>SUM(AU7:AW7)</f>
        <v/>
      </c>
      <c r="G7" s="685">
        <f>SUM(AX7:BB7)</f>
        <v/>
      </c>
      <c r="H7" s="703">
        <f>SUM(BC7:BD7)</f>
        <v/>
      </c>
      <c r="I7" s="685">
        <f>SUM(V7:Y7)</f>
        <v/>
      </c>
      <c r="J7" s="686">
        <f>SUM(C7:I7)</f>
        <v/>
      </c>
      <c r="K7" s="687" t="n"/>
      <c r="L7" s="704" t="n"/>
      <c r="M7" s="687" t="n"/>
      <c r="N7" s="705" t="n"/>
      <c r="O7" s="706" t="n"/>
      <c r="P7" s="705" t="n"/>
      <c r="Q7" s="705" t="n"/>
      <c r="R7" s="692">
        <f>R6+SUM(N7:Q7)-SUM(J7:M7)</f>
        <v/>
      </c>
      <c r="S7" s="373" t="n"/>
      <c r="T7" s="383" t="n"/>
      <c r="U7" s="375" t="n"/>
      <c r="V7" s="707" t="n"/>
      <c r="W7" s="702" t="n"/>
      <c r="X7" s="702" t="n"/>
      <c r="Y7" s="702" t="n"/>
      <c r="Z7" s="702" t="n"/>
      <c r="AA7" s="708" t="n"/>
      <c r="AB7" s="709" t="n"/>
      <c r="AC7" s="710" t="n"/>
      <c r="AD7" s="707" t="n"/>
      <c r="AE7" s="702" t="n"/>
      <c r="AF7" s="703" t="n"/>
      <c r="AG7" s="703" t="n"/>
      <c r="AH7" s="703" t="n"/>
      <c r="AI7" s="703" t="n"/>
      <c r="AJ7" s="703" t="n"/>
      <c r="AK7" s="703" t="n"/>
      <c r="AL7" s="711" t="n"/>
      <c r="AM7" s="703" t="n"/>
      <c r="AN7" s="703" t="n"/>
      <c r="AO7" s="703" t="n"/>
      <c r="AP7" s="703" t="n"/>
      <c r="AQ7" s="703" t="n"/>
      <c r="AR7" s="712" t="n"/>
      <c r="AS7" s="712" t="n"/>
      <c r="AT7" s="713" t="n"/>
      <c r="AU7" s="714" t="n"/>
      <c r="AV7" s="715" t="n"/>
      <c r="AW7" s="713" t="n"/>
      <c r="AX7" s="711" t="n"/>
      <c r="AY7" s="703" t="n"/>
      <c r="AZ7" s="703" t="n"/>
      <c r="BA7" s="703" t="n"/>
      <c r="BB7" s="710" t="n"/>
      <c r="BC7" s="702" t="n"/>
      <c r="BD7" s="710" t="n"/>
      <c r="BE7" s="702" t="n"/>
      <c r="BF7" s="710" t="n"/>
    </row>
    <row r="8" ht="15" customFormat="1" customHeight="1" s="191">
      <c r="A8" s="231" t="n"/>
      <c r="B8" s="232" t="n"/>
      <c r="C8" s="673">
        <f>SUM(Z8:AC8)</f>
        <v/>
      </c>
      <c r="D8" s="702">
        <f>SUM(AD8:AK8)</f>
        <v/>
      </c>
      <c r="E8" s="685">
        <f>SUM(AL8:AT8)</f>
        <v/>
      </c>
      <c r="F8" s="703">
        <f>SUM(AU8:AW8)</f>
        <v/>
      </c>
      <c r="G8" s="685">
        <f>SUM(AX8:BB8)</f>
        <v/>
      </c>
      <c r="H8" s="703">
        <f>SUM(BC8:BD8)</f>
        <v/>
      </c>
      <c r="I8" s="685">
        <f>SUM(V8:Y8)</f>
        <v/>
      </c>
      <c r="J8" s="686">
        <f>SUM(C8:I8)</f>
        <v/>
      </c>
      <c r="K8" s="704" t="n"/>
      <c r="L8" s="704" t="n"/>
      <c r="M8" s="687" t="n"/>
      <c r="N8" s="705" t="n"/>
      <c r="O8" s="706" t="n"/>
      <c r="P8" s="705" t="n"/>
      <c r="Q8" s="705" t="n"/>
      <c r="R8" s="692">
        <f>R7+SUM(N8:Q8)-SUM(J8:M8)</f>
        <v/>
      </c>
      <c r="S8" s="373" t="n"/>
      <c r="T8" s="716" t="n"/>
      <c r="U8" s="375" t="n"/>
      <c r="V8" s="707" t="n"/>
      <c r="W8" s="702" t="n"/>
      <c r="X8" s="702" t="n"/>
      <c r="Y8" s="702" t="n"/>
      <c r="Z8" s="702" t="n"/>
      <c r="AA8" s="708" t="n"/>
      <c r="AB8" s="709" t="n"/>
      <c r="AC8" s="710" t="n"/>
      <c r="AD8" s="707" t="n"/>
      <c r="AE8" s="702" t="n"/>
      <c r="AF8" s="703" t="n"/>
      <c r="AG8" s="703" t="n"/>
      <c r="AH8" s="703" t="n"/>
      <c r="AI8" s="703" t="n"/>
      <c r="AJ8" s="703" t="n"/>
      <c r="AK8" s="703" t="n"/>
      <c r="AL8" s="711" t="n"/>
      <c r="AM8" s="703" t="n"/>
      <c r="AN8" s="703" t="n"/>
      <c r="AO8" s="703" t="n"/>
      <c r="AP8" s="703" t="n"/>
      <c r="AQ8" s="703" t="n"/>
      <c r="AR8" s="712" t="n"/>
      <c r="AS8" s="712" t="n"/>
      <c r="AT8" s="713" t="n"/>
      <c r="AU8" s="714" t="n"/>
      <c r="AV8" s="715" t="n"/>
      <c r="AW8" s="713" t="n"/>
      <c r="AX8" s="711" t="n"/>
      <c r="AY8" s="703" t="n"/>
      <c r="AZ8" s="703" t="n"/>
      <c r="BA8" s="703" t="n"/>
      <c r="BB8" s="710" t="n"/>
      <c r="BC8" s="702" t="n"/>
      <c r="BD8" s="710" t="n"/>
      <c r="BE8" s="702" t="n"/>
      <c r="BF8" s="710" t="n"/>
    </row>
    <row r="9" ht="15" customFormat="1" customHeight="1" s="191">
      <c r="A9" s="231" t="n"/>
      <c r="B9" s="232" t="n"/>
      <c r="C9" s="673">
        <f>SUM(Z9:AC9)</f>
        <v/>
      </c>
      <c r="D9" s="702">
        <f>SUM(AD9:AK9)</f>
        <v/>
      </c>
      <c r="E9" s="703">
        <f>SUM(AL9:AT9)</f>
        <v/>
      </c>
      <c r="F9" s="703">
        <f>SUM(AU9:AW9)</f>
        <v/>
      </c>
      <c r="G9" s="685">
        <f>SUM(AX9:BB9)</f>
        <v/>
      </c>
      <c r="H9" s="703">
        <f>SUM(BC9:BD9)</f>
        <v/>
      </c>
      <c r="I9" s="685">
        <f>SUM(V9:Y9)</f>
        <v/>
      </c>
      <c r="J9" s="686">
        <f>SUM(C9:I9)</f>
        <v/>
      </c>
      <c r="K9" s="704" t="n"/>
      <c r="L9" s="704" t="n"/>
      <c r="M9" s="687" t="n"/>
      <c r="N9" s="705" t="n"/>
      <c r="O9" s="706" t="n"/>
      <c r="P9" s="705" t="n"/>
      <c r="Q9" s="705" t="n"/>
      <c r="R9" s="692">
        <f>R8+SUM(N9:Q9)-SUM(J9:M9)</f>
        <v/>
      </c>
      <c r="S9" s="373" t="n"/>
      <c r="T9" s="716" t="n"/>
      <c r="U9" s="375" t="n"/>
      <c r="V9" s="707" t="n"/>
      <c r="W9" s="702" t="n"/>
      <c r="X9" s="702" t="n"/>
      <c r="Y9" s="702" t="n"/>
      <c r="Z9" s="702" t="n"/>
      <c r="AA9" s="708" t="n"/>
      <c r="AB9" s="709" t="n"/>
      <c r="AC9" s="710" t="n"/>
      <c r="AD9" s="707" t="n"/>
      <c r="AE9" s="702" t="n"/>
      <c r="AF9" s="703" t="n"/>
      <c r="AG9" s="703" t="n"/>
      <c r="AH9" s="703" t="n"/>
      <c r="AI9" s="703" t="n"/>
      <c r="AJ9" s="703" t="n"/>
      <c r="AK9" s="703" t="n"/>
      <c r="AL9" s="711" t="n"/>
      <c r="AM9" s="703" t="n"/>
      <c r="AN9" s="703" t="n"/>
      <c r="AO9" s="703" t="n"/>
      <c r="AP9" s="703" t="n"/>
      <c r="AQ9" s="703" t="n"/>
      <c r="AR9" s="384" t="n"/>
      <c r="AS9" s="712" t="n"/>
      <c r="AT9" s="713" t="n"/>
      <c r="AU9" s="714" t="n"/>
      <c r="AV9" s="715" t="n"/>
      <c r="AW9" s="713" t="n"/>
      <c r="AX9" s="291" t="n"/>
      <c r="AY9" s="703" t="n"/>
      <c r="AZ9" s="703" t="n"/>
      <c r="BA9" s="703" t="n"/>
      <c r="BB9" s="710" t="n"/>
      <c r="BC9" s="702" t="n"/>
      <c r="BD9" s="710" t="n"/>
      <c r="BE9" s="702" t="n"/>
      <c r="BF9" s="710" t="n"/>
    </row>
    <row r="10" ht="15" customFormat="1" customHeight="1" s="191">
      <c r="A10" s="231" t="n"/>
      <c r="B10" s="232" t="n"/>
      <c r="C10" s="673">
        <f>SUM(Z10:AC10)</f>
        <v/>
      </c>
      <c r="D10" s="702">
        <f>SUM(AD10:AK10)</f>
        <v/>
      </c>
      <c r="E10" s="703">
        <f>SUM(AL10:AT10)</f>
        <v/>
      </c>
      <c r="F10" s="703">
        <f>SUM(AU10:AW10)</f>
        <v/>
      </c>
      <c r="G10" s="685">
        <f>SUM(AX10:BB10)</f>
        <v/>
      </c>
      <c r="H10" s="703">
        <f>SUM(BC10:BD10)</f>
        <v/>
      </c>
      <c r="I10" s="685">
        <f>SUM(V10:Y10)</f>
        <v/>
      </c>
      <c r="J10" s="686">
        <f>SUM(C10:I10)</f>
        <v/>
      </c>
      <c r="K10" s="704" t="n"/>
      <c r="L10" s="704" t="n"/>
      <c r="M10" s="687" t="n"/>
      <c r="N10" s="705" t="n"/>
      <c r="O10" s="706" t="n"/>
      <c r="P10" s="705" t="n"/>
      <c r="Q10" s="705" t="n"/>
      <c r="R10" s="692">
        <f>R9+SUM(N10:Q10)-SUM(J10:M10)</f>
        <v/>
      </c>
      <c r="S10" s="373" t="n"/>
      <c r="T10" s="716" t="n"/>
      <c r="U10" s="375" t="n"/>
      <c r="V10" s="707" t="n"/>
      <c r="W10" s="702" t="n"/>
      <c r="X10" s="702" t="n"/>
      <c r="Y10" s="702" t="n"/>
      <c r="Z10" s="702" t="n"/>
      <c r="AA10" s="708" t="n"/>
      <c r="AB10" s="709" t="n"/>
      <c r="AC10" s="710" t="n"/>
      <c r="AD10" s="707" t="n"/>
      <c r="AE10" s="702" t="n"/>
      <c r="AF10" s="703" t="n"/>
      <c r="AG10" s="703" t="n"/>
      <c r="AH10" s="703" t="n"/>
      <c r="AI10" s="703" t="n"/>
      <c r="AJ10" s="703" t="n"/>
      <c r="AK10" s="703" t="n"/>
      <c r="AL10" s="711" t="n"/>
      <c r="AM10" s="703" t="n"/>
      <c r="AN10" s="703" t="n"/>
      <c r="AO10" s="703" t="n"/>
      <c r="AP10" s="703" t="n"/>
      <c r="AQ10" s="703" t="n"/>
      <c r="AR10" s="712" t="n"/>
      <c r="AS10" s="712" t="n"/>
      <c r="AT10" s="713" t="n"/>
      <c r="AU10" s="714" t="n"/>
      <c r="AV10" s="715" t="n"/>
      <c r="AW10" s="713" t="n"/>
      <c r="AX10" s="711" t="n"/>
      <c r="AY10" s="703" t="n"/>
      <c r="AZ10" s="703" t="n"/>
      <c r="BA10" s="703" t="n"/>
      <c r="BB10" s="710" t="n"/>
      <c r="BC10" s="702" t="n"/>
      <c r="BD10" s="710" t="n"/>
      <c r="BE10" s="702" t="n"/>
      <c r="BF10" s="710" t="n"/>
    </row>
    <row r="11" ht="15" customFormat="1" customHeight="1" s="191">
      <c r="A11" s="231" t="n"/>
      <c r="B11" s="232" t="n"/>
      <c r="C11" s="673">
        <f>SUM(Z11:AC11)</f>
        <v/>
      </c>
      <c r="D11" s="702">
        <f>SUM(AD11:AK11)</f>
        <v/>
      </c>
      <c r="E11" s="703">
        <f>SUM(AL11:AT11)</f>
        <v/>
      </c>
      <c r="F11" s="703">
        <f>SUM(AU11:AW11)</f>
        <v/>
      </c>
      <c r="G11" s="685">
        <f>SUM(AX11:BB11)</f>
        <v/>
      </c>
      <c r="H11" s="703">
        <f>SUM(BC11:BD11)</f>
        <v/>
      </c>
      <c r="I11" s="685">
        <f>SUM(V11:Y11)</f>
        <v/>
      </c>
      <c r="J11" s="686">
        <f>SUM(C11:I11)</f>
        <v/>
      </c>
      <c r="K11" s="704" t="n"/>
      <c r="L11" s="704" t="n"/>
      <c r="M11" s="687" t="n"/>
      <c r="N11" s="705" t="n"/>
      <c r="O11" s="706" t="n"/>
      <c r="P11" s="705" t="n"/>
      <c r="Q11" s="705" t="n"/>
      <c r="R11" s="692">
        <f>R10+SUM(N11:Q11)-SUM(J11:M11)</f>
        <v/>
      </c>
      <c r="S11" s="373" t="n"/>
      <c r="T11" s="716" t="n"/>
      <c r="U11" s="375" t="n"/>
      <c r="V11" s="707" t="n"/>
      <c r="W11" s="702" t="n"/>
      <c r="X11" s="702" t="n"/>
      <c r="Y11" s="702" t="n"/>
      <c r="Z11" s="702" t="n"/>
      <c r="AA11" s="708" t="n"/>
      <c r="AB11" s="709" t="n"/>
      <c r="AC11" s="710" t="n"/>
      <c r="AD11" s="707" t="n"/>
      <c r="AE11" s="702" t="n"/>
      <c r="AF11" s="703" t="n"/>
      <c r="AG11" s="703" t="n"/>
      <c r="AH11" s="703" t="n"/>
      <c r="AI11" s="703" t="n"/>
      <c r="AJ11" s="703" t="n"/>
      <c r="AK11" s="703" t="n"/>
      <c r="AL11" s="711" t="n"/>
      <c r="AM11" s="703" t="n"/>
      <c r="AN11" s="703" t="n"/>
      <c r="AO11" s="703" t="n"/>
      <c r="AP11" s="703" t="n"/>
      <c r="AQ11" s="703" t="n"/>
      <c r="AR11" s="712" t="n"/>
      <c r="AS11" s="712" t="n"/>
      <c r="AT11" s="713" t="n"/>
      <c r="AU11" s="714" t="n"/>
      <c r="AV11" s="715" t="n"/>
      <c r="AW11" s="713" t="n"/>
      <c r="AX11" s="711" t="n"/>
      <c r="AY11" s="703" t="n"/>
      <c r="AZ11" s="703" t="n"/>
      <c r="BA11" s="703" t="n"/>
      <c r="BB11" s="710" t="n"/>
      <c r="BC11" s="702" t="n"/>
      <c r="BD11" s="710" t="n"/>
      <c r="BE11" s="702" t="n"/>
      <c r="BF11" s="710" t="n"/>
    </row>
    <row r="12" ht="15" customFormat="1" customHeight="1" s="191">
      <c r="A12" s="231" t="n"/>
      <c r="B12" s="232" t="n"/>
      <c r="C12" s="673">
        <f>SUM(Z12:AC12)</f>
        <v/>
      </c>
      <c r="D12" s="702">
        <f>SUM(AD12:AK12)</f>
        <v/>
      </c>
      <c r="E12" s="703">
        <f>SUM(AL12:AT12)</f>
        <v/>
      </c>
      <c r="F12" s="703">
        <f>SUM(AU12:AW12)</f>
        <v/>
      </c>
      <c r="G12" s="685">
        <f>SUM(AX12:BB12)</f>
        <v/>
      </c>
      <c r="H12" s="703">
        <f>SUM(BC12:BD12)</f>
        <v/>
      </c>
      <c r="I12" s="685">
        <f>SUM(V12:Y12)</f>
        <v/>
      </c>
      <c r="J12" s="686">
        <f>SUM(C12:I12)</f>
        <v/>
      </c>
      <c r="K12" s="704" t="n"/>
      <c r="L12" s="704" t="n"/>
      <c r="M12" s="687" t="n"/>
      <c r="N12" s="705" t="n"/>
      <c r="O12" s="706" t="n"/>
      <c r="P12" s="705" t="n"/>
      <c r="Q12" s="705" t="n"/>
      <c r="R12" s="692">
        <f>R11+SUM(N12:Q12)-SUM(J12:M12)</f>
        <v/>
      </c>
      <c r="S12" s="373" t="n"/>
      <c r="T12" s="716" t="n"/>
      <c r="U12" s="375" t="n"/>
      <c r="V12" s="707" t="n"/>
      <c r="W12" s="702" t="n"/>
      <c r="X12" s="702" t="n"/>
      <c r="Y12" s="702" t="n"/>
      <c r="Z12" s="702" t="n"/>
      <c r="AA12" s="708" t="n"/>
      <c r="AB12" s="709" t="n"/>
      <c r="AC12" s="710" t="n"/>
      <c r="AD12" s="707" t="n"/>
      <c r="AE12" s="702" t="n"/>
      <c r="AF12" s="703" t="n"/>
      <c r="AG12" s="703" t="n"/>
      <c r="AH12" s="703" t="n"/>
      <c r="AI12" s="703" t="n"/>
      <c r="AJ12" s="703" t="n"/>
      <c r="AK12" s="703" t="n"/>
      <c r="AL12" s="711" t="n"/>
      <c r="AM12" s="703" t="n"/>
      <c r="AN12" s="703" t="n"/>
      <c r="AO12" s="703" t="n"/>
      <c r="AP12" s="703" t="n"/>
      <c r="AQ12" s="703" t="n"/>
      <c r="AR12" s="712" t="n"/>
      <c r="AS12" s="712" t="n"/>
      <c r="AT12" s="713" t="n"/>
      <c r="AU12" s="714" t="n"/>
      <c r="AV12" s="715" t="n"/>
      <c r="AW12" s="713" t="n"/>
      <c r="AX12" s="711" t="n"/>
      <c r="AY12" s="703" t="n"/>
      <c r="AZ12" s="703" t="n"/>
      <c r="BA12" s="703" t="n"/>
      <c r="BB12" s="710" t="n"/>
      <c r="BC12" s="702" t="n"/>
      <c r="BD12" s="710" t="n"/>
      <c r="BE12" s="702" t="n"/>
      <c r="BF12" s="710" t="n"/>
    </row>
    <row r="13" ht="15" customFormat="1" customHeight="1" s="191">
      <c r="A13" s="231" t="n"/>
      <c r="B13" s="232" t="n"/>
      <c r="C13" s="673">
        <f>SUM(Z13:AC13)</f>
        <v/>
      </c>
      <c r="D13" s="702">
        <f>SUM(AD13:AK13)</f>
        <v/>
      </c>
      <c r="E13" s="703">
        <f>SUM(AL13:AT13)</f>
        <v/>
      </c>
      <c r="F13" s="703">
        <f>SUM(AU13:AW13)</f>
        <v/>
      </c>
      <c r="G13" s="685">
        <f>SUM(AX13:BB13)</f>
        <v/>
      </c>
      <c r="H13" s="703">
        <f>SUM(BC13:BD13)</f>
        <v/>
      </c>
      <c r="I13" s="685">
        <f>SUM(V13:Y13)</f>
        <v/>
      </c>
      <c r="J13" s="686">
        <f>SUM(C13:I13)</f>
        <v/>
      </c>
      <c r="K13" s="704" t="n"/>
      <c r="L13" s="704" t="n"/>
      <c r="M13" s="687" t="n"/>
      <c r="N13" s="705" t="n"/>
      <c r="O13" s="706" t="n"/>
      <c r="P13" s="705" t="n"/>
      <c r="Q13" s="705" t="n"/>
      <c r="R13" s="692">
        <f>R12+SUM(N13:Q13)-SUM(J13:M13)</f>
        <v/>
      </c>
      <c r="S13" s="373" t="n"/>
      <c r="T13" s="716" t="n"/>
      <c r="U13" s="375" t="n"/>
      <c r="V13" s="707" t="n"/>
      <c r="W13" s="702" t="n"/>
      <c r="X13" s="702" t="n"/>
      <c r="Y13" s="702" t="n"/>
      <c r="Z13" s="702" t="n"/>
      <c r="AA13" s="708" t="n"/>
      <c r="AB13" s="709" t="n"/>
      <c r="AC13" s="710" t="n"/>
      <c r="AD13" s="707" t="n"/>
      <c r="AE13" s="702" t="n"/>
      <c r="AF13" s="703" t="n"/>
      <c r="AG13" s="703" t="n"/>
      <c r="AH13" s="703" t="n"/>
      <c r="AI13" s="703" t="n"/>
      <c r="AJ13" s="703" t="n"/>
      <c r="AK13" s="703" t="n"/>
      <c r="AL13" s="711" t="n"/>
      <c r="AM13" s="703" t="n"/>
      <c r="AN13" s="703" t="n"/>
      <c r="AO13" s="703" t="n"/>
      <c r="AP13" s="703" t="n"/>
      <c r="AQ13" s="703" t="n"/>
      <c r="AR13" s="712" t="n"/>
      <c r="AS13" s="712" t="n"/>
      <c r="AT13" s="713" t="n"/>
      <c r="AU13" s="714" t="n"/>
      <c r="AV13" s="715" t="n"/>
      <c r="AW13" s="713" t="n"/>
      <c r="AX13" s="711" t="n"/>
      <c r="AY13" s="703" t="n"/>
      <c r="AZ13" s="703" t="n"/>
      <c r="BA13" s="703" t="n"/>
      <c r="BB13" s="710" t="n"/>
      <c r="BC13" s="702" t="n"/>
      <c r="BD13" s="710" t="n"/>
      <c r="BE13" s="702" t="n"/>
      <c r="BF13" s="710" t="n"/>
    </row>
    <row r="14" ht="15" customFormat="1" customHeight="1" s="191">
      <c r="A14" s="231" t="n"/>
      <c r="B14" s="232" t="n"/>
      <c r="C14" s="673">
        <f>SUM(Z14:AC14)</f>
        <v/>
      </c>
      <c r="D14" s="702">
        <f>SUM(AD14:AK14)</f>
        <v/>
      </c>
      <c r="E14" s="703">
        <f>SUM(AL14:AT14)</f>
        <v/>
      </c>
      <c r="F14" s="703">
        <f>SUM(AU14:AW14)</f>
        <v/>
      </c>
      <c r="G14" s="685">
        <f>SUM(AX14:BB14)</f>
        <v/>
      </c>
      <c r="H14" s="703">
        <f>SUM(BC14:BD14)</f>
        <v/>
      </c>
      <c r="I14" s="685">
        <f>SUM(V14:Y14)</f>
        <v/>
      </c>
      <c r="J14" s="686">
        <f>SUM(C14:I14)</f>
        <v/>
      </c>
      <c r="K14" s="704" t="n"/>
      <c r="L14" s="704" t="n"/>
      <c r="M14" s="687" t="n"/>
      <c r="N14" s="705" t="n"/>
      <c r="O14" s="706" t="n"/>
      <c r="P14" s="705" t="n"/>
      <c r="Q14" s="705" t="n"/>
      <c r="R14" s="692">
        <f>R13+SUM(N14:Q14)-SUM(J14:M14)</f>
        <v/>
      </c>
      <c r="S14" s="373" t="n"/>
      <c r="T14" s="716" t="n"/>
      <c r="U14" s="375" t="n"/>
      <c r="V14" s="707" t="n"/>
      <c r="W14" s="702" t="n"/>
      <c r="X14" s="702" t="n"/>
      <c r="Y14" s="702" t="n"/>
      <c r="Z14" s="702" t="n"/>
      <c r="AA14" s="708" t="n"/>
      <c r="AB14" s="709" t="n"/>
      <c r="AC14" s="710" t="n"/>
      <c r="AD14" s="707" t="n"/>
      <c r="AE14" s="702" t="n"/>
      <c r="AF14" s="703" t="n"/>
      <c r="AG14" s="703" t="n"/>
      <c r="AH14" s="703" t="n"/>
      <c r="AI14" s="703" t="n"/>
      <c r="AJ14" s="703" t="n"/>
      <c r="AK14" s="703" t="n"/>
      <c r="AL14" s="711" t="n"/>
      <c r="AM14" s="703" t="n"/>
      <c r="AN14" s="703" t="n"/>
      <c r="AO14" s="703" t="n"/>
      <c r="AP14" s="703" t="n"/>
      <c r="AQ14" s="703" t="n"/>
      <c r="AR14" s="712" t="n"/>
      <c r="AS14" s="712" t="n"/>
      <c r="AT14" s="713" t="n"/>
      <c r="AU14" s="714" t="n"/>
      <c r="AV14" s="715" t="n"/>
      <c r="AW14" s="713" t="n"/>
      <c r="AX14" s="711" t="n"/>
      <c r="AY14" s="703" t="n"/>
      <c r="AZ14" s="703" t="n"/>
      <c r="BA14" s="703" t="n"/>
      <c r="BB14" s="710" t="n"/>
      <c r="BC14" s="702" t="n"/>
      <c r="BD14" s="710" t="n"/>
      <c r="BE14" s="702" t="n"/>
      <c r="BF14" s="710" t="n"/>
    </row>
    <row r="15" ht="15" customFormat="1" customHeight="1" s="191">
      <c r="A15" s="231" t="n"/>
      <c r="B15" s="232" t="n"/>
      <c r="C15" s="673">
        <f>SUM(Z15:AC15)</f>
        <v/>
      </c>
      <c r="D15" s="702">
        <f>SUM(AD15:AK15)</f>
        <v/>
      </c>
      <c r="E15" s="703">
        <f>SUM(AL15:AT15)</f>
        <v/>
      </c>
      <c r="F15" s="703">
        <f>SUM(AU15:AW15)</f>
        <v/>
      </c>
      <c r="G15" s="685">
        <f>SUM(AX15:BB15)</f>
        <v/>
      </c>
      <c r="H15" s="703">
        <f>SUM(BC15:BD15)</f>
        <v/>
      </c>
      <c r="I15" s="685">
        <f>SUM(V15:Y15)</f>
        <v/>
      </c>
      <c r="J15" s="686">
        <f>SUM(C15:I15)</f>
        <v/>
      </c>
      <c r="K15" s="704" t="n"/>
      <c r="L15" s="704" t="n"/>
      <c r="M15" s="687" t="n"/>
      <c r="N15" s="705" t="n"/>
      <c r="O15" s="706" t="n"/>
      <c r="P15" s="705" t="n"/>
      <c r="Q15" s="705" t="n"/>
      <c r="R15" s="692">
        <f>R14+SUM(N15:Q15)-SUM(J15:M15)</f>
        <v/>
      </c>
      <c r="S15" s="373" t="n"/>
      <c r="T15" s="716" t="n"/>
      <c r="U15" s="375" t="n"/>
      <c r="V15" s="707" t="n"/>
      <c r="W15" s="702" t="n"/>
      <c r="X15" s="702" t="n"/>
      <c r="Y15" s="702" t="n"/>
      <c r="Z15" s="702" t="n"/>
      <c r="AA15" s="708" t="n"/>
      <c r="AB15" s="709" t="n"/>
      <c r="AC15" s="710" t="n"/>
      <c r="AD15" s="707" t="n"/>
      <c r="AE15" s="702" t="n"/>
      <c r="AF15" s="703" t="n"/>
      <c r="AG15" s="703" t="n"/>
      <c r="AH15" s="703" t="n"/>
      <c r="AI15" s="703" t="n"/>
      <c r="AJ15" s="703" t="n"/>
      <c r="AK15" s="703" t="n"/>
      <c r="AL15" s="711" t="n"/>
      <c r="AM15" s="703" t="n"/>
      <c r="AN15" s="703" t="n"/>
      <c r="AO15" s="703" t="n"/>
      <c r="AP15" s="703" t="n"/>
      <c r="AQ15" s="703" t="n"/>
      <c r="AR15" s="712" t="n"/>
      <c r="AS15" s="712" t="n"/>
      <c r="AT15" s="713" t="n"/>
      <c r="AU15" s="714" t="n"/>
      <c r="AV15" s="715" t="n"/>
      <c r="AW15" s="713" t="n"/>
      <c r="AX15" s="711" t="n"/>
      <c r="AY15" s="703" t="n"/>
      <c r="AZ15" s="703" t="n"/>
      <c r="BA15" s="703" t="n"/>
      <c r="BB15" s="710" t="n"/>
      <c r="BC15" s="702" t="n"/>
      <c r="BD15" s="710" t="n"/>
      <c r="BE15" s="702" t="n"/>
      <c r="BF15" s="710" t="n"/>
    </row>
    <row r="16" ht="15" customFormat="1" customHeight="1" s="191">
      <c r="A16" s="231" t="n"/>
      <c r="B16" s="232" t="n"/>
      <c r="C16" s="673">
        <f>SUM(Z16:AC16)</f>
        <v/>
      </c>
      <c r="D16" s="702">
        <f>SUM(AD16:AK16)</f>
        <v/>
      </c>
      <c r="E16" s="703">
        <f>SUM(AL16:AT16)</f>
        <v/>
      </c>
      <c r="F16" s="703">
        <f>SUM(AU16:AW16)</f>
        <v/>
      </c>
      <c r="G16" s="685">
        <f>SUM(AX16:BB16)</f>
        <v/>
      </c>
      <c r="H16" s="703">
        <f>SUM(BC16:BD16)</f>
        <v/>
      </c>
      <c r="I16" s="685">
        <f>SUM(V16:Y16)</f>
        <v/>
      </c>
      <c r="J16" s="686">
        <f>SUM(C16:I16)</f>
        <v/>
      </c>
      <c r="K16" s="704" t="n"/>
      <c r="L16" s="704" t="n"/>
      <c r="M16" s="687" t="n"/>
      <c r="N16" s="705" t="n"/>
      <c r="O16" s="706" t="n"/>
      <c r="P16" s="705" t="n"/>
      <c r="Q16" s="705" t="n"/>
      <c r="R16" s="692">
        <f>R15+SUM(N16:Q16)-SUM(J16:M16)</f>
        <v/>
      </c>
      <c r="S16" s="373" t="n"/>
      <c r="T16" s="716" t="n"/>
      <c r="U16" s="375" t="n"/>
      <c r="V16" s="707" t="n"/>
      <c r="W16" s="702" t="n"/>
      <c r="X16" s="702" t="n"/>
      <c r="Y16" s="702" t="n"/>
      <c r="Z16" s="702" t="n"/>
      <c r="AA16" s="708" t="n"/>
      <c r="AB16" s="709" t="n"/>
      <c r="AC16" s="710" t="n"/>
      <c r="AD16" s="707" t="n"/>
      <c r="AE16" s="702" t="n"/>
      <c r="AF16" s="703" t="n"/>
      <c r="AG16" s="703" t="n"/>
      <c r="AH16" s="703" t="n"/>
      <c r="AI16" s="703" t="n"/>
      <c r="AJ16" s="703" t="n"/>
      <c r="AK16" s="703" t="n"/>
      <c r="AL16" s="711" t="n"/>
      <c r="AM16" s="703" t="n"/>
      <c r="AN16" s="703" t="n"/>
      <c r="AO16" s="703" t="n"/>
      <c r="AP16" s="703" t="n"/>
      <c r="AQ16" s="703" t="n"/>
      <c r="AR16" s="712" t="n"/>
      <c r="AS16" s="712" t="n"/>
      <c r="AT16" s="713" t="n"/>
      <c r="AU16" s="714" t="n"/>
      <c r="AV16" s="715" t="n"/>
      <c r="AW16" s="713" t="n"/>
      <c r="AX16" s="711" t="n"/>
      <c r="AY16" s="703" t="n"/>
      <c r="AZ16" s="703" t="n"/>
      <c r="BA16" s="703" t="n"/>
      <c r="BB16" s="710" t="n"/>
      <c r="BC16" s="702" t="n"/>
      <c r="BD16" s="710" t="n"/>
      <c r="BE16" s="702" t="n"/>
      <c r="BF16" s="710" t="n"/>
    </row>
    <row r="17" ht="15" customFormat="1" customHeight="1" s="191">
      <c r="A17" s="231" t="n"/>
      <c r="B17" s="232" t="n"/>
      <c r="C17" s="673">
        <f>SUM(Z17:AC17)</f>
        <v/>
      </c>
      <c r="D17" s="702">
        <f>SUM(AD17:AK17)</f>
        <v/>
      </c>
      <c r="E17" s="703">
        <f>SUM(AL17:AT17)</f>
        <v/>
      </c>
      <c r="F17" s="703">
        <f>SUM(AU17:AW17)</f>
        <v/>
      </c>
      <c r="G17" s="685">
        <f>SUM(AX17:BB17)</f>
        <v/>
      </c>
      <c r="H17" s="703">
        <f>SUM(BC17:BD17)</f>
        <v/>
      </c>
      <c r="I17" s="685">
        <f>SUM(V17:Y17)</f>
        <v/>
      </c>
      <c r="J17" s="686">
        <f>SUM(C17:I17)</f>
        <v/>
      </c>
      <c r="K17" s="704" t="n"/>
      <c r="L17" s="704" t="n"/>
      <c r="M17" s="687" t="n"/>
      <c r="N17" s="705" t="n"/>
      <c r="O17" s="706" t="n"/>
      <c r="P17" s="705" t="n"/>
      <c r="Q17" s="705" t="n"/>
      <c r="R17" s="692">
        <f>R16+SUM(N17:Q17)-SUM(J17:M17)</f>
        <v/>
      </c>
      <c r="S17" s="373" t="n"/>
      <c r="T17" s="716" t="n"/>
      <c r="U17" s="375" t="n"/>
      <c r="V17" s="707" t="n"/>
      <c r="W17" s="702" t="n"/>
      <c r="X17" s="702" t="n"/>
      <c r="Y17" s="702" t="n"/>
      <c r="Z17" s="702" t="n"/>
      <c r="AA17" s="708" t="n"/>
      <c r="AB17" s="709" t="n"/>
      <c r="AC17" s="710" t="n"/>
      <c r="AD17" s="707" t="n"/>
      <c r="AE17" s="702" t="n"/>
      <c r="AF17" s="703" t="n"/>
      <c r="AG17" s="703" t="n"/>
      <c r="AH17" s="703" t="n"/>
      <c r="AI17" s="703" t="n"/>
      <c r="AJ17" s="703" t="n"/>
      <c r="AK17" s="703" t="n"/>
      <c r="AL17" s="711" t="n"/>
      <c r="AM17" s="703" t="n"/>
      <c r="AN17" s="703" t="n"/>
      <c r="AO17" s="703" t="n"/>
      <c r="AP17" s="703" t="n"/>
      <c r="AQ17" s="703" t="n"/>
      <c r="AR17" s="712" t="n"/>
      <c r="AS17" s="712" t="n"/>
      <c r="AT17" s="713" t="n"/>
      <c r="AU17" s="714" t="n"/>
      <c r="AV17" s="715" t="n"/>
      <c r="AW17" s="713" t="n"/>
      <c r="AX17" s="711" t="n"/>
      <c r="AY17" s="703" t="n"/>
      <c r="AZ17" s="703" t="n"/>
      <c r="BA17" s="703" t="n"/>
      <c r="BB17" s="710" t="n"/>
      <c r="BC17" s="702" t="n"/>
      <c r="BD17" s="710" t="n"/>
      <c r="BE17" s="702" t="n"/>
      <c r="BF17" s="710" t="n"/>
    </row>
    <row r="18" ht="15" customFormat="1" customHeight="1" s="191">
      <c r="A18" s="231" t="n"/>
      <c r="B18" s="232" t="n"/>
      <c r="C18" s="673">
        <f>SUM(Z18:AC18)</f>
        <v/>
      </c>
      <c r="D18" s="702">
        <f>SUM(AD18:AK18)</f>
        <v/>
      </c>
      <c r="E18" s="703">
        <f>SUM(AL18:AT18)</f>
        <v/>
      </c>
      <c r="F18" s="703">
        <f>SUM(AU18:AW18)</f>
        <v/>
      </c>
      <c r="G18" s="685">
        <f>SUM(AX18:BB18)</f>
        <v/>
      </c>
      <c r="H18" s="703">
        <f>SUM(BC18:BD18)</f>
        <v/>
      </c>
      <c r="I18" s="685">
        <f>SUM(V18:Y18)</f>
        <v/>
      </c>
      <c r="J18" s="686">
        <f>SUM(C18:I18)</f>
        <v/>
      </c>
      <c r="K18" s="704" t="n"/>
      <c r="L18" s="704" t="n"/>
      <c r="M18" s="687" t="n"/>
      <c r="N18" s="705" t="n"/>
      <c r="O18" s="706" t="n"/>
      <c r="P18" s="705" t="n"/>
      <c r="Q18" s="705" t="n"/>
      <c r="R18" s="692">
        <f>R17+SUM(N18:Q18)-SUM(J18:M18)</f>
        <v/>
      </c>
      <c r="S18" s="373" t="n"/>
      <c r="T18" s="716" t="n"/>
      <c r="U18" s="375" t="n"/>
      <c r="V18" s="707" t="n"/>
      <c r="W18" s="702" t="n"/>
      <c r="X18" s="702" t="n"/>
      <c r="Y18" s="702" t="n"/>
      <c r="Z18" s="702" t="n"/>
      <c r="AA18" s="708" t="n"/>
      <c r="AB18" s="709" t="n"/>
      <c r="AC18" s="710" t="n"/>
      <c r="AD18" s="707" t="n"/>
      <c r="AE18" s="702" t="n"/>
      <c r="AF18" s="703" t="n"/>
      <c r="AG18" s="703" t="n"/>
      <c r="AH18" s="703" t="n"/>
      <c r="AI18" s="703" t="n"/>
      <c r="AJ18" s="703" t="n"/>
      <c r="AK18" s="703" t="n"/>
      <c r="AL18" s="711" t="n"/>
      <c r="AM18" s="703" t="n"/>
      <c r="AN18" s="703" t="n"/>
      <c r="AO18" s="703" t="n"/>
      <c r="AP18" s="703" t="n"/>
      <c r="AQ18" s="703" t="n"/>
      <c r="AR18" s="712" t="n"/>
      <c r="AS18" s="712" t="n"/>
      <c r="AT18" s="713" t="n"/>
      <c r="AU18" s="714" t="n"/>
      <c r="AV18" s="715" t="n"/>
      <c r="AW18" s="713" t="n"/>
      <c r="AX18" s="711" t="n"/>
      <c r="AY18" s="703" t="n"/>
      <c r="AZ18" s="703" t="n"/>
      <c r="BA18" s="703" t="n"/>
      <c r="BB18" s="710" t="n"/>
      <c r="BC18" s="702" t="n"/>
      <c r="BD18" s="710" t="n"/>
      <c r="BE18" s="702" t="n"/>
      <c r="BF18" s="710" t="n"/>
    </row>
    <row r="19" ht="15" customFormat="1" customHeight="1" s="191">
      <c r="A19" s="231" t="n"/>
      <c r="B19" s="232" t="n"/>
      <c r="C19" s="673">
        <f>SUM(Z19:AC19)</f>
        <v/>
      </c>
      <c r="D19" s="702">
        <f>SUM(AD19:AK19)</f>
        <v/>
      </c>
      <c r="E19" s="703">
        <f>SUM(AL19:AT19)</f>
        <v/>
      </c>
      <c r="F19" s="703">
        <f>SUM(AU19:AW19)</f>
        <v/>
      </c>
      <c r="G19" s="685">
        <f>SUM(AX19:BB19)</f>
        <v/>
      </c>
      <c r="H19" s="703">
        <f>SUM(BC19:BD19)</f>
        <v/>
      </c>
      <c r="I19" s="685">
        <f>SUM(V19:Y19)</f>
        <v/>
      </c>
      <c r="J19" s="686">
        <f>SUM(C19:I19)</f>
        <v/>
      </c>
      <c r="K19" s="704" t="n"/>
      <c r="L19" s="704" t="n"/>
      <c r="M19" s="687" t="n"/>
      <c r="N19" s="705" t="n"/>
      <c r="O19" s="706" t="n"/>
      <c r="P19" s="705" t="n"/>
      <c r="Q19" s="705" t="n"/>
      <c r="R19" s="692">
        <f>R18+SUM(N19:Q19)-SUM(J19:M19)</f>
        <v/>
      </c>
      <c r="S19" s="373" t="n"/>
      <c r="T19" s="716" t="n"/>
      <c r="U19" s="375" t="n"/>
      <c r="V19" s="707" t="n"/>
      <c r="W19" s="702" t="n"/>
      <c r="X19" s="702" t="n"/>
      <c r="Y19" s="702" t="n"/>
      <c r="Z19" s="702" t="n"/>
      <c r="AA19" s="708" t="n"/>
      <c r="AB19" s="709" t="n"/>
      <c r="AC19" s="710" t="n"/>
      <c r="AD19" s="707" t="n"/>
      <c r="AE19" s="702" t="n"/>
      <c r="AF19" s="703" t="n"/>
      <c r="AG19" s="703" t="n"/>
      <c r="AH19" s="703" t="n"/>
      <c r="AI19" s="703" t="n"/>
      <c r="AJ19" s="703" t="n"/>
      <c r="AK19" s="703" t="n"/>
      <c r="AL19" s="711" t="n"/>
      <c r="AM19" s="703" t="n"/>
      <c r="AN19" s="703" t="n"/>
      <c r="AO19" s="703" t="n"/>
      <c r="AP19" s="703" t="n"/>
      <c r="AQ19" s="703" t="n"/>
      <c r="AR19" s="712" t="n"/>
      <c r="AS19" s="712" t="n"/>
      <c r="AT19" s="713" t="n"/>
      <c r="AU19" s="714" t="n"/>
      <c r="AV19" s="715" t="n"/>
      <c r="AW19" s="713" t="n"/>
      <c r="AX19" s="711" t="n"/>
      <c r="AY19" s="703" t="n"/>
      <c r="AZ19" s="703" t="n"/>
      <c r="BA19" s="703" t="n"/>
      <c r="BB19" s="710" t="n"/>
      <c r="BC19" s="702" t="n"/>
      <c r="BD19" s="710" t="n"/>
      <c r="BE19" s="702" t="n"/>
      <c r="BF19" s="710" t="n"/>
    </row>
    <row r="20" hidden="1" ht="15" customFormat="1" customHeight="1" s="191">
      <c r="A20" s="231" t="n"/>
      <c r="B20" s="717" t="n"/>
      <c r="C20" s="673">
        <f>SUM(Z20:AC20)</f>
        <v/>
      </c>
      <c r="D20" s="702">
        <f>SUM(AD20:AK20)</f>
        <v/>
      </c>
      <c r="E20" s="703">
        <f>SUM(AL20:AT20)</f>
        <v/>
      </c>
      <c r="F20" s="703">
        <f>SUM(AU20:AW20)</f>
        <v/>
      </c>
      <c r="G20" s="685">
        <f>SUM(AX20:BB20)</f>
        <v/>
      </c>
      <c r="H20" s="703">
        <f>SUM(BC20:BD20)</f>
        <v/>
      </c>
      <c r="I20" s="685">
        <f>SUM(V20:Y20)</f>
        <v/>
      </c>
      <c r="J20" s="686">
        <f>SUM(C20:I20)</f>
        <v/>
      </c>
      <c r="K20" s="704" t="n"/>
      <c r="L20" s="704" t="n"/>
      <c r="M20" s="687" t="n"/>
      <c r="N20" s="705" t="n"/>
      <c r="O20" s="706" t="n"/>
      <c r="P20" s="705" t="n"/>
      <c r="Q20" s="705" t="n"/>
      <c r="R20" s="692">
        <f>R19+SUM(N20:Q20)-SUM(J20:M20)</f>
        <v/>
      </c>
      <c r="S20" s="386" t="n"/>
      <c r="T20" s="718" t="n"/>
      <c r="U20" s="386" t="n"/>
      <c r="V20" s="707" t="n"/>
      <c r="W20" s="702" t="n"/>
      <c r="X20" s="702" t="n"/>
      <c r="Y20" s="702" t="n"/>
      <c r="Z20" s="702" t="n"/>
      <c r="AA20" s="708" t="n"/>
      <c r="AB20" s="709" t="n"/>
      <c r="AC20" s="710" t="n"/>
      <c r="AD20" s="707" t="n"/>
      <c r="AE20" s="702" t="n"/>
      <c r="AF20" s="703" t="n"/>
      <c r="AG20" s="703" t="n"/>
      <c r="AH20" s="703" t="n"/>
      <c r="AI20" s="703" t="n"/>
      <c r="AJ20" s="703" t="n"/>
      <c r="AK20" s="703" t="n"/>
      <c r="AL20" s="711" t="n"/>
      <c r="AM20" s="703" t="n"/>
      <c r="AN20" s="703" t="n"/>
      <c r="AO20" s="703" t="n"/>
      <c r="AP20" s="703" t="n"/>
      <c r="AQ20" s="703" t="n"/>
      <c r="AR20" s="712" t="n"/>
      <c r="AS20" s="712" t="n"/>
      <c r="AT20" s="713" t="n"/>
      <c r="AU20" s="711" t="n"/>
      <c r="AV20" s="719" t="n"/>
      <c r="AW20" s="713" t="n"/>
      <c r="AX20" s="711" t="n"/>
      <c r="AY20" s="703" t="n"/>
      <c r="AZ20" s="703" t="n"/>
      <c r="BA20" s="703" t="n"/>
      <c r="BB20" s="710" t="n"/>
      <c r="BC20" s="702" t="n"/>
      <c r="BD20" s="710" t="n"/>
      <c r="BE20" s="702" t="n"/>
      <c r="BF20" s="710" t="n"/>
    </row>
    <row r="21" hidden="1" customFormat="1" s="191">
      <c r="A21" s="231" t="n"/>
      <c r="B21" s="717" t="n"/>
      <c r="C21" s="673">
        <f>SUM(Z21:AC21)</f>
        <v/>
      </c>
      <c r="D21" s="702">
        <f>SUM(AD21:AK21)</f>
        <v/>
      </c>
      <c r="E21" s="703">
        <f>SUM(AL21:AT21)</f>
        <v/>
      </c>
      <c r="F21" s="703">
        <f>SUM(AU21:AW21)</f>
        <v/>
      </c>
      <c r="G21" s="703">
        <f>SUM(AX21:BB21)</f>
        <v/>
      </c>
      <c r="H21" s="703">
        <f>SUM(BC21:BD21)</f>
        <v/>
      </c>
      <c r="I21" s="685">
        <f>SUM(V21:Y21)</f>
        <v/>
      </c>
      <c r="J21" s="686">
        <f>SUM(C21:I21)</f>
        <v/>
      </c>
      <c r="K21" s="704" t="n"/>
      <c r="L21" s="704" t="n"/>
      <c r="M21" s="720" t="n"/>
      <c r="N21" s="705" t="n"/>
      <c r="O21" s="706" t="n"/>
      <c r="P21" s="705" t="n"/>
      <c r="Q21" s="705" t="n"/>
      <c r="R21" s="692">
        <f>R20+SUM(N21:Q21)-SUM(J21:M21)</f>
        <v/>
      </c>
      <c r="S21" s="387" t="n"/>
      <c r="T21" s="721" t="n"/>
      <c r="U21" s="387" t="n"/>
      <c r="V21" s="707" t="n"/>
      <c r="W21" s="702" t="n"/>
      <c r="X21" s="702" t="n"/>
      <c r="Y21" s="702" t="n"/>
      <c r="Z21" s="702" t="n"/>
      <c r="AA21" s="708" t="n"/>
      <c r="AB21" s="709" t="n"/>
      <c r="AC21" s="710" t="n"/>
      <c r="AD21" s="707" t="n"/>
      <c r="AE21" s="702" t="n"/>
      <c r="AF21" s="703" t="n"/>
      <c r="AG21" s="703" t="n"/>
      <c r="AH21" s="703" t="n"/>
      <c r="AI21" s="703" t="n"/>
      <c r="AJ21" s="703" t="n"/>
      <c r="AK21" s="703" t="n"/>
      <c r="AL21" s="711" t="n"/>
      <c r="AM21" s="703" t="n"/>
      <c r="AN21" s="703" t="n"/>
      <c r="AO21" s="703" t="n"/>
      <c r="AP21" s="703" t="n"/>
      <c r="AQ21" s="703" t="n"/>
      <c r="AR21" s="712" t="n"/>
      <c r="AS21" s="712" t="n"/>
      <c r="AT21" s="713" t="n"/>
      <c r="AU21" s="711" t="n"/>
      <c r="AV21" s="719" t="n"/>
      <c r="AW21" s="713" t="n"/>
      <c r="AX21" s="711" t="n"/>
      <c r="AY21" s="703" t="n"/>
      <c r="AZ21" s="703" t="n"/>
      <c r="BA21" s="703" t="n"/>
      <c r="BB21" s="710" t="n"/>
      <c r="BC21" s="702" t="n"/>
      <c r="BD21" s="710" t="n"/>
      <c r="BE21" s="702" t="n"/>
      <c r="BF21" s="710" t="n"/>
    </row>
    <row r="22" hidden="1" customFormat="1" s="191">
      <c r="A22" s="275" t="n"/>
      <c r="B22" s="717" t="n"/>
      <c r="C22" s="673">
        <f>SUM(Z22:AC22)</f>
        <v/>
      </c>
      <c r="D22" s="722">
        <f>SUM(AD22:AK22)</f>
        <v/>
      </c>
      <c r="E22" s="723">
        <f>SUM(AL22:AT22)</f>
        <v/>
      </c>
      <c r="F22" s="723">
        <f>SUM(AU22:AW22)</f>
        <v/>
      </c>
      <c r="G22" s="723">
        <f>SUM(AX22:BB22)</f>
        <v/>
      </c>
      <c r="H22" s="723">
        <f>SUM(BC22:BD22)</f>
        <v/>
      </c>
      <c r="I22" s="685">
        <f>SUM(V22:Y22)</f>
        <v/>
      </c>
      <c r="J22" s="686">
        <f>SUM(C22:I22)</f>
        <v/>
      </c>
      <c r="K22" s="724" t="n"/>
      <c r="L22" s="724" t="n"/>
      <c r="M22" s="725" t="n"/>
      <c r="N22" s="726" t="n"/>
      <c r="O22" s="727" t="n"/>
      <c r="P22" s="726" t="n"/>
      <c r="Q22" s="726" t="n"/>
      <c r="R22" s="728">
        <f>R21+SUM(O22:Q22)-SUM(J22:N22)</f>
        <v/>
      </c>
      <c r="S22" s="387" t="n"/>
      <c r="T22" s="729" t="n"/>
      <c r="U22" s="387" t="n"/>
      <c r="V22" s="730" t="n"/>
      <c r="W22" s="722" t="n"/>
      <c r="X22" s="722" t="n"/>
      <c r="Y22" s="722" t="n"/>
      <c r="Z22" s="722" t="n"/>
      <c r="AA22" s="731" t="n"/>
      <c r="AB22" s="732" t="n"/>
      <c r="AC22" s="733" t="n"/>
      <c r="AD22" s="730" t="n"/>
      <c r="AE22" s="722" t="n"/>
      <c r="AF22" s="723" t="n"/>
      <c r="AG22" s="723" t="n"/>
      <c r="AH22" s="723" t="n"/>
      <c r="AI22" s="723" t="n"/>
      <c r="AJ22" s="723" t="n"/>
      <c r="AK22" s="723" t="n"/>
      <c r="AL22" s="734" t="n"/>
      <c r="AM22" s="723" t="n"/>
      <c r="AN22" s="723" t="n"/>
      <c r="AO22" s="723" t="n"/>
      <c r="AP22" s="723" t="n"/>
      <c r="AQ22" s="291" t="n"/>
      <c r="AR22" s="735" t="n"/>
      <c r="AS22" s="735" t="n"/>
      <c r="AT22" s="736" t="n"/>
      <c r="AU22" s="734" t="n"/>
      <c r="AV22" s="737" t="n"/>
      <c r="AW22" s="736" t="n"/>
      <c r="AX22" s="734" t="n"/>
      <c r="AY22" s="723" t="n"/>
      <c r="AZ22" s="723" t="n"/>
      <c r="BA22" s="723" t="n"/>
      <c r="BB22" s="733" t="n"/>
      <c r="BC22" s="722" t="n"/>
      <c r="BD22" s="733" t="n"/>
      <c r="BE22" s="722" t="n"/>
      <c r="BF22" s="733" t="n"/>
    </row>
    <row r="23">
      <c r="A23" s="738" t="inlineStr">
        <is>
          <t>合计</t>
        </is>
      </c>
      <c r="B23" s="739" t="n"/>
      <c r="C23" s="740" t="n"/>
      <c r="D23" s="741">
        <f>SUM(D5:D22)</f>
        <v/>
      </c>
      <c r="E23" s="741">
        <f>SUM(E5:E22)</f>
        <v/>
      </c>
      <c r="F23" s="741">
        <f>SUM(F5:F22)</f>
        <v/>
      </c>
      <c r="G23" s="741">
        <f>SUM(G5:G22)</f>
        <v/>
      </c>
      <c r="H23" s="741">
        <f>SUM(H5:H22)</f>
        <v/>
      </c>
      <c r="I23" s="741">
        <f>SUM(I5:I22)</f>
        <v/>
      </c>
      <c r="J23" s="741">
        <f>SUM(J5:J22)</f>
        <v/>
      </c>
      <c r="K23" s="741">
        <f>SUM(K5:K22)</f>
        <v/>
      </c>
      <c r="L23" s="741">
        <f>SUM(L5:L22)</f>
        <v/>
      </c>
      <c r="M23" s="741">
        <f>SUM(M5:M22)</f>
        <v/>
      </c>
      <c r="N23" s="741">
        <f>SUM(N5:N22)</f>
        <v/>
      </c>
      <c r="O23" s="741">
        <f>SUM(O5:O22)</f>
        <v/>
      </c>
      <c r="P23" s="741">
        <f>SUM(P5:P22)</f>
        <v/>
      </c>
      <c r="Q23" s="741">
        <f>SUM(Q5:Q22)</f>
        <v/>
      </c>
      <c r="R23" s="742">
        <f>SUM(R4+SUM(N23:Q23)-SUM(J23:M23))</f>
        <v/>
      </c>
      <c r="S23" s="743" t="n"/>
      <c r="T23" s="741" t="n"/>
      <c r="U23" s="744" t="n"/>
      <c r="V23" s="745">
        <f>SUM(V5:V22)</f>
        <v/>
      </c>
      <c r="W23" s="745">
        <f>SUM(W5:W22)</f>
        <v/>
      </c>
      <c r="X23" s="745">
        <f>SUM(X5:X22)</f>
        <v/>
      </c>
      <c r="Y23" s="745">
        <f>SUM(Y5:Y22)</f>
        <v/>
      </c>
      <c r="Z23" s="745">
        <f>SUM(Z5:Z22)</f>
        <v/>
      </c>
      <c r="AA23" s="745" t="n"/>
      <c r="AB23" s="745">
        <f>SUM(AB5:AB22)</f>
        <v/>
      </c>
      <c r="AC23" s="745">
        <f>SUM(AC5:AC22)</f>
        <v/>
      </c>
      <c r="AD23" s="745">
        <f>SUM(AD5:AD22)</f>
        <v/>
      </c>
      <c r="AE23" s="745">
        <f>SUM(AE5:AE22)</f>
        <v/>
      </c>
      <c r="AF23" s="745">
        <f>SUM(AF5:AF22)</f>
        <v/>
      </c>
      <c r="AG23" s="745">
        <f>SUM(AG5:AG22)</f>
        <v/>
      </c>
      <c r="AH23" s="745">
        <f>SUM(AH5:AH22)</f>
        <v/>
      </c>
      <c r="AI23" s="745">
        <f>SUM(AI5:AI22)</f>
        <v/>
      </c>
      <c r="AJ23" s="745">
        <f>SUM(AJ5:AJ22)</f>
        <v/>
      </c>
      <c r="AK23" s="745">
        <f>SUM(AK5:AK22)</f>
        <v/>
      </c>
      <c r="AL23" s="745">
        <f>SUM(AL5:AL22)</f>
        <v/>
      </c>
      <c r="AM23" s="745">
        <f>SUM(AM5:AM22)</f>
        <v/>
      </c>
      <c r="AN23" s="745">
        <f>SUM(AN5:AN22)</f>
        <v/>
      </c>
      <c r="AO23" s="745">
        <f>SUM(AO5:AO22)</f>
        <v/>
      </c>
      <c r="AP23" s="745">
        <f>SUM(AP5:AP22)</f>
        <v/>
      </c>
      <c r="AQ23" s="745">
        <f>SUM(AQ5:AQ22)</f>
        <v/>
      </c>
      <c r="AR23" s="745">
        <f>SUM(AR5:AR22)</f>
        <v/>
      </c>
      <c r="AS23" s="745">
        <f>SUM(AS5:AS22)</f>
        <v/>
      </c>
      <c r="AT23" s="745">
        <f>SUM(AT5:AT22)</f>
        <v/>
      </c>
      <c r="AU23" s="745">
        <f>SUM(AU5:AU22)</f>
        <v/>
      </c>
      <c r="AV23" s="745">
        <f>SUM(AV5:AV22)</f>
        <v/>
      </c>
      <c r="AW23" s="745">
        <f>SUM(AW5:AW22)</f>
        <v/>
      </c>
      <c r="AX23" s="745">
        <f>SUM(AX5:AX22)</f>
        <v/>
      </c>
      <c r="AY23" s="745">
        <f>SUM(AY5:AY22)</f>
        <v/>
      </c>
      <c r="AZ23" s="745">
        <f>SUM(AZ5:AZ22)</f>
        <v/>
      </c>
      <c r="BA23" s="745">
        <f>SUM(BA5:BA22)</f>
        <v/>
      </c>
      <c r="BB23" s="745">
        <f>SUM(BB5:BB22)</f>
        <v/>
      </c>
      <c r="BC23" s="745">
        <f>SUM(BC5:BC22)</f>
        <v/>
      </c>
      <c r="BD23" s="745">
        <f>SUM(BD5:BD22)</f>
        <v/>
      </c>
      <c r="BE23" s="745">
        <f>SUM(BE5:BE22)</f>
        <v/>
      </c>
      <c r="BF23" s="746">
        <f>SUM(BF5:BF22)</f>
        <v/>
      </c>
    </row>
    <row r="24" hidden="1">
      <c r="A24" s="747" t="inlineStr">
        <is>
          <t>理财产品期初金额</t>
        </is>
      </c>
      <c r="B24" s="748" t="n"/>
      <c r="C24" s="749" t="n"/>
      <c r="D24" s="750" t="n"/>
      <c r="E24" s="751" t="n"/>
      <c r="F24" s="751" t="n"/>
      <c r="G24" s="751" t="n"/>
      <c r="H24" s="751" t="n"/>
      <c r="I24" s="751" t="n"/>
      <c r="J24" s="752">
        <f>SUM(D24:I24)</f>
        <v/>
      </c>
      <c r="K24" s="753" t="n"/>
      <c r="L24" s="753" t="n"/>
      <c r="M24" s="754" t="n"/>
      <c r="N24" s="755" t="n"/>
      <c r="O24" s="756" t="n"/>
      <c r="P24" s="757" t="n"/>
      <c r="Q24" s="757" t="n"/>
      <c r="R24" s="758" t="n"/>
      <c r="S24" s="750" t="n"/>
      <c r="T24" s="751" t="n"/>
      <c r="U24" s="759" t="n"/>
      <c r="V24" s="760" t="n"/>
      <c r="W24" s="761" t="n"/>
      <c r="X24" s="761" t="n"/>
      <c r="Y24" s="761" t="n"/>
      <c r="Z24" s="761" t="n"/>
      <c r="AA24" s="762" t="n"/>
      <c r="AB24" s="763" t="n"/>
      <c r="AC24" s="764" t="n"/>
      <c r="AD24" s="760" t="n"/>
      <c r="AE24" s="761" t="n"/>
      <c r="AF24" s="765" t="n"/>
      <c r="AG24" s="765" t="n"/>
      <c r="AH24" s="765" t="n"/>
      <c r="AI24" s="765" t="n"/>
      <c r="AJ24" s="765" t="n"/>
      <c r="AK24" s="766" t="n"/>
      <c r="AL24" s="760" t="n"/>
      <c r="AM24" s="765" t="n"/>
      <c r="AN24" s="765" t="n"/>
      <c r="AO24" s="765" t="n"/>
      <c r="AP24" s="765" t="n"/>
      <c r="AQ24" s="765" t="n"/>
      <c r="AR24" s="765" t="n"/>
      <c r="AS24" s="765" t="n"/>
      <c r="AT24" s="766" t="n"/>
      <c r="AU24" s="760" t="n"/>
      <c r="AV24" s="767" t="n"/>
      <c r="AW24" s="766" t="n"/>
      <c r="AX24" s="760" t="n"/>
      <c r="AY24" s="765" t="n"/>
      <c r="AZ24" s="765" t="n"/>
      <c r="BA24" s="765" t="n"/>
      <c r="BB24" s="766" t="n"/>
      <c r="BC24" s="760" t="n"/>
      <c r="BD24" s="764" t="n"/>
      <c r="BE24" s="760" t="n"/>
      <c r="BF24" s="764" t="n"/>
    </row>
    <row r="25" hidden="1">
      <c r="A25" s="768" t="n"/>
      <c r="B25" s="323" t="n"/>
      <c r="C25" s="324" t="n"/>
      <c r="D25" s="702">
        <f>SUM(AD25:AK25)</f>
        <v/>
      </c>
      <c r="E25" s="703">
        <f>SUM(AL25:AT25)</f>
        <v/>
      </c>
      <c r="F25" s="703">
        <f>SUM(AU25:AW25)</f>
        <v/>
      </c>
      <c r="G25" s="703">
        <f>SUM(AX25:BB25)</f>
        <v/>
      </c>
      <c r="H25" s="703">
        <f>SUM(BC25:BD25)</f>
        <v/>
      </c>
      <c r="I25" s="703">
        <f>SUM(V25:AC25)</f>
        <v/>
      </c>
      <c r="J25" s="769">
        <f>SUM(D25:I25)</f>
        <v/>
      </c>
      <c r="K25" s="704" t="n"/>
      <c r="L25" s="770" t="n"/>
      <c r="M25" s="720" t="n"/>
      <c r="N25" s="705" t="n"/>
      <c r="O25" s="706" t="n"/>
      <c r="P25" s="705" t="n"/>
      <c r="Q25" s="705" t="n"/>
      <c r="R25" s="692">
        <f>R24+SUM(O25:Q25)-SUM(J25:N25)</f>
        <v/>
      </c>
      <c r="S25" s="702" t="n"/>
      <c r="T25" s="703" t="n"/>
      <c r="U25" s="327" t="n"/>
      <c r="V25" s="771" t="n"/>
      <c r="W25" s="772" t="n"/>
      <c r="X25" s="772" t="n"/>
      <c r="Y25" s="772" t="n"/>
      <c r="Z25" s="772" t="n"/>
      <c r="AA25" s="773" t="n"/>
      <c r="AB25" s="774" t="n"/>
      <c r="AC25" s="775" t="n"/>
      <c r="AD25" s="771" t="n"/>
      <c r="AE25" s="772" t="n"/>
      <c r="AF25" s="776" t="n"/>
      <c r="AG25" s="776" t="n"/>
      <c r="AH25" s="776" t="n"/>
      <c r="AI25" s="776" t="n"/>
      <c r="AJ25" s="776" t="n"/>
      <c r="AK25" s="777" t="n"/>
      <c r="AL25" s="771" t="n"/>
      <c r="AM25" s="776" t="n"/>
      <c r="AN25" s="776" t="n"/>
      <c r="AO25" s="776" t="n"/>
      <c r="AP25" s="776" t="n"/>
      <c r="AQ25" s="776" t="n"/>
      <c r="AR25" s="776" t="n"/>
      <c r="AS25" s="776" t="n"/>
      <c r="AT25" s="777" t="n"/>
      <c r="AU25" s="771" t="n"/>
      <c r="AV25" s="778" t="n"/>
      <c r="AW25" s="777" t="n"/>
      <c r="AX25" s="771" t="n"/>
      <c r="AY25" s="776" t="n"/>
      <c r="AZ25" s="776" t="n"/>
      <c r="BA25" s="776" t="n"/>
      <c r="BB25" s="777" t="n"/>
      <c r="BC25" s="771" t="n"/>
      <c r="BD25" s="775" t="n"/>
      <c r="BE25" s="771" t="n"/>
      <c r="BF25" s="775" t="n"/>
    </row>
    <row r="26" hidden="1" ht="17.4" customHeight="1">
      <c r="A26" s="768" t="n"/>
      <c r="B26" s="323" t="n"/>
      <c r="C26" s="324" t="n"/>
      <c r="D26" s="702">
        <f>SUM(AD26:AK26)</f>
        <v/>
      </c>
      <c r="E26" s="703">
        <f>SUM(AL26:AT26)</f>
        <v/>
      </c>
      <c r="F26" s="703">
        <f>SUM(AU26:AW26)</f>
        <v/>
      </c>
      <c r="G26" s="703">
        <f>SUM(AX26:BB26)</f>
        <v/>
      </c>
      <c r="H26" s="703">
        <f>SUM(BC26:BD26)</f>
        <v/>
      </c>
      <c r="I26" s="703">
        <f>SUM(V26:AC26)</f>
        <v/>
      </c>
      <c r="J26" s="769">
        <f>SUM(D26:I26)</f>
        <v/>
      </c>
      <c r="K26" s="704" t="n"/>
      <c r="L26" s="770" t="n"/>
      <c r="M26" s="720" t="n"/>
      <c r="N26" s="705" t="n"/>
      <c r="O26" s="706" t="n"/>
      <c r="P26" s="705" t="n"/>
      <c r="Q26" s="705" t="n"/>
      <c r="R26" s="692">
        <f>R25+SUM(O26:Q26)-SUM(J26:N26)</f>
        <v/>
      </c>
      <c r="S26" s="702" t="n"/>
      <c r="T26" s="703" t="n"/>
      <c r="U26" s="779" t="n"/>
      <c r="V26" s="771" t="n"/>
      <c r="W26" s="772" t="n"/>
      <c r="X26" s="772" t="n"/>
      <c r="Y26" s="772" t="n"/>
      <c r="Z26" s="772" t="n"/>
      <c r="AA26" s="773" t="n"/>
      <c r="AB26" s="774" t="n"/>
      <c r="AC26" s="775" t="n"/>
      <c r="AD26" s="337" t="n"/>
      <c r="AE26" s="337" t="n"/>
      <c r="AF26" s="776" t="n"/>
      <c r="AG26" s="776" t="n"/>
      <c r="AH26" s="776" t="n"/>
      <c r="AI26" s="776" t="n"/>
      <c r="AJ26" s="776" t="n"/>
      <c r="AK26" s="777" t="n"/>
      <c r="AL26" s="771" t="n"/>
      <c r="AM26" s="776" t="n"/>
      <c r="AN26" s="776" t="n"/>
      <c r="AO26" s="776" t="n"/>
      <c r="AP26" s="776" t="n"/>
      <c r="AQ26" s="776" t="n"/>
      <c r="AR26" s="776" t="n"/>
      <c r="AS26" s="776" t="n"/>
      <c r="AT26" s="777" t="n"/>
      <c r="AU26" s="771" t="n"/>
      <c r="AV26" s="778" t="n"/>
      <c r="AW26" s="777" t="n"/>
      <c r="AX26" s="771" t="n"/>
      <c r="AY26" s="776" t="n"/>
      <c r="AZ26" s="776" t="n"/>
      <c r="BA26" s="776" t="n"/>
      <c r="BB26" s="777" t="n"/>
      <c r="BC26" s="771" t="n"/>
      <c r="BD26" s="775" t="n"/>
      <c r="BE26" s="771" t="n"/>
      <c r="BF26" s="775" t="n"/>
    </row>
    <row r="27" hidden="1">
      <c r="A27" s="768" t="n"/>
      <c r="B27" s="323" t="n"/>
      <c r="C27" s="338" t="n"/>
      <c r="D27" s="722" t="n"/>
      <c r="E27" s="723" t="n"/>
      <c r="F27" s="723" t="n"/>
      <c r="G27" s="723" t="n"/>
      <c r="H27" s="723" t="n"/>
      <c r="I27" s="723" t="n"/>
      <c r="J27" s="780" t="n"/>
      <c r="K27" s="724" t="n"/>
      <c r="L27" s="781" t="n"/>
      <c r="M27" s="725" t="n"/>
      <c r="N27" s="726" t="n"/>
      <c r="O27" s="727" t="n"/>
      <c r="P27" s="726" t="n"/>
      <c r="Q27" s="726" t="n"/>
      <c r="R27" s="692">
        <f>R24+SUM(O27:Q27)-SUM(J27:N27)</f>
        <v/>
      </c>
      <c r="S27" s="702" t="n"/>
      <c r="T27" s="703" t="n"/>
      <c r="U27" s="327" t="n"/>
      <c r="V27" s="782" t="n"/>
      <c r="W27" s="783" t="n"/>
      <c r="X27" s="783" t="n"/>
      <c r="Y27" s="783" t="n"/>
      <c r="Z27" s="783" t="n"/>
      <c r="AA27" s="784" t="n"/>
      <c r="AB27" s="785" t="n"/>
      <c r="AC27" s="786" t="n"/>
      <c r="AD27" s="782" t="n"/>
      <c r="AE27" s="783" t="n"/>
      <c r="AF27" s="787" t="n"/>
      <c r="AG27" s="787" t="n"/>
      <c r="AH27" s="787" t="n"/>
      <c r="AI27" s="787" t="n"/>
      <c r="AJ27" s="787" t="n"/>
      <c r="AK27" s="788" t="n"/>
      <c r="AL27" s="782" t="n"/>
      <c r="AM27" s="787" t="n"/>
      <c r="AN27" s="783" t="n"/>
      <c r="AO27" s="787" t="n"/>
      <c r="AP27" s="787" t="n"/>
      <c r="AQ27" s="787" t="n"/>
      <c r="AR27" s="787" t="n"/>
      <c r="AS27" s="787" t="n"/>
      <c r="AT27" s="788" t="n"/>
      <c r="AU27" s="782" t="n"/>
      <c r="AV27" s="789" t="n"/>
      <c r="AW27" s="788" t="n"/>
      <c r="AX27" s="782" t="n"/>
      <c r="AY27" s="787" t="n"/>
      <c r="AZ27" s="787" t="n"/>
      <c r="BA27" s="787" t="n"/>
      <c r="BB27" s="788" t="n"/>
      <c r="BC27" s="782" t="n"/>
      <c r="BD27" s="786" t="n"/>
      <c r="BE27" s="782" t="n"/>
      <c r="BF27" s="786" t="n"/>
    </row>
    <row r="28" hidden="1">
      <c r="A28" s="790" t="inlineStr">
        <is>
          <t>理财产品期末余额</t>
        </is>
      </c>
      <c r="B28" s="791" t="n"/>
      <c r="C28" s="792" t="n"/>
      <c r="D28" s="793">
        <f>SUM(D25:D26)</f>
        <v/>
      </c>
      <c r="E28" s="794">
        <f>SUM(E25:E26)</f>
        <v/>
      </c>
      <c r="F28" s="794">
        <f>SUM(F25:F26)</f>
        <v/>
      </c>
      <c r="G28" s="794">
        <f>SUM(G25:G26)</f>
        <v/>
      </c>
      <c r="H28" s="794">
        <f>SUM(H25:H26)</f>
        <v/>
      </c>
      <c r="I28" s="794">
        <f>SUM(I25:I26)</f>
        <v/>
      </c>
      <c r="J28" s="795">
        <f>SUM(J25:J26)</f>
        <v/>
      </c>
      <c r="K28" s="796">
        <f>SUM(K25:K26)</f>
        <v/>
      </c>
      <c r="L28" s="796">
        <f>SUM(L25:L27)</f>
        <v/>
      </c>
      <c r="M28" s="797">
        <f>SUM(M25:M26)</f>
        <v/>
      </c>
      <c r="N28" s="798">
        <f>SUM(N25:N26)</f>
        <v/>
      </c>
      <c r="O28" s="799">
        <f>SUM(O25:O26)</f>
        <v/>
      </c>
      <c r="P28" s="800" t="n"/>
      <c r="Q28" s="800" t="n"/>
      <c r="R28" s="801">
        <f>R27+SUM(O28:Q28)-SUM(J28:N28)</f>
        <v/>
      </c>
      <c r="S28" s="802" t="n"/>
      <c r="T28" s="794" t="n"/>
      <c r="U28" s="803" t="n"/>
      <c r="V28" s="804">
        <f>SUM(V25:V26)</f>
        <v/>
      </c>
      <c r="W28" s="805" t="n"/>
      <c r="X28" s="805" t="n"/>
      <c r="Y28" s="805" t="n"/>
      <c r="Z28" s="805" t="n"/>
      <c r="AA28" s="806">
        <f>SUM(AA25:AA26)</f>
        <v/>
      </c>
      <c r="AB28" s="807" t="n"/>
      <c r="AC28" s="808">
        <f>SUM(AC25:AC26)</f>
        <v/>
      </c>
      <c r="AD28" s="804" t="n"/>
      <c r="AE28" s="805" t="n"/>
      <c r="AF28" s="809" t="n"/>
      <c r="AG28" s="809" t="n"/>
      <c r="AH28" s="809" t="n"/>
      <c r="AI28" s="809" t="n"/>
      <c r="AJ28" s="809" t="n"/>
      <c r="AK28" s="810" t="n"/>
      <c r="AL28" s="804" t="n"/>
      <c r="AM28" s="809" t="n"/>
      <c r="AN28" s="804" t="n"/>
      <c r="AO28" s="809" t="n"/>
      <c r="AP28" s="809" t="n"/>
      <c r="AQ28" s="809" t="n"/>
      <c r="AR28" s="809" t="n"/>
      <c r="AS28" s="809" t="n"/>
      <c r="AT28" s="810" t="n"/>
      <c r="AU28" s="804" t="n"/>
      <c r="AV28" s="811" t="n"/>
      <c r="AW28" s="810" t="n"/>
      <c r="AX28" s="804" t="n"/>
      <c r="AY28" s="809" t="n"/>
      <c r="AZ28" s="809" t="n"/>
      <c r="BA28" s="809" t="n"/>
      <c r="BB28" s="810" t="n"/>
      <c r="BC28" s="804" t="n"/>
      <c r="BD28" s="808" t="n"/>
      <c r="BE28" s="804" t="n"/>
      <c r="BF28" s="808" t="n"/>
    </row>
    <row r="29" hidden="1">
      <c r="A29" s="738" t="inlineStr">
        <is>
          <t>合计</t>
        </is>
      </c>
      <c r="B29" s="739" t="n"/>
      <c r="C29" s="740" t="n"/>
      <c r="D29" s="741">
        <f>D28+D23</f>
        <v/>
      </c>
      <c r="E29" s="741">
        <f>E28+E23</f>
        <v/>
      </c>
      <c r="F29" s="741">
        <f>F28+F23</f>
        <v/>
      </c>
      <c r="G29" s="741">
        <f>G28+G23</f>
        <v/>
      </c>
      <c r="H29" s="741">
        <f>H28+H23</f>
        <v/>
      </c>
      <c r="I29" s="741">
        <f>I28+I23</f>
        <v/>
      </c>
      <c r="J29" s="741">
        <f>J28+J23</f>
        <v/>
      </c>
      <c r="K29" s="741">
        <f>K28+K23</f>
        <v/>
      </c>
      <c r="L29" s="741">
        <f>L28+L23</f>
        <v/>
      </c>
      <c r="M29" s="741">
        <f>M28+M23</f>
        <v/>
      </c>
      <c r="N29" s="741">
        <f>N28+N23</f>
        <v/>
      </c>
      <c r="O29" s="812">
        <f>O28+O23</f>
        <v/>
      </c>
      <c r="P29" s="812">
        <f>P28+P23</f>
        <v/>
      </c>
      <c r="Q29" s="812">
        <f>Q28+Q23</f>
        <v/>
      </c>
      <c r="R29" s="741">
        <f>R28+R23</f>
        <v/>
      </c>
      <c r="S29" s="741">
        <f>S28+S23</f>
        <v/>
      </c>
      <c r="T29" s="741">
        <f>T28+T23</f>
        <v/>
      </c>
      <c r="U29" s="741">
        <f>U28+U23</f>
        <v/>
      </c>
      <c r="V29" s="741">
        <f>V28+V23</f>
        <v/>
      </c>
      <c r="W29" s="741">
        <f>W28+W23</f>
        <v/>
      </c>
      <c r="X29" s="741">
        <f>X28+X23</f>
        <v/>
      </c>
      <c r="Y29" s="741">
        <f>Y28+Y23</f>
        <v/>
      </c>
      <c r="Z29" s="741">
        <f>Z28+Z23</f>
        <v/>
      </c>
      <c r="AA29" s="741">
        <f>AA28+AA23</f>
        <v/>
      </c>
      <c r="AB29" s="741" t="n"/>
      <c r="AC29" s="741">
        <f>AC28+AC23</f>
        <v/>
      </c>
      <c r="AD29" s="741">
        <f>AD28+AD23</f>
        <v/>
      </c>
      <c r="AE29" s="741">
        <f>AE28+AE23</f>
        <v/>
      </c>
      <c r="AF29" s="741">
        <f>AF28+AF23</f>
        <v/>
      </c>
      <c r="AG29" s="741">
        <f>AG28+AG23</f>
        <v/>
      </c>
      <c r="AH29" s="741">
        <f>AH28+AH23</f>
        <v/>
      </c>
      <c r="AI29" s="741">
        <f>AI28+AI23</f>
        <v/>
      </c>
      <c r="AJ29" s="741">
        <f>AJ28+AJ23</f>
        <v/>
      </c>
      <c r="AK29" s="741">
        <f>AK28+AK23</f>
        <v/>
      </c>
      <c r="AL29" s="741">
        <f>AL28+AL23</f>
        <v/>
      </c>
      <c r="AM29" s="741">
        <f>AM28+AM23</f>
        <v/>
      </c>
      <c r="AN29" s="741">
        <f>AN28+AN23</f>
        <v/>
      </c>
      <c r="AO29" s="741">
        <f>AO28+AO23</f>
        <v/>
      </c>
      <c r="AP29" s="741">
        <f>AP28+AP23</f>
        <v/>
      </c>
      <c r="AQ29" s="741">
        <f>AQ28+AQ23</f>
        <v/>
      </c>
      <c r="AR29" s="741">
        <f>AR28+AR23</f>
        <v/>
      </c>
      <c r="AS29" s="741">
        <f>AS28+AS23</f>
        <v/>
      </c>
      <c r="AT29" s="741">
        <f>AT28+AT23</f>
        <v/>
      </c>
      <c r="AU29" s="741">
        <f>AU28+AU23</f>
        <v/>
      </c>
      <c r="AV29" s="741">
        <f>AV28+AV23</f>
        <v/>
      </c>
      <c r="AW29" s="741">
        <f>AW28+AW23</f>
        <v/>
      </c>
      <c r="AX29" s="741">
        <f>AX28+AX23</f>
        <v/>
      </c>
      <c r="AY29" s="741">
        <f>AY28+AY23</f>
        <v/>
      </c>
      <c r="AZ29" s="741">
        <f>AZ28+AZ23</f>
        <v/>
      </c>
      <c r="BA29" s="741">
        <f>BA28+BA23</f>
        <v/>
      </c>
      <c r="BB29" s="741">
        <f>BB28+BB23</f>
        <v/>
      </c>
      <c r="BC29" s="741">
        <f>BC28+BC23</f>
        <v/>
      </c>
      <c r="BD29" s="741">
        <f>BD28+BD23</f>
        <v/>
      </c>
      <c r="BE29" s="741">
        <f>BE28+BE23</f>
        <v/>
      </c>
      <c r="BF29" s="741">
        <f>BF28+BF23</f>
        <v/>
      </c>
    </row>
  </sheetData>
  <autoFilter ref="A3:BE29"/>
  <mergeCells count="30">
    <mergeCell ref="M2:M3"/>
    <mergeCell ref="BC2:BD2"/>
    <mergeCell ref="B2:B3"/>
    <mergeCell ref="N2:N3"/>
    <mergeCell ref="U2:U3"/>
    <mergeCell ref="D2:D3"/>
    <mergeCell ref="F2:F3"/>
    <mergeCell ref="H2:H3"/>
    <mergeCell ref="AX2:BB2"/>
    <mergeCell ref="V2:Y2"/>
    <mergeCell ref="A2:A3"/>
    <mergeCell ref="T2:T3"/>
    <mergeCell ref="C2:C3"/>
    <mergeCell ref="E2:E3"/>
    <mergeCell ref="K2:K3"/>
    <mergeCell ref="O2:Q2"/>
    <mergeCell ref="AU2:AW2"/>
    <mergeCell ref="AD2:AK2"/>
    <mergeCell ref="BE2:BF2"/>
    <mergeCell ref="A23:B23"/>
    <mergeCell ref="R2:R3"/>
    <mergeCell ref="J2:J3"/>
    <mergeCell ref="L2:L3"/>
    <mergeCell ref="A4:B4"/>
    <mergeCell ref="A29:B29"/>
    <mergeCell ref="AL2:AT2"/>
    <mergeCell ref="Z2:AC2"/>
    <mergeCell ref="G2:G3"/>
    <mergeCell ref="S2:S3"/>
    <mergeCell ref="I2:I3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13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D25" sqref="D25"/>
    </sheetView>
  </sheetViews>
  <sheetFormatPr baseColWidth="8" defaultColWidth="9" defaultRowHeight="15.6"/>
  <cols>
    <col width="2.5" customWidth="1" style="192" min="1" max="1"/>
    <col width="11.19921875" customWidth="1" style="683" min="2" max="2"/>
    <col width="8.796875" customWidth="1" style="683" min="3" max="3"/>
    <col outlineLevel="1" width="11.59765625" customWidth="1" style="615" min="4" max="4"/>
    <col outlineLevel="1" width="8" customWidth="1" style="615" min="5" max="6"/>
    <col outlineLevel="1" width="7.69921875" customWidth="1" style="615" min="7" max="7"/>
    <col outlineLevel="1" width="8" customWidth="1" style="195" min="8" max="8"/>
    <col outlineLevel="1" width="10.296875" customWidth="1" style="195" min="9" max="9"/>
    <col width="10.09765625" customWidth="1" style="195" min="10" max="10"/>
    <col outlineLevel="1" width="9.19921875" customWidth="1" style="195" min="11" max="11"/>
    <col outlineLevel="1" width="6" customWidth="1" style="195" min="12" max="12"/>
    <col width="8.59765625" customWidth="1" style="195" min="13" max="13"/>
    <col width="9.59765625" customWidth="1" style="195" min="14" max="14"/>
    <col outlineLevel="1" width="8.3984375" customWidth="1" style="191" min="15" max="15"/>
    <col outlineLevel="1" width="6.5" customWidth="1" style="191" min="16" max="17"/>
    <col width="16.8984375" customWidth="1" style="196" min="18" max="18"/>
    <col width="15.296875" customWidth="1" style="195" min="19" max="19"/>
    <col width="11.296875" customWidth="1" style="195" min="20" max="20"/>
    <col width="15.3984375" customWidth="1" style="197" min="21" max="21"/>
    <col outlineLevel="1" width="6.69921875" customWidth="1" style="195" min="22" max="22"/>
    <col outlineLevel="1" width="6.19921875" customWidth="1" style="195" min="23" max="23"/>
    <col outlineLevel="1" width="7.796875" customWidth="1" style="195" min="24" max="24"/>
    <col outlineLevel="1" width="8.09765625" customWidth="1" style="195" min="25" max="25"/>
    <col outlineLevel="1" width="6.19921875" customWidth="1" style="195" min="26" max="26"/>
    <col outlineLevel="1" width="5.796875" customWidth="1" style="198" min="27" max="28"/>
    <col outlineLevel="1" width="5.69921875" customWidth="1" style="195" min="29" max="29"/>
    <col outlineLevel="1" width="5.09765625" customWidth="1" style="199" min="30" max="30"/>
    <col outlineLevel="1" width="4.09765625" customWidth="1" style="199" min="31" max="31"/>
    <col outlineLevel="1" width="4.59765625" customWidth="1" style="199" min="32" max="32"/>
    <col outlineLevel="1" width="3.8984375" customWidth="1" style="199" min="33" max="36"/>
    <col width="6.3984375" customWidth="1" style="199" min="37" max="37"/>
    <col outlineLevel="1" width="4.5" customWidth="1" style="195" min="38" max="39"/>
    <col outlineLevel="1" width="7.3984375" customWidth="1" style="195" min="40" max="40"/>
    <col outlineLevel="1" width="5.69921875" customWidth="1" style="195" min="41" max="41"/>
    <col outlineLevel="1" width="5" customWidth="1" style="195" min="42" max="42"/>
    <col outlineLevel="1" width="5.5" customWidth="1" style="195" min="43" max="44"/>
    <col outlineLevel="1" width="4.5" customWidth="1" style="195" min="45" max="45"/>
    <col width="4.5" customWidth="1" style="195" min="46" max="46"/>
    <col width="4.3984375" customWidth="1" style="195" min="47" max="47"/>
    <col width="4.8984375" customWidth="1" style="195" min="48" max="49"/>
    <col width="6.09765625" customWidth="1" style="195" min="50" max="50"/>
    <col width="5.3984375" customWidth="1" style="195" min="51" max="51"/>
    <col width="4.09765625" customWidth="1" style="195" min="52" max="52"/>
    <col width="4.796875" customWidth="1" style="195" min="53" max="53"/>
    <col width="4.8984375" customWidth="1" style="195" min="54" max="54"/>
    <col width="6.3984375" customWidth="1" style="195" min="55" max="55"/>
    <col width="7.19921875" customWidth="1" style="195" min="56" max="56"/>
    <col width="6.3984375" customWidth="1" style="195" min="57" max="57"/>
    <col width="7.19921875" customWidth="1" style="195" min="58" max="58"/>
    <col width="9" customWidth="1" style="195" min="59" max="16384"/>
  </cols>
  <sheetData>
    <row r="1" ht="22.05" customHeight="1">
      <c r="A1" s="200" t="inlineStr">
        <is>
          <t>←返回</t>
        </is>
      </c>
      <c r="F1" s="201" t="inlineStr">
        <is>
          <t>账号名称</t>
        </is>
      </c>
      <c r="G1" s="202" t="n"/>
      <c r="H1" s="202" t="n"/>
      <c r="I1" s="201" t="inlineStr">
        <is>
          <t>银行码</t>
        </is>
      </c>
      <c r="J1" s="202" t="n"/>
      <c r="K1" s="201" t="inlineStr">
        <is>
          <t>银行账号</t>
        </is>
      </c>
      <c r="L1" s="202" t="n"/>
      <c r="R1" s="684" t="n"/>
      <c r="S1" s="616" t="n"/>
    </row>
    <row r="2" ht="25.5" customFormat="1" customHeight="1" s="189">
      <c r="A2" s="500" t="inlineStr">
        <is>
          <t>行号</t>
        </is>
      </c>
      <c r="B2" s="617" t="inlineStr">
        <is>
          <t>交易时间</t>
        </is>
      </c>
      <c r="C2" s="618" t="inlineStr">
        <is>
          <t>研发费用</t>
        </is>
      </c>
      <c r="D2" s="619" t="inlineStr">
        <is>
          <t>销售费用</t>
        </is>
      </c>
      <c r="E2" s="620" t="inlineStr">
        <is>
          <t>管理费用</t>
        </is>
      </c>
      <c r="F2" s="621" t="inlineStr">
        <is>
          <t>财务费用</t>
        </is>
      </c>
      <c r="G2" s="622" t="inlineStr">
        <is>
          <t>应缴税金</t>
        </is>
      </c>
      <c r="H2" s="623" t="inlineStr">
        <is>
          <t>固定资产</t>
        </is>
      </c>
      <c r="I2" s="624" t="inlineStr">
        <is>
          <t>主营业务支出</t>
        </is>
      </c>
      <c r="J2" s="625" t="inlineStr">
        <is>
          <t>日常支出和</t>
        </is>
      </c>
      <c r="K2" s="626" t="inlineStr">
        <is>
          <t>集团往来</t>
        </is>
      </c>
      <c r="L2" s="627" t="inlineStr">
        <is>
          <t>理财</t>
        </is>
      </c>
      <c r="M2" s="628" t="inlineStr">
        <is>
          <t>暂支/预付</t>
        </is>
      </c>
      <c r="N2" s="628" t="inlineStr">
        <is>
          <t>投资款</t>
        </is>
      </c>
      <c r="O2" s="472" t="inlineStr">
        <is>
          <t>收入</t>
        </is>
      </c>
      <c r="P2" s="629" t="n"/>
      <c r="Q2" s="630" t="n"/>
      <c r="R2" s="631" t="inlineStr">
        <is>
          <t>余额</t>
        </is>
      </c>
      <c r="S2" s="632" t="inlineStr">
        <is>
          <t>客户/供应商</t>
        </is>
      </c>
      <c r="T2" s="633" t="inlineStr">
        <is>
          <t>部门</t>
        </is>
      </c>
      <c r="U2" s="634" t="inlineStr">
        <is>
          <t>摘要</t>
        </is>
      </c>
      <c r="V2" s="635" t="inlineStr">
        <is>
          <t>主营业务支出</t>
        </is>
      </c>
      <c r="W2" s="636" t="n"/>
      <c r="X2" s="636" t="n"/>
      <c r="Y2" s="637" t="n"/>
      <c r="Z2" s="638" t="inlineStr">
        <is>
          <t>研发费用</t>
        </is>
      </c>
      <c r="AA2" s="636" t="n"/>
      <c r="AB2" s="636" t="n"/>
      <c r="AC2" s="637" t="n"/>
      <c r="AD2" s="639" t="inlineStr">
        <is>
          <t>销售费用</t>
        </is>
      </c>
      <c r="AE2" s="636" t="n"/>
      <c r="AF2" s="636" t="n"/>
      <c r="AG2" s="636" t="n"/>
      <c r="AH2" s="636" t="n"/>
      <c r="AI2" s="636" t="n"/>
      <c r="AJ2" s="636" t="n"/>
      <c r="AK2" s="637" t="n"/>
      <c r="AL2" s="640" t="inlineStr">
        <is>
          <t>管理费用</t>
        </is>
      </c>
      <c r="AM2" s="636" t="n"/>
      <c r="AN2" s="636" t="n"/>
      <c r="AO2" s="636" t="n"/>
      <c r="AP2" s="636" t="n"/>
      <c r="AQ2" s="636" t="n"/>
      <c r="AR2" s="636" t="n"/>
      <c r="AS2" s="636" t="n"/>
      <c r="AT2" s="637" t="n"/>
      <c r="AU2" s="641" t="inlineStr">
        <is>
          <t>财务费用</t>
        </is>
      </c>
      <c r="AV2" s="636" t="n"/>
      <c r="AW2" s="637" t="n"/>
      <c r="AX2" s="642" t="inlineStr">
        <is>
          <t>应缴税金</t>
        </is>
      </c>
      <c r="AY2" s="636" t="n"/>
      <c r="AZ2" s="636" t="n"/>
      <c r="BA2" s="636" t="n"/>
      <c r="BB2" s="637" t="n"/>
      <c r="BC2" s="643" t="inlineStr">
        <is>
          <t>有形资产</t>
        </is>
      </c>
      <c r="BD2" s="637" t="n"/>
      <c r="BE2" s="644" t="inlineStr">
        <is>
          <t>营业外支出</t>
        </is>
      </c>
      <c r="BF2" s="637" t="n"/>
    </row>
    <row r="3" ht="30" customFormat="1" customHeight="1" s="190">
      <c r="A3" s="645" t="n"/>
      <c r="B3" s="646" t="n"/>
      <c r="C3" s="647" t="n"/>
      <c r="D3" s="648" t="n"/>
      <c r="E3" s="649" t="n"/>
      <c r="F3" s="649" t="n"/>
      <c r="G3" s="649" t="n"/>
      <c r="H3" s="649" t="n"/>
      <c r="I3" s="649" t="n"/>
      <c r="J3" s="646" t="n"/>
      <c r="K3" s="650" t="n"/>
      <c r="L3" s="650" t="n"/>
      <c r="M3" s="651" t="n"/>
      <c r="N3" s="651" t="n"/>
      <c r="O3" s="652" t="inlineStr">
        <is>
          <t>产品收入</t>
        </is>
      </c>
      <c r="P3" s="653" t="inlineStr">
        <is>
          <t>服务收入</t>
        </is>
      </c>
      <c r="Q3" s="653" t="inlineStr">
        <is>
          <t>其他收入</t>
        </is>
      </c>
      <c r="R3" s="650" t="n"/>
      <c r="S3" s="648" t="n"/>
      <c r="T3" s="649" t="n"/>
      <c r="U3" s="654" t="n"/>
      <c r="V3" s="655" t="inlineStr">
        <is>
          <t>商品采购</t>
        </is>
      </c>
      <c r="W3" s="655" t="inlineStr">
        <is>
          <t>运费</t>
        </is>
      </c>
      <c r="X3" s="655" t="inlineStr">
        <is>
          <t>服务费</t>
        </is>
      </c>
      <c r="Y3" s="655" t="inlineStr">
        <is>
          <t>返点佣金</t>
        </is>
      </c>
      <c r="Z3" s="656" t="inlineStr">
        <is>
          <t>人工成本</t>
        </is>
      </c>
      <c r="AA3" s="656" t="inlineStr">
        <is>
          <t>材料设备</t>
        </is>
      </c>
      <c r="AB3" s="656" t="inlineStr">
        <is>
          <t>服务费</t>
        </is>
      </c>
      <c r="AC3" s="656" t="inlineStr">
        <is>
          <t>委外</t>
        </is>
      </c>
      <c r="AD3" s="657" t="inlineStr">
        <is>
          <t>飞机、动车等</t>
        </is>
      </c>
      <c r="AE3" s="657" t="inlineStr">
        <is>
          <t>住宿费</t>
        </is>
      </c>
      <c r="AF3" s="657" t="inlineStr">
        <is>
          <t>车辆费</t>
        </is>
      </c>
      <c r="AG3" s="657" t="inlineStr">
        <is>
          <t>市内交通</t>
        </is>
      </c>
      <c r="AH3" s="657" t="inlineStr">
        <is>
          <t>招待/公关</t>
        </is>
      </c>
      <c r="AI3" s="657" t="inlineStr">
        <is>
          <t>服务费</t>
        </is>
      </c>
      <c r="AJ3" s="657" t="inlineStr">
        <is>
          <t>经销返点</t>
        </is>
      </c>
      <c r="AK3" s="658" t="inlineStr">
        <is>
          <t>其他</t>
        </is>
      </c>
      <c r="AL3" s="659" t="inlineStr">
        <is>
          <t>办公费</t>
        </is>
      </c>
      <c r="AM3" s="660" t="inlineStr">
        <is>
          <t>办公租金&amp;物业费&amp;水电费</t>
        </is>
      </c>
      <c r="AN3" s="660" t="inlineStr">
        <is>
          <t>市内交通</t>
        </is>
      </c>
      <c r="AO3" s="660" t="inlineStr">
        <is>
          <t>招待/公关</t>
        </is>
      </c>
      <c r="AP3" s="660" t="inlineStr">
        <is>
          <t>飞机、动车等</t>
        </is>
      </c>
      <c r="AQ3" s="660" t="inlineStr">
        <is>
          <t>人员薪资</t>
        </is>
      </c>
      <c r="AR3" s="660" t="inlineStr">
        <is>
          <t>社保&amp;公积金</t>
        </is>
      </c>
      <c r="AS3" s="660" t="inlineStr">
        <is>
          <t>员工福利</t>
        </is>
      </c>
      <c r="AT3" s="661" t="inlineStr">
        <is>
          <t>其他</t>
        </is>
      </c>
      <c r="AU3" s="662" t="inlineStr">
        <is>
          <t>手续费</t>
        </is>
      </c>
      <c r="AV3" s="663" t="inlineStr">
        <is>
          <t>结息</t>
        </is>
      </c>
      <c r="AW3" s="216" t="inlineStr">
        <is>
          <t>贷款利息</t>
        </is>
      </c>
      <c r="AX3" s="664" t="inlineStr">
        <is>
          <t>增值税及附加</t>
        </is>
      </c>
      <c r="AY3" s="665" t="inlineStr">
        <is>
          <t>所得税</t>
        </is>
      </c>
      <c r="AZ3" s="665" t="inlineStr">
        <is>
          <t>印花税</t>
        </is>
      </c>
      <c r="BA3" s="665" t="inlineStr">
        <is>
          <t>工资个税</t>
        </is>
      </c>
      <c r="BB3" s="666" t="inlineStr">
        <is>
          <t>劳务个税</t>
        </is>
      </c>
      <c r="BC3" s="667" t="inlineStr">
        <is>
          <t>办公设备</t>
        </is>
      </c>
      <c r="BD3" s="668" t="inlineStr">
        <is>
          <t>办公家具   (包含车等）</t>
        </is>
      </c>
      <c r="BE3" s="669" t="inlineStr">
        <is>
          <t>违约金</t>
        </is>
      </c>
      <c r="BF3" s="670" t="inlineStr">
        <is>
          <t>罚款</t>
        </is>
      </c>
    </row>
    <row r="4" ht="20.25" customFormat="1" customHeight="1" s="191">
      <c r="A4" s="496" t="inlineStr">
        <is>
          <t>期初余额</t>
        </is>
      </c>
      <c r="B4" s="671" t="n"/>
      <c r="C4" s="497" t="n"/>
      <c r="D4" s="672" t="n"/>
      <c r="E4" s="672" t="n"/>
      <c r="F4" s="672" t="n"/>
      <c r="G4" s="672" t="n"/>
      <c r="H4" s="226" t="n"/>
      <c r="I4" s="226" t="n"/>
      <c r="J4" s="672" t="n">
        <v>0</v>
      </c>
      <c r="K4" s="226" t="n"/>
      <c r="L4" s="226" t="n"/>
      <c r="M4" s="226" t="n"/>
      <c r="N4" s="226" t="n"/>
      <c r="O4" s="226" t="n"/>
      <c r="P4" s="226" t="n"/>
      <c r="Q4" s="226" t="n"/>
      <c r="R4" s="227">
        <f>'1.建行Q1'!R23</f>
        <v/>
      </c>
      <c r="S4" s="226" t="n"/>
      <c r="T4" s="226" t="n"/>
      <c r="U4" s="228" t="n"/>
      <c r="V4" s="226" t="n"/>
      <c r="W4" s="226" t="n"/>
      <c r="X4" s="226" t="n"/>
      <c r="Y4" s="226" t="n"/>
      <c r="Z4" s="226" t="n"/>
      <c r="AA4" s="229" t="n"/>
      <c r="AB4" s="229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30" t="n"/>
      <c r="BE4" s="226" t="n"/>
      <c r="BF4" s="230" t="n"/>
    </row>
    <row r="5" ht="15" customFormat="1" customHeight="1" s="191">
      <c r="A5" s="231" t="n"/>
      <c r="B5" s="232" t="n"/>
      <c r="C5" s="673">
        <f>SUM(Z5:AC5)</f>
        <v/>
      </c>
      <c r="D5" s="673">
        <f>SUM(AD5:AK5)</f>
        <v/>
      </c>
      <c r="E5" s="685">
        <f>SUM(AL5:AT5)</f>
        <v/>
      </c>
      <c r="F5" s="685">
        <f>SUM(AU5:AW5)</f>
        <v/>
      </c>
      <c r="G5" s="685">
        <f>SUM(AX5:BB5)</f>
        <v/>
      </c>
      <c r="H5" s="685">
        <f>SUM(BC5:BD5)</f>
        <v/>
      </c>
      <c r="I5" s="685">
        <f>SUM(V5:Y5)</f>
        <v/>
      </c>
      <c r="J5" s="686">
        <f>SUM(C5:I5)</f>
        <v/>
      </c>
      <c r="K5" s="687" t="n"/>
      <c r="L5" s="688" t="n"/>
      <c r="M5" s="689" t="n"/>
      <c r="N5" s="690" t="n"/>
      <c r="O5" s="691" t="n"/>
      <c r="P5" s="690" t="n"/>
      <c r="Q5" s="690" t="n"/>
      <c r="R5" s="692">
        <f>R4+SUM(N5:Q5)-SUM(J5:M5)</f>
        <v/>
      </c>
      <c r="S5" s="242" t="n"/>
      <c r="T5" s="813" t="n"/>
      <c r="U5" s="814" t="n"/>
      <c r="V5" s="693" t="n"/>
      <c r="W5" s="673" t="n"/>
      <c r="X5" s="673" t="n"/>
      <c r="Y5" s="673" t="n"/>
      <c r="Z5" s="673" t="n"/>
      <c r="AA5" s="694" t="n"/>
      <c r="AB5" s="709" t="n"/>
      <c r="AC5" s="696" t="n"/>
      <c r="AD5" s="815" t="n"/>
      <c r="AE5" s="714" t="n"/>
      <c r="AF5" s="816" t="n"/>
      <c r="AG5" s="816" t="n"/>
      <c r="AH5" s="816" t="n"/>
      <c r="AI5" s="816" t="n"/>
      <c r="AJ5" s="816" t="n"/>
      <c r="AK5" s="715" t="n"/>
      <c r="AL5" s="817" t="n"/>
      <c r="AM5" s="816" t="n"/>
      <c r="AN5" s="816" t="n"/>
      <c r="AO5" s="816" t="n"/>
      <c r="AP5" s="816" t="n"/>
      <c r="AQ5" s="816" t="n"/>
      <c r="AR5" s="816" t="n"/>
      <c r="AS5" s="816" t="n"/>
      <c r="AT5" s="818" t="n"/>
      <c r="AU5" s="714" t="n"/>
      <c r="AV5" s="715" t="n"/>
      <c r="AW5" s="713" t="n"/>
      <c r="AX5" s="711" t="n"/>
      <c r="AY5" s="703" t="n"/>
      <c r="AZ5" s="703" t="n"/>
      <c r="BA5" s="703" t="n"/>
      <c r="BB5" s="710" t="n"/>
      <c r="BC5" s="702" t="n"/>
      <c r="BD5" s="710" t="n"/>
      <c r="BE5" s="702" t="n"/>
      <c r="BF5" s="696" t="n"/>
    </row>
    <row r="6" ht="15" customFormat="1" customHeight="1" s="191">
      <c r="A6" s="819" t="n"/>
      <c r="B6" s="820" t="n"/>
      <c r="C6" s="821">
        <f>SUM(Z6:AC6)</f>
        <v/>
      </c>
      <c r="D6" s="821">
        <f>SUM(AD6:AK6)</f>
        <v/>
      </c>
      <c r="E6" s="822">
        <f>SUM(AL6:AT6)</f>
        <v/>
      </c>
      <c r="F6" s="822">
        <f>SUM(AU6:AW6)</f>
        <v/>
      </c>
      <c r="G6" s="822">
        <f>SUM(AX6:BB6)</f>
        <v/>
      </c>
      <c r="H6" s="822">
        <f>SUM(BC6:BD6)</f>
        <v/>
      </c>
      <c r="I6" s="822">
        <f>SUM(V6:Y6)</f>
        <v/>
      </c>
      <c r="J6" s="823">
        <f>SUM(C6:I6)</f>
        <v/>
      </c>
      <c r="K6" s="824" t="n"/>
      <c r="L6" s="825" t="n"/>
      <c r="M6" s="826" t="n"/>
      <c r="N6" s="827" t="n"/>
      <c r="O6" s="828" t="n"/>
      <c r="P6" s="827" t="n"/>
      <c r="Q6" s="827" t="n"/>
      <c r="R6" s="829">
        <f>R5+SUM(N6:Q6)-SUM(J6:M6)</f>
        <v/>
      </c>
      <c r="S6" s="830" t="n"/>
      <c r="T6" s="831" t="n"/>
      <c r="U6" s="832" t="n"/>
      <c r="V6" s="833" t="n"/>
      <c r="W6" s="821" t="n"/>
      <c r="X6" s="821" t="n"/>
      <c r="Y6" s="821" t="n"/>
      <c r="Z6" s="821" t="n"/>
      <c r="AA6" s="834" t="n"/>
      <c r="AB6" s="835" t="n"/>
      <c r="AC6" s="836" t="n"/>
      <c r="AD6" s="837" t="n"/>
      <c r="AE6" s="838" t="n"/>
      <c r="AF6" s="839" t="n"/>
      <c r="AG6" s="839" t="n"/>
      <c r="AH6" s="839" t="n"/>
      <c r="AI6" s="839" t="n"/>
      <c r="AJ6" s="839" t="n"/>
      <c r="AK6" s="840" t="n"/>
      <c r="AL6" s="841" t="n"/>
      <c r="AM6" s="839" t="n"/>
      <c r="AN6" s="839" t="n"/>
      <c r="AO6" s="839" t="n"/>
      <c r="AP6" s="839" t="n"/>
      <c r="AQ6" s="839" t="n"/>
      <c r="AR6" s="839" t="n"/>
      <c r="AS6" s="839" t="n"/>
      <c r="AT6" s="842" t="n"/>
      <c r="AU6" s="838" t="n"/>
      <c r="AV6" s="840" t="n"/>
      <c r="AW6" s="843" t="n"/>
      <c r="AX6" s="844" t="n"/>
      <c r="AY6" s="845" t="n"/>
      <c r="AZ6" s="845" t="n"/>
      <c r="BA6" s="845" t="n"/>
      <c r="BB6" s="846" t="n"/>
      <c r="BC6" s="847" t="n"/>
      <c r="BD6" s="846" t="n"/>
      <c r="BE6" s="847" t="n"/>
      <c r="BF6" s="836" t="n"/>
    </row>
    <row r="7" ht="15" customFormat="1" customHeight="1" s="191">
      <c r="A7" s="819" t="n"/>
      <c r="B7" s="820" t="n"/>
      <c r="C7" s="821">
        <f>SUM(Z7:AC7)</f>
        <v/>
      </c>
      <c r="D7" s="821">
        <f>SUM(AD7:AK7)</f>
        <v/>
      </c>
      <c r="E7" s="822">
        <f>SUM(AL7:AT7)</f>
        <v/>
      </c>
      <c r="F7" s="822">
        <f>SUM(AU7:AW7)</f>
        <v/>
      </c>
      <c r="G7" s="822">
        <f>SUM(AX7:BB7)</f>
        <v/>
      </c>
      <c r="H7" s="822">
        <f>SUM(BC7:BD7)</f>
        <v/>
      </c>
      <c r="I7" s="822">
        <f>SUM(V7:Y7)</f>
        <v/>
      </c>
      <c r="J7" s="823">
        <f>SUM(C7:I7)</f>
        <v/>
      </c>
      <c r="K7" s="824" t="n"/>
      <c r="L7" s="825" t="n"/>
      <c r="M7" s="826" t="n"/>
      <c r="N7" s="827" t="n"/>
      <c r="O7" s="828" t="n"/>
      <c r="P7" s="827" t="n"/>
      <c r="Q7" s="827" t="n"/>
      <c r="R7" s="829">
        <f>R6+SUM(N7:Q7)-SUM(J7:M7)</f>
        <v/>
      </c>
      <c r="S7" s="830" t="n"/>
      <c r="T7" s="831" t="n"/>
      <c r="U7" s="832" t="n"/>
      <c r="V7" s="833" t="n"/>
      <c r="W7" s="821" t="n"/>
      <c r="X7" s="821" t="n"/>
      <c r="Y7" s="821" t="n"/>
      <c r="Z7" s="821" t="n"/>
      <c r="AA7" s="834" t="n"/>
      <c r="AB7" s="835" t="n"/>
      <c r="AC7" s="836" t="n"/>
      <c r="AD7" s="837" t="n"/>
      <c r="AE7" s="838" t="n"/>
      <c r="AF7" s="839" t="n"/>
      <c r="AG7" s="839" t="n"/>
      <c r="AH7" s="839" t="n"/>
      <c r="AI7" s="839" t="n"/>
      <c r="AJ7" s="839" t="n"/>
      <c r="AK7" s="840" t="n"/>
      <c r="AL7" s="841" t="n"/>
      <c r="AM7" s="839" t="n"/>
      <c r="AN7" s="839" t="n"/>
      <c r="AO7" s="839" t="n"/>
      <c r="AP7" s="839" t="n"/>
      <c r="AQ7" s="839" t="n"/>
      <c r="AR7" s="839" t="n"/>
      <c r="AS7" s="839" t="n"/>
      <c r="AT7" s="842" t="n"/>
      <c r="AU7" s="838" t="n"/>
      <c r="AV7" s="840" t="n"/>
      <c r="AW7" s="843" t="n"/>
      <c r="AX7" s="844" t="n"/>
      <c r="AY7" s="845" t="n"/>
      <c r="AZ7" s="845" t="n"/>
      <c r="BA7" s="845" t="n"/>
      <c r="BB7" s="846" t="n"/>
      <c r="BC7" s="847" t="n"/>
      <c r="BD7" s="846" t="n"/>
      <c r="BE7" s="847" t="n"/>
      <c r="BF7" s="836" t="n"/>
    </row>
    <row r="8" ht="15" customFormat="1" customHeight="1" s="191">
      <c r="A8" s="819" t="n"/>
      <c r="B8" s="820" t="n"/>
      <c r="C8" s="821">
        <f>SUM(Z8:AC8)</f>
        <v/>
      </c>
      <c r="D8" s="821">
        <f>SUM(AD8:AK8)</f>
        <v/>
      </c>
      <c r="E8" s="822">
        <f>SUM(AL8:AT8)</f>
        <v/>
      </c>
      <c r="F8" s="822">
        <f>SUM(AU8:AW8)</f>
        <v/>
      </c>
      <c r="G8" s="822">
        <f>SUM(AX8:BB8)</f>
        <v/>
      </c>
      <c r="H8" s="822">
        <f>SUM(BC8:BD8)</f>
        <v/>
      </c>
      <c r="I8" s="822">
        <f>SUM(V8:Y8)</f>
        <v/>
      </c>
      <c r="J8" s="823">
        <f>SUM(C8:I8)</f>
        <v/>
      </c>
      <c r="K8" s="824" t="n"/>
      <c r="L8" s="825" t="n"/>
      <c r="M8" s="826" t="n"/>
      <c r="N8" s="827" t="n"/>
      <c r="O8" s="828" t="n"/>
      <c r="P8" s="827" t="n"/>
      <c r="Q8" s="827" t="n"/>
      <c r="R8" s="829">
        <f>R7+SUM(N8:Q8)-SUM(J8:M8)</f>
        <v/>
      </c>
      <c r="S8" s="830" t="n"/>
      <c r="T8" s="831" t="n"/>
      <c r="U8" s="832" t="n"/>
      <c r="V8" s="833" t="n"/>
      <c r="W8" s="821" t="n"/>
      <c r="X8" s="821" t="n"/>
      <c r="Y8" s="821" t="n"/>
      <c r="Z8" s="821" t="n"/>
      <c r="AA8" s="834" t="n"/>
      <c r="AB8" s="835" t="n"/>
      <c r="AC8" s="836" t="n"/>
      <c r="AD8" s="837" t="n"/>
      <c r="AE8" s="838" t="n"/>
      <c r="AF8" s="839" t="n"/>
      <c r="AG8" s="839" t="n"/>
      <c r="AH8" s="839" t="n"/>
      <c r="AI8" s="839" t="n"/>
      <c r="AJ8" s="839" t="n"/>
      <c r="AK8" s="840" t="n"/>
      <c r="AL8" s="841" t="n"/>
      <c r="AM8" s="839" t="n"/>
      <c r="AN8" s="839" t="n"/>
      <c r="AO8" s="839" t="n"/>
      <c r="AP8" s="839" t="n"/>
      <c r="AQ8" s="839" t="n"/>
      <c r="AR8" s="839" t="n"/>
      <c r="AS8" s="839" t="n"/>
      <c r="AT8" s="842" t="n"/>
      <c r="AU8" s="838" t="n"/>
      <c r="AV8" s="840" t="n"/>
      <c r="AW8" s="843" t="n"/>
      <c r="AX8" s="844" t="n"/>
      <c r="AY8" s="845" t="n"/>
      <c r="AZ8" s="845" t="n"/>
      <c r="BA8" s="845" t="n"/>
      <c r="BB8" s="846" t="n"/>
      <c r="BC8" s="847" t="n"/>
      <c r="BD8" s="846" t="n"/>
      <c r="BE8" s="847" t="n"/>
      <c r="BF8" s="836" t="n"/>
    </row>
    <row r="9" ht="15" customFormat="1" customHeight="1" s="191">
      <c r="A9" s="819" t="n"/>
      <c r="B9" s="820" t="n"/>
      <c r="C9" s="821">
        <f>SUM(Z9:AC9)</f>
        <v/>
      </c>
      <c r="D9" s="821">
        <f>SUM(AD9:AK9)</f>
        <v/>
      </c>
      <c r="E9" s="822">
        <f>SUM(AL9:AT9)</f>
        <v/>
      </c>
      <c r="F9" s="822">
        <f>SUM(AU9:AW9)</f>
        <v/>
      </c>
      <c r="G9" s="822">
        <f>SUM(AX9:BB9)</f>
        <v/>
      </c>
      <c r="H9" s="822">
        <f>SUM(BC9:BD9)</f>
        <v/>
      </c>
      <c r="I9" s="822">
        <f>SUM(V9:Y9)</f>
        <v/>
      </c>
      <c r="J9" s="823">
        <f>SUM(C9:I9)</f>
        <v/>
      </c>
      <c r="K9" s="824" t="n"/>
      <c r="L9" s="825" t="n"/>
      <c r="M9" s="826" t="n"/>
      <c r="N9" s="827" t="n"/>
      <c r="O9" s="828" t="n"/>
      <c r="P9" s="827" t="n"/>
      <c r="Q9" s="827" t="n"/>
      <c r="R9" s="829">
        <f>R8+SUM(N9:Q9)-SUM(J9:M9)</f>
        <v/>
      </c>
      <c r="S9" s="830" t="n"/>
      <c r="T9" s="831" t="n"/>
      <c r="U9" s="832" t="n"/>
      <c r="V9" s="833" t="n"/>
      <c r="W9" s="821" t="n"/>
      <c r="X9" s="821" t="n"/>
      <c r="Y9" s="821" t="n"/>
      <c r="Z9" s="821" t="n"/>
      <c r="AA9" s="834" t="n"/>
      <c r="AB9" s="835" t="n"/>
      <c r="AC9" s="836" t="n"/>
      <c r="AD9" s="837" t="n"/>
      <c r="AE9" s="838" t="n"/>
      <c r="AF9" s="839" t="n"/>
      <c r="AG9" s="839" t="n"/>
      <c r="AH9" s="839" t="n"/>
      <c r="AI9" s="839" t="n"/>
      <c r="AJ9" s="839" t="n"/>
      <c r="AK9" s="840" t="n"/>
      <c r="AL9" s="841" t="n"/>
      <c r="AM9" s="839" t="n"/>
      <c r="AN9" s="839" t="n"/>
      <c r="AO9" s="839" t="n"/>
      <c r="AP9" s="839" t="n"/>
      <c r="AQ9" s="839" t="n"/>
      <c r="AR9" s="839" t="n"/>
      <c r="AS9" s="839" t="n"/>
      <c r="AT9" s="842" t="n"/>
      <c r="AU9" s="838" t="n"/>
      <c r="AV9" s="840" t="n"/>
      <c r="AW9" s="843" t="n"/>
      <c r="AX9" s="844" t="n"/>
      <c r="AY9" s="845" t="n"/>
      <c r="AZ9" s="845" t="n"/>
      <c r="BA9" s="845" t="n"/>
      <c r="BB9" s="846" t="n"/>
      <c r="BC9" s="847" t="n"/>
      <c r="BD9" s="846" t="n"/>
      <c r="BE9" s="847" t="n"/>
      <c r="BF9" s="836" t="n"/>
    </row>
    <row r="10" ht="15" customFormat="1" customHeight="1" s="191">
      <c r="A10" s="819" t="n"/>
      <c r="B10" s="820" t="n"/>
      <c r="C10" s="821">
        <f>SUM(Z10:AC10)</f>
        <v/>
      </c>
      <c r="D10" s="821">
        <f>SUM(AD10:AK10)</f>
        <v/>
      </c>
      <c r="E10" s="822">
        <f>SUM(AL10:AT10)</f>
        <v/>
      </c>
      <c r="F10" s="822">
        <f>SUM(AU10:AW10)</f>
        <v/>
      </c>
      <c r="G10" s="822">
        <f>SUM(AX10:BB10)</f>
        <v/>
      </c>
      <c r="H10" s="822">
        <f>SUM(BC10:BD10)</f>
        <v/>
      </c>
      <c r="I10" s="822">
        <f>SUM(V10:Y10)</f>
        <v/>
      </c>
      <c r="J10" s="823">
        <f>SUM(C10:I10)</f>
        <v/>
      </c>
      <c r="K10" s="824" t="n"/>
      <c r="L10" s="825" t="n"/>
      <c r="M10" s="826" t="n"/>
      <c r="N10" s="827" t="n"/>
      <c r="O10" s="828" t="n"/>
      <c r="P10" s="827" t="n"/>
      <c r="Q10" s="827" t="n"/>
      <c r="R10" s="829">
        <f>R9+SUM(N10:Q10)-SUM(J10:M10)</f>
        <v/>
      </c>
      <c r="S10" s="830" t="n"/>
      <c r="T10" s="831" t="n"/>
      <c r="U10" s="832" t="n"/>
      <c r="V10" s="833" t="n"/>
      <c r="W10" s="821" t="n"/>
      <c r="X10" s="821" t="n"/>
      <c r="Y10" s="821" t="n"/>
      <c r="Z10" s="821" t="n"/>
      <c r="AA10" s="834" t="n"/>
      <c r="AB10" s="835" t="n"/>
      <c r="AC10" s="836" t="n"/>
      <c r="AD10" s="837" t="n"/>
      <c r="AE10" s="838" t="n"/>
      <c r="AF10" s="839" t="n"/>
      <c r="AG10" s="839" t="n"/>
      <c r="AH10" s="839" t="n"/>
      <c r="AI10" s="839" t="n"/>
      <c r="AJ10" s="839" t="n"/>
      <c r="AK10" s="840" t="n"/>
      <c r="AL10" s="841" t="n"/>
      <c r="AM10" s="839" t="n"/>
      <c r="AN10" s="839" t="n"/>
      <c r="AO10" s="839" t="n"/>
      <c r="AP10" s="839" t="n"/>
      <c r="AQ10" s="839" t="n"/>
      <c r="AR10" s="839" t="n"/>
      <c r="AS10" s="839" t="n"/>
      <c r="AT10" s="842" t="n"/>
      <c r="AU10" s="838" t="n"/>
      <c r="AV10" s="840" t="n"/>
      <c r="AW10" s="843" t="n"/>
      <c r="AX10" s="844" t="n"/>
      <c r="AY10" s="845" t="n"/>
      <c r="AZ10" s="845" t="n"/>
      <c r="BA10" s="845" t="n"/>
      <c r="BB10" s="846" t="n"/>
      <c r="BC10" s="847" t="n"/>
      <c r="BD10" s="846" t="n"/>
      <c r="BE10" s="847" t="n"/>
      <c r="BF10" s="836" t="n"/>
    </row>
    <row r="11" ht="15" customFormat="1" customHeight="1" s="191">
      <c r="A11" s="819" t="n"/>
      <c r="B11" s="820" t="n"/>
      <c r="C11" s="821">
        <f>SUM(Z11:AC11)</f>
        <v/>
      </c>
      <c r="D11" s="821">
        <f>SUM(AD11:AK11)</f>
        <v/>
      </c>
      <c r="E11" s="822">
        <f>SUM(AL11:AT11)</f>
        <v/>
      </c>
      <c r="F11" s="822">
        <f>SUM(AU11:AW11)</f>
        <v/>
      </c>
      <c r="G11" s="822">
        <f>SUM(AX11:BB11)</f>
        <v/>
      </c>
      <c r="H11" s="822">
        <f>SUM(BC11:BD11)</f>
        <v/>
      </c>
      <c r="I11" s="822">
        <f>SUM(V11:Y11)</f>
        <v/>
      </c>
      <c r="J11" s="823">
        <f>SUM(C11:I11)</f>
        <v/>
      </c>
      <c r="K11" s="824" t="n"/>
      <c r="L11" s="825" t="n"/>
      <c r="M11" s="826" t="n"/>
      <c r="N11" s="827" t="n"/>
      <c r="O11" s="828" t="n"/>
      <c r="P11" s="827" t="n"/>
      <c r="Q11" s="827" t="n"/>
      <c r="R11" s="829">
        <f>R10+SUM(N11:Q11)-SUM(J11:M11)</f>
        <v/>
      </c>
      <c r="S11" s="830" t="n"/>
      <c r="T11" s="831" t="n"/>
      <c r="U11" s="832" t="n"/>
      <c r="V11" s="833" t="n"/>
      <c r="W11" s="821" t="n"/>
      <c r="X11" s="821" t="n"/>
      <c r="Y11" s="821" t="n"/>
      <c r="Z11" s="821" t="n"/>
      <c r="AA11" s="834" t="n"/>
      <c r="AB11" s="835" t="n"/>
      <c r="AC11" s="836" t="n"/>
      <c r="AD11" s="837" t="n"/>
      <c r="AE11" s="838" t="n"/>
      <c r="AF11" s="839" t="n"/>
      <c r="AG11" s="839" t="n"/>
      <c r="AH11" s="839" t="n"/>
      <c r="AI11" s="839" t="n"/>
      <c r="AJ11" s="839" t="n"/>
      <c r="AK11" s="840" t="n"/>
      <c r="AL11" s="841" t="n"/>
      <c r="AM11" s="839" t="n"/>
      <c r="AN11" s="839" t="n"/>
      <c r="AO11" s="839" t="n"/>
      <c r="AP11" s="839" t="n"/>
      <c r="AQ11" s="839" t="n"/>
      <c r="AR11" s="839" t="n"/>
      <c r="AS11" s="839" t="n"/>
      <c r="AT11" s="842" t="n"/>
      <c r="AU11" s="838" t="n"/>
      <c r="AV11" s="840" t="n"/>
      <c r="AW11" s="843" t="n"/>
      <c r="AX11" s="844" t="n"/>
      <c r="AY11" s="845" t="n"/>
      <c r="AZ11" s="845" t="n"/>
      <c r="BA11" s="845" t="n"/>
      <c r="BB11" s="846" t="n"/>
      <c r="BC11" s="847" t="n"/>
      <c r="BD11" s="846" t="n"/>
      <c r="BE11" s="847" t="n"/>
      <c r="BF11" s="836" t="n"/>
    </row>
    <row r="12" ht="15" customFormat="1" customHeight="1" s="191">
      <c r="A12" s="819" t="n"/>
      <c r="B12" s="820" t="n"/>
      <c r="C12" s="821">
        <f>SUM(Z12:AC12)</f>
        <v/>
      </c>
      <c r="D12" s="821">
        <f>SUM(AD12:AK12)</f>
        <v/>
      </c>
      <c r="E12" s="822">
        <f>SUM(AL12:AT12)</f>
        <v/>
      </c>
      <c r="F12" s="822">
        <f>SUM(AU12:AW12)</f>
        <v/>
      </c>
      <c r="G12" s="822">
        <f>SUM(AX12:BB12)</f>
        <v/>
      </c>
      <c r="H12" s="822">
        <f>SUM(BC12:BD12)</f>
        <v/>
      </c>
      <c r="I12" s="822">
        <f>SUM(V12:Y12)</f>
        <v/>
      </c>
      <c r="J12" s="823">
        <f>SUM(C12:I12)</f>
        <v/>
      </c>
      <c r="K12" s="824" t="n"/>
      <c r="L12" s="825" t="n"/>
      <c r="M12" s="826" t="n"/>
      <c r="N12" s="827" t="n"/>
      <c r="O12" s="828" t="n"/>
      <c r="P12" s="827" t="n"/>
      <c r="Q12" s="827" t="n"/>
      <c r="R12" s="829">
        <f>R11+SUM(N12:Q12)-SUM(J12:M12)</f>
        <v/>
      </c>
      <c r="S12" s="830" t="n"/>
      <c r="T12" s="831" t="n"/>
      <c r="U12" s="832" t="n"/>
      <c r="V12" s="833" t="n"/>
      <c r="W12" s="821" t="n"/>
      <c r="X12" s="821" t="n"/>
      <c r="Y12" s="821" t="n"/>
      <c r="Z12" s="821" t="n"/>
      <c r="AA12" s="834" t="n"/>
      <c r="AB12" s="835" t="n"/>
      <c r="AC12" s="836" t="n"/>
      <c r="AD12" s="837" t="n"/>
      <c r="AE12" s="838" t="n"/>
      <c r="AF12" s="839" t="n"/>
      <c r="AG12" s="839" t="n"/>
      <c r="AH12" s="839" t="n"/>
      <c r="AI12" s="839" t="n"/>
      <c r="AJ12" s="839" t="n"/>
      <c r="AK12" s="840" t="n"/>
      <c r="AL12" s="841" t="n"/>
      <c r="AM12" s="839" t="n"/>
      <c r="AN12" s="839" t="n"/>
      <c r="AO12" s="839" t="n"/>
      <c r="AP12" s="839" t="n"/>
      <c r="AQ12" s="839" t="n"/>
      <c r="AR12" s="839" t="n"/>
      <c r="AS12" s="839" t="n"/>
      <c r="AT12" s="842" t="n"/>
      <c r="AU12" s="838" t="n"/>
      <c r="AV12" s="840" t="n"/>
      <c r="AW12" s="843" t="n"/>
      <c r="AX12" s="844" t="n"/>
      <c r="AY12" s="845" t="n"/>
      <c r="AZ12" s="845" t="n"/>
      <c r="BA12" s="845" t="n"/>
      <c r="BB12" s="846" t="n"/>
      <c r="BC12" s="847" t="n"/>
      <c r="BD12" s="846" t="n"/>
      <c r="BE12" s="847" t="n"/>
      <c r="BF12" s="836" t="n"/>
    </row>
    <row r="13" ht="15" customFormat="1" customHeight="1" s="191">
      <c r="A13" s="819" t="n"/>
      <c r="B13" s="820" t="n"/>
      <c r="C13" s="821">
        <f>SUM(Z13:AC13)</f>
        <v/>
      </c>
      <c r="D13" s="821">
        <f>SUM(AD13:AK13)</f>
        <v/>
      </c>
      <c r="E13" s="822">
        <f>SUM(AL13:AT13)</f>
        <v/>
      </c>
      <c r="F13" s="822">
        <f>SUM(AU13:AW13)</f>
        <v/>
      </c>
      <c r="G13" s="822">
        <f>SUM(AX13:BB13)</f>
        <v/>
      </c>
      <c r="H13" s="822">
        <f>SUM(BC13:BD13)</f>
        <v/>
      </c>
      <c r="I13" s="822">
        <f>SUM(V13:Y13)</f>
        <v/>
      </c>
      <c r="J13" s="823">
        <f>SUM(C13:I13)</f>
        <v/>
      </c>
      <c r="K13" s="824" t="n"/>
      <c r="L13" s="825" t="n"/>
      <c r="M13" s="826" t="n"/>
      <c r="N13" s="827" t="n"/>
      <c r="O13" s="828" t="n"/>
      <c r="P13" s="827" t="n"/>
      <c r="Q13" s="827" t="n"/>
      <c r="R13" s="829">
        <f>R12+SUM(N13:Q13)-SUM(J13:M13)</f>
        <v/>
      </c>
      <c r="S13" s="830" t="n"/>
      <c r="T13" s="831" t="n"/>
      <c r="U13" s="832" t="n"/>
      <c r="V13" s="833" t="n"/>
      <c r="W13" s="821" t="n"/>
      <c r="X13" s="821" t="n"/>
      <c r="Y13" s="821" t="n"/>
      <c r="Z13" s="821" t="n"/>
      <c r="AA13" s="834" t="n"/>
      <c r="AB13" s="835" t="n"/>
      <c r="AC13" s="836" t="n"/>
      <c r="AD13" s="837" t="n"/>
      <c r="AE13" s="838" t="n"/>
      <c r="AF13" s="839" t="n"/>
      <c r="AG13" s="839" t="n"/>
      <c r="AH13" s="839" t="n"/>
      <c r="AI13" s="839" t="n"/>
      <c r="AJ13" s="839" t="n"/>
      <c r="AK13" s="840" t="n"/>
      <c r="AL13" s="841" t="n"/>
      <c r="AM13" s="839" t="n"/>
      <c r="AN13" s="839" t="n"/>
      <c r="AO13" s="839" t="n"/>
      <c r="AP13" s="839" t="n"/>
      <c r="AQ13" s="839" t="n"/>
      <c r="AR13" s="839" t="n"/>
      <c r="AS13" s="839" t="n"/>
      <c r="AT13" s="842" t="n"/>
      <c r="AU13" s="838" t="n"/>
      <c r="AV13" s="840" t="n"/>
      <c r="AW13" s="843" t="n"/>
      <c r="AX13" s="844" t="n"/>
      <c r="AY13" s="845" t="n"/>
      <c r="AZ13" s="845" t="n"/>
      <c r="BA13" s="845" t="n"/>
      <c r="BB13" s="846" t="n"/>
      <c r="BC13" s="847" t="n"/>
      <c r="BD13" s="846" t="n"/>
      <c r="BE13" s="847" t="n"/>
      <c r="BF13" s="836" t="n"/>
    </row>
    <row r="14" ht="15" customFormat="1" customHeight="1" s="191">
      <c r="A14" s="819" t="n"/>
      <c r="B14" s="820" t="n"/>
      <c r="C14" s="821">
        <f>SUM(Z14:AC14)</f>
        <v/>
      </c>
      <c r="D14" s="821">
        <f>SUM(AD14:AK14)</f>
        <v/>
      </c>
      <c r="E14" s="822">
        <f>SUM(AL14:AT14)</f>
        <v/>
      </c>
      <c r="F14" s="822">
        <f>SUM(AU14:AW14)</f>
        <v/>
      </c>
      <c r="G14" s="822">
        <f>SUM(AX14:BB14)</f>
        <v/>
      </c>
      <c r="H14" s="822">
        <f>SUM(BC14:BD14)</f>
        <v/>
      </c>
      <c r="I14" s="822">
        <f>SUM(V14:Y14)</f>
        <v/>
      </c>
      <c r="J14" s="823">
        <f>SUM(C14:I14)</f>
        <v/>
      </c>
      <c r="K14" s="824" t="n"/>
      <c r="L14" s="825" t="n"/>
      <c r="M14" s="826" t="n"/>
      <c r="N14" s="827" t="n"/>
      <c r="O14" s="828" t="n"/>
      <c r="P14" s="827" t="n"/>
      <c r="Q14" s="827" t="n"/>
      <c r="R14" s="829">
        <f>R13+SUM(N14:Q14)-SUM(J14:M14)</f>
        <v/>
      </c>
      <c r="S14" s="830" t="n"/>
      <c r="T14" s="831" t="n"/>
      <c r="U14" s="832" t="n"/>
      <c r="V14" s="833" t="n"/>
      <c r="W14" s="821" t="n"/>
      <c r="X14" s="821" t="n"/>
      <c r="Y14" s="821" t="n"/>
      <c r="Z14" s="821" t="n"/>
      <c r="AA14" s="834" t="n"/>
      <c r="AB14" s="835" t="n"/>
      <c r="AC14" s="836" t="n"/>
      <c r="AD14" s="837" t="n"/>
      <c r="AE14" s="838" t="n"/>
      <c r="AF14" s="839" t="n"/>
      <c r="AG14" s="839" t="n"/>
      <c r="AH14" s="839" t="n"/>
      <c r="AI14" s="839" t="n"/>
      <c r="AJ14" s="839" t="n"/>
      <c r="AK14" s="840" t="n"/>
      <c r="AL14" s="841" t="n"/>
      <c r="AM14" s="839" t="n"/>
      <c r="AN14" s="839" t="n"/>
      <c r="AO14" s="839" t="n"/>
      <c r="AP14" s="839" t="n"/>
      <c r="AQ14" s="839" t="n"/>
      <c r="AR14" s="839" t="n"/>
      <c r="AS14" s="839" t="n"/>
      <c r="AT14" s="842" t="n"/>
      <c r="AU14" s="838" t="n"/>
      <c r="AV14" s="840" t="n"/>
      <c r="AW14" s="843" t="n"/>
      <c r="AX14" s="844" t="n"/>
      <c r="AY14" s="845" t="n"/>
      <c r="AZ14" s="845" t="n"/>
      <c r="BA14" s="845" t="n"/>
      <c r="BB14" s="846" t="n"/>
      <c r="BC14" s="847" t="n"/>
      <c r="BD14" s="846" t="n"/>
      <c r="BE14" s="847" t="n"/>
      <c r="BF14" s="836" t="n"/>
    </row>
    <row r="15" ht="15" customFormat="1" customHeight="1" s="191">
      <c r="A15" s="819" t="n"/>
      <c r="B15" s="820" t="n"/>
      <c r="C15" s="821">
        <f>SUM(Z15:AC15)</f>
        <v/>
      </c>
      <c r="D15" s="821">
        <f>SUM(AD15:AK15)</f>
        <v/>
      </c>
      <c r="E15" s="822">
        <f>SUM(AL15:AT15)</f>
        <v/>
      </c>
      <c r="F15" s="822">
        <f>SUM(AU15:AW15)</f>
        <v/>
      </c>
      <c r="G15" s="822">
        <f>SUM(AX15:BB15)</f>
        <v/>
      </c>
      <c r="H15" s="822">
        <f>SUM(BC15:BD15)</f>
        <v/>
      </c>
      <c r="I15" s="822">
        <f>SUM(V15:Y15)</f>
        <v/>
      </c>
      <c r="J15" s="823">
        <f>SUM(C15:I15)</f>
        <v/>
      </c>
      <c r="K15" s="824" t="n"/>
      <c r="L15" s="825" t="n"/>
      <c r="M15" s="826" t="n"/>
      <c r="N15" s="827" t="n"/>
      <c r="O15" s="828" t="n"/>
      <c r="P15" s="827" t="n"/>
      <c r="Q15" s="827" t="n"/>
      <c r="R15" s="829">
        <f>R14+SUM(N15:Q15)-SUM(J15:M15)</f>
        <v/>
      </c>
      <c r="S15" s="830" t="n"/>
      <c r="T15" s="831" t="n"/>
      <c r="U15" s="832" t="n"/>
      <c r="V15" s="833" t="n"/>
      <c r="W15" s="821" t="n"/>
      <c r="X15" s="821" t="n"/>
      <c r="Y15" s="821" t="n"/>
      <c r="Z15" s="821" t="n"/>
      <c r="AA15" s="834" t="n"/>
      <c r="AB15" s="835" t="n"/>
      <c r="AC15" s="836" t="n"/>
      <c r="AD15" s="837" t="n"/>
      <c r="AE15" s="838" t="n"/>
      <c r="AF15" s="839" t="n"/>
      <c r="AG15" s="839" t="n"/>
      <c r="AH15" s="839" t="n"/>
      <c r="AI15" s="839" t="n"/>
      <c r="AJ15" s="839" t="n"/>
      <c r="AK15" s="840" t="n"/>
      <c r="AL15" s="841" t="n"/>
      <c r="AM15" s="839" t="n"/>
      <c r="AN15" s="839" t="n"/>
      <c r="AO15" s="839" t="n"/>
      <c r="AP15" s="839" t="n"/>
      <c r="AQ15" s="839" t="n"/>
      <c r="AR15" s="839" t="n"/>
      <c r="AS15" s="839" t="n"/>
      <c r="AT15" s="842" t="n"/>
      <c r="AU15" s="838" t="n"/>
      <c r="AV15" s="840" t="n"/>
      <c r="AW15" s="843" t="n"/>
      <c r="AX15" s="844" t="n"/>
      <c r="AY15" s="845" t="n"/>
      <c r="AZ15" s="845" t="n"/>
      <c r="BA15" s="845" t="n"/>
      <c r="BB15" s="846" t="n"/>
      <c r="BC15" s="847" t="n"/>
      <c r="BD15" s="846" t="n"/>
      <c r="BE15" s="847" t="n"/>
      <c r="BF15" s="836" t="n"/>
    </row>
    <row r="16" ht="15" customFormat="1" customHeight="1" s="191">
      <c r="A16" s="819" t="n"/>
      <c r="B16" s="820" t="n"/>
      <c r="C16" s="821">
        <f>SUM(Z16:AC16)</f>
        <v/>
      </c>
      <c r="D16" s="821">
        <f>SUM(AD16:AK16)</f>
        <v/>
      </c>
      <c r="E16" s="822">
        <f>SUM(AL16:AT16)</f>
        <v/>
      </c>
      <c r="F16" s="822">
        <f>SUM(AU16:AW16)</f>
        <v/>
      </c>
      <c r="G16" s="822">
        <f>SUM(AX16:BB16)</f>
        <v/>
      </c>
      <c r="H16" s="822">
        <f>SUM(BC16:BD16)</f>
        <v/>
      </c>
      <c r="I16" s="822">
        <f>SUM(V16:Y16)</f>
        <v/>
      </c>
      <c r="J16" s="823">
        <f>SUM(C16:I16)</f>
        <v/>
      </c>
      <c r="K16" s="824" t="n"/>
      <c r="L16" s="825" t="n"/>
      <c r="M16" s="826" t="n"/>
      <c r="N16" s="827" t="n"/>
      <c r="O16" s="828" t="n"/>
      <c r="P16" s="827" t="n"/>
      <c r="Q16" s="827" t="n"/>
      <c r="R16" s="829">
        <f>R15+SUM(N16:Q16)-SUM(J16:M16)</f>
        <v/>
      </c>
      <c r="S16" s="830" t="n"/>
      <c r="T16" s="831" t="n"/>
      <c r="U16" s="832" t="n"/>
      <c r="V16" s="833" t="n"/>
      <c r="W16" s="821" t="n"/>
      <c r="X16" s="821" t="n"/>
      <c r="Y16" s="821" t="n"/>
      <c r="Z16" s="821" t="n"/>
      <c r="AA16" s="834" t="n"/>
      <c r="AB16" s="835" t="n"/>
      <c r="AC16" s="836" t="n"/>
      <c r="AD16" s="837" t="n"/>
      <c r="AE16" s="838" t="n"/>
      <c r="AF16" s="839" t="n"/>
      <c r="AG16" s="839" t="n"/>
      <c r="AH16" s="839" t="n"/>
      <c r="AI16" s="839" t="n"/>
      <c r="AJ16" s="839" t="n"/>
      <c r="AK16" s="840" t="n"/>
      <c r="AL16" s="841" t="n"/>
      <c r="AM16" s="839" t="n"/>
      <c r="AN16" s="839" t="n"/>
      <c r="AO16" s="839" t="n"/>
      <c r="AP16" s="839" t="n"/>
      <c r="AQ16" s="839" t="n"/>
      <c r="AR16" s="839" t="n"/>
      <c r="AS16" s="839" t="n"/>
      <c r="AT16" s="842" t="n"/>
      <c r="AU16" s="838" t="n"/>
      <c r="AV16" s="840" t="n"/>
      <c r="AW16" s="843" t="n"/>
      <c r="AX16" s="844" t="n"/>
      <c r="AY16" s="845" t="n"/>
      <c r="AZ16" s="845" t="n"/>
      <c r="BA16" s="845" t="n"/>
      <c r="BB16" s="846" t="n"/>
      <c r="BC16" s="847" t="n"/>
      <c r="BD16" s="846" t="n"/>
      <c r="BE16" s="847" t="n"/>
      <c r="BF16" s="836" t="n"/>
    </row>
    <row r="17" ht="15" customFormat="1" customHeight="1" s="191">
      <c r="A17" s="819" t="n"/>
      <c r="B17" s="820" t="n"/>
      <c r="C17" s="821">
        <f>SUM(Z17:AC17)</f>
        <v/>
      </c>
      <c r="D17" s="821">
        <f>SUM(AD17:AK17)</f>
        <v/>
      </c>
      <c r="E17" s="822">
        <f>SUM(AL17:AT17)</f>
        <v/>
      </c>
      <c r="F17" s="822">
        <f>SUM(AU17:AW17)</f>
        <v/>
      </c>
      <c r="G17" s="822">
        <f>SUM(AX17:BB17)</f>
        <v/>
      </c>
      <c r="H17" s="822">
        <f>SUM(BC17:BD17)</f>
        <v/>
      </c>
      <c r="I17" s="822">
        <f>SUM(V17:Y17)</f>
        <v/>
      </c>
      <c r="J17" s="823">
        <f>SUM(C17:I17)</f>
        <v/>
      </c>
      <c r="K17" s="824" t="n"/>
      <c r="L17" s="825" t="n"/>
      <c r="M17" s="826" t="n"/>
      <c r="N17" s="827" t="n"/>
      <c r="O17" s="828" t="n"/>
      <c r="P17" s="827" t="n"/>
      <c r="Q17" s="827" t="n"/>
      <c r="R17" s="829">
        <f>R16+SUM(N17:Q17)-SUM(J17:M17)</f>
        <v/>
      </c>
      <c r="S17" s="830" t="n"/>
      <c r="T17" s="831" t="n"/>
      <c r="U17" s="832" t="n"/>
      <c r="V17" s="833" t="n"/>
      <c r="W17" s="821" t="n"/>
      <c r="X17" s="821" t="n"/>
      <c r="Y17" s="821" t="n"/>
      <c r="Z17" s="821" t="n"/>
      <c r="AA17" s="834" t="n"/>
      <c r="AB17" s="835" t="n"/>
      <c r="AC17" s="836" t="n"/>
      <c r="AD17" s="837" t="n"/>
      <c r="AE17" s="838" t="n"/>
      <c r="AF17" s="839" t="n"/>
      <c r="AG17" s="839" t="n"/>
      <c r="AH17" s="839" t="n"/>
      <c r="AI17" s="839" t="n"/>
      <c r="AJ17" s="839" t="n"/>
      <c r="AK17" s="840" t="n"/>
      <c r="AL17" s="841" t="n"/>
      <c r="AM17" s="839" t="n"/>
      <c r="AN17" s="839" t="n"/>
      <c r="AO17" s="839" t="n"/>
      <c r="AP17" s="839" t="n"/>
      <c r="AQ17" s="839" t="n"/>
      <c r="AR17" s="839" t="n"/>
      <c r="AS17" s="839" t="n"/>
      <c r="AT17" s="842" t="n"/>
      <c r="AU17" s="838" t="n"/>
      <c r="AV17" s="840" t="n"/>
      <c r="AW17" s="843" t="n"/>
      <c r="AX17" s="844" t="n"/>
      <c r="AY17" s="845" t="n"/>
      <c r="AZ17" s="845" t="n"/>
      <c r="BA17" s="845" t="n"/>
      <c r="BB17" s="846" t="n"/>
      <c r="BC17" s="847" t="n"/>
      <c r="BD17" s="846" t="n"/>
      <c r="BE17" s="847" t="n"/>
      <c r="BF17" s="836" t="n"/>
    </row>
    <row r="18" ht="15" customFormat="1" customHeight="1" s="191">
      <c r="A18" s="819" t="n"/>
      <c r="B18" s="820" t="n"/>
      <c r="C18" s="821">
        <f>SUM(Z18:AC18)</f>
        <v/>
      </c>
      <c r="D18" s="821">
        <f>SUM(AD18:AK18)</f>
        <v/>
      </c>
      <c r="E18" s="822">
        <f>SUM(AL18:AT18)</f>
        <v/>
      </c>
      <c r="F18" s="822">
        <f>SUM(AU18:AW18)</f>
        <v/>
      </c>
      <c r="G18" s="822">
        <f>SUM(AX18:BB18)</f>
        <v/>
      </c>
      <c r="H18" s="822">
        <f>SUM(BC18:BD18)</f>
        <v/>
      </c>
      <c r="I18" s="822">
        <f>SUM(V18:Y18)</f>
        <v/>
      </c>
      <c r="J18" s="823">
        <f>SUM(C18:I18)</f>
        <v/>
      </c>
      <c r="K18" s="824" t="n"/>
      <c r="L18" s="825" t="n"/>
      <c r="M18" s="826" t="n"/>
      <c r="N18" s="827" t="n"/>
      <c r="O18" s="828" t="n"/>
      <c r="P18" s="827" t="n"/>
      <c r="Q18" s="827" t="n"/>
      <c r="R18" s="829">
        <f>R17+SUM(N18:Q18)-SUM(J18:M18)</f>
        <v/>
      </c>
      <c r="S18" s="830" t="n"/>
      <c r="T18" s="831" t="n"/>
      <c r="U18" s="832" t="n"/>
      <c r="V18" s="833" t="n"/>
      <c r="W18" s="821" t="n"/>
      <c r="X18" s="821" t="n"/>
      <c r="Y18" s="821" t="n"/>
      <c r="Z18" s="821" t="n"/>
      <c r="AA18" s="834" t="n"/>
      <c r="AB18" s="835" t="n"/>
      <c r="AC18" s="836" t="n"/>
      <c r="AD18" s="837" t="n"/>
      <c r="AE18" s="838" t="n"/>
      <c r="AF18" s="839" t="n"/>
      <c r="AG18" s="839" t="n"/>
      <c r="AH18" s="839" t="n"/>
      <c r="AI18" s="839" t="n"/>
      <c r="AJ18" s="839" t="n"/>
      <c r="AK18" s="840" t="n"/>
      <c r="AL18" s="841" t="n"/>
      <c r="AM18" s="839" t="n"/>
      <c r="AN18" s="839" t="n"/>
      <c r="AO18" s="839" t="n"/>
      <c r="AP18" s="839" t="n"/>
      <c r="AQ18" s="839" t="n"/>
      <c r="AR18" s="839" t="n"/>
      <c r="AS18" s="839" t="n"/>
      <c r="AT18" s="842" t="n"/>
      <c r="AU18" s="838" t="n"/>
      <c r="AV18" s="840" t="n"/>
      <c r="AW18" s="843" t="n"/>
      <c r="AX18" s="844" t="n"/>
      <c r="AY18" s="845" t="n"/>
      <c r="AZ18" s="845" t="n"/>
      <c r="BA18" s="845" t="n"/>
      <c r="BB18" s="846" t="n"/>
      <c r="BC18" s="847" t="n"/>
      <c r="BD18" s="846" t="n"/>
      <c r="BE18" s="847" t="n"/>
      <c r="BF18" s="836" t="n"/>
    </row>
    <row r="19" ht="15" customFormat="1" customHeight="1" s="191">
      <c r="A19" s="819" t="n"/>
      <c r="B19" s="820" t="n"/>
      <c r="C19" s="821">
        <f>SUM(Z19:AC19)</f>
        <v/>
      </c>
      <c r="D19" s="821">
        <f>SUM(AD19:AK19)</f>
        <v/>
      </c>
      <c r="E19" s="822">
        <f>SUM(AL19:AT19)</f>
        <v/>
      </c>
      <c r="F19" s="822">
        <f>SUM(AU19:AW19)</f>
        <v/>
      </c>
      <c r="G19" s="822">
        <f>SUM(AX19:BB19)</f>
        <v/>
      </c>
      <c r="H19" s="822">
        <f>SUM(BC19:BD19)</f>
        <v/>
      </c>
      <c r="I19" s="822">
        <f>SUM(V19:Y19)</f>
        <v/>
      </c>
      <c r="J19" s="823">
        <f>SUM(C19:I19)</f>
        <v/>
      </c>
      <c r="K19" s="824" t="n"/>
      <c r="L19" s="825" t="n"/>
      <c r="M19" s="826" t="n"/>
      <c r="N19" s="827" t="n"/>
      <c r="O19" s="828" t="n"/>
      <c r="P19" s="827" t="n"/>
      <c r="Q19" s="827" t="n"/>
      <c r="R19" s="829">
        <f>R18+SUM(N19:Q19)-SUM(J19:M19)</f>
        <v/>
      </c>
      <c r="S19" s="830" t="n"/>
      <c r="T19" s="831" t="n"/>
      <c r="U19" s="832" t="n"/>
      <c r="V19" s="833" t="n"/>
      <c r="W19" s="821" t="n"/>
      <c r="X19" s="821" t="n"/>
      <c r="Y19" s="821" t="n"/>
      <c r="Z19" s="821" t="n"/>
      <c r="AA19" s="834" t="n"/>
      <c r="AB19" s="835" t="n"/>
      <c r="AC19" s="836" t="n"/>
      <c r="AD19" s="837" t="n"/>
      <c r="AE19" s="838" t="n"/>
      <c r="AF19" s="839" t="n"/>
      <c r="AG19" s="839" t="n"/>
      <c r="AH19" s="839" t="n"/>
      <c r="AI19" s="839" t="n"/>
      <c r="AJ19" s="839" t="n"/>
      <c r="AK19" s="840" t="n"/>
      <c r="AL19" s="841" t="n"/>
      <c r="AM19" s="839" t="n"/>
      <c r="AN19" s="839" t="n"/>
      <c r="AO19" s="839" t="n"/>
      <c r="AP19" s="839" t="n"/>
      <c r="AQ19" s="839" t="n"/>
      <c r="AR19" s="839" t="n"/>
      <c r="AS19" s="839" t="n"/>
      <c r="AT19" s="842" t="n"/>
      <c r="AU19" s="838" t="n"/>
      <c r="AV19" s="840" t="n"/>
      <c r="AW19" s="843" t="n"/>
      <c r="AX19" s="844" t="n"/>
      <c r="AY19" s="845" t="n"/>
      <c r="AZ19" s="845" t="n"/>
      <c r="BA19" s="845" t="n"/>
      <c r="BB19" s="846" t="n"/>
      <c r="BC19" s="847" t="n"/>
      <c r="BD19" s="846" t="n"/>
      <c r="BE19" s="847" t="n"/>
      <c r="BF19" s="836" t="n"/>
    </row>
    <row r="20" ht="15" customFormat="1" customHeight="1" s="191">
      <c r="A20" s="819" t="n"/>
      <c r="B20" s="820" t="n"/>
      <c r="C20" s="821">
        <f>SUM(Z20:AC20)</f>
        <v/>
      </c>
      <c r="D20" s="821">
        <f>SUM(AD20:AK20)</f>
        <v/>
      </c>
      <c r="E20" s="822">
        <f>SUM(AL20:AT20)</f>
        <v/>
      </c>
      <c r="F20" s="822">
        <f>SUM(AU20:AW20)</f>
        <v/>
      </c>
      <c r="G20" s="822">
        <f>SUM(AX20:BB20)</f>
        <v/>
      </c>
      <c r="H20" s="822">
        <f>SUM(BC20:BD20)</f>
        <v/>
      </c>
      <c r="I20" s="822">
        <f>SUM(V20:Y20)</f>
        <v/>
      </c>
      <c r="J20" s="823">
        <f>SUM(C20:I20)</f>
        <v/>
      </c>
      <c r="K20" s="824" t="n"/>
      <c r="L20" s="825" t="n"/>
      <c r="M20" s="826" t="n"/>
      <c r="N20" s="827" t="n"/>
      <c r="O20" s="828" t="n"/>
      <c r="P20" s="827" t="n"/>
      <c r="Q20" s="827" t="n"/>
      <c r="R20" s="829">
        <f>R19+SUM(N20:Q20)-SUM(J20:M20)</f>
        <v/>
      </c>
      <c r="S20" s="830" t="n"/>
      <c r="T20" s="831" t="n"/>
      <c r="U20" s="832" t="n"/>
      <c r="V20" s="833" t="n"/>
      <c r="W20" s="821" t="n"/>
      <c r="X20" s="821" t="n"/>
      <c r="Y20" s="821" t="n"/>
      <c r="Z20" s="821" t="n"/>
      <c r="AA20" s="834" t="n"/>
      <c r="AB20" s="835" t="n"/>
      <c r="AC20" s="836" t="n"/>
      <c r="AD20" s="837" t="n"/>
      <c r="AE20" s="838" t="n"/>
      <c r="AF20" s="839" t="n"/>
      <c r="AG20" s="839" t="n"/>
      <c r="AH20" s="839" t="n"/>
      <c r="AI20" s="839" t="n"/>
      <c r="AJ20" s="839" t="n"/>
      <c r="AK20" s="840" t="n"/>
      <c r="AL20" s="841" t="n"/>
      <c r="AM20" s="839" t="n"/>
      <c r="AN20" s="839" t="n"/>
      <c r="AO20" s="839" t="n"/>
      <c r="AP20" s="839" t="n"/>
      <c r="AQ20" s="839" t="n"/>
      <c r="AR20" s="839" t="n"/>
      <c r="AS20" s="839" t="n"/>
      <c r="AT20" s="842" t="n"/>
      <c r="AU20" s="838" t="n"/>
      <c r="AV20" s="840" t="n"/>
      <c r="AW20" s="843" t="n"/>
      <c r="AX20" s="844" t="n"/>
      <c r="AY20" s="845" t="n"/>
      <c r="AZ20" s="845" t="n"/>
      <c r="BA20" s="845" t="n"/>
      <c r="BB20" s="846" t="n"/>
      <c r="BC20" s="847" t="n"/>
      <c r="BD20" s="846" t="n"/>
      <c r="BE20" s="847" t="n"/>
      <c r="BF20" s="836" t="n"/>
    </row>
    <row r="21" ht="15" customFormat="1" customHeight="1" s="191">
      <c r="A21" s="819" t="n"/>
      <c r="B21" s="820" t="n"/>
      <c r="C21" s="821">
        <f>SUM(Z21:AC21)</f>
        <v/>
      </c>
      <c r="D21" s="821">
        <f>SUM(AD21:AK21)</f>
        <v/>
      </c>
      <c r="E21" s="822">
        <f>SUM(AL21:AT21)</f>
        <v/>
      </c>
      <c r="F21" s="822">
        <f>SUM(AU21:AW21)</f>
        <v/>
      </c>
      <c r="G21" s="822">
        <f>SUM(AX21:BB21)</f>
        <v/>
      </c>
      <c r="H21" s="822">
        <f>SUM(BC21:BD21)</f>
        <v/>
      </c>
      <c r="I21" s="822">
        <f>SUM(V21:Y21)</f>
        <v/>
      </c>
      <c r="J21" s="823">
        <f>SUM(C21:I21)</f>
        <v/>
      </c>
      <c r="K21" s="824" t="n"/>
      <c r="L21" s="825" t="n"/>
      <c r="M21" s="826" t="n"/>
      <c r="N21" s="827" t="n"/>
      <c r="O21" s="828" t="n"/>
      <c r="P21" s="827" t="n"/>
      <c r="Q21" s="827" t="n"/>
      <c r="R21" s="829">
        <f>R20+SUM(N21:Q21)-SUM(J21:M21)</f>
        <v/>
      </c>
      <c r="S21" s="830" t="n"/>
      <c r="T21" s="831" t="n"/>
      <c r="U21" s="832" t="n"/>
      <c r="V21" s="833" t="n"/>
      <c r="W21" s="821" t="n"/>
      <c r="X21" s="821" t="n"/>
      <c r="Y21" s="821" t="n"/>
      <c r="Z21" s="821" t="n"/>
      <c r="AA21" s="834" t="n"/>
      <c r="AB21" s="835" t="n"/>
      <c r="AC21" s="836" t="n"/>
      <c r="AD21" s="837" t="n"/>
      <c r="AE21" s="838" t="n"/>
      <c r="AF21" s="839" t="n"/>
      <c r="AG21" s="839" t="n"/>
      <c r="AH21" s="839" t="n"/>
      <c r="AI21" s="839" t="n"/>
      <c r="AJ21" s="839" t="n"/>
      <c r="AK21" s="840" t="n"/>
      <c r="AL21" s="841" t="n"/>
      <c r="AM21" s="839" t="n"/>
      <c r="AN21" s="839" t="n"/>
      <c r="AO21" s="839" t="n"/>
      <c r="AP21" s="839" t="n"/>
      <c r="AQ21" s="839" t="n"/>
      <c r="AR21" s="839" t="n"/>
      <c r="AS21" s="839" t="n"/>
      <c r="AT21" s="842" t="n"/>
      <c r="AU21" s="838" t="n"/>
      <c r="AV21" s="840" t="n"/>
      <c r="AW21" s="843" t="n"/>
      <c r="AX21" s="844" t="n"/>
      <c r="AY21" s="845" t="n"/>
      <c r="AZ21" s="845" t="n"/>
      <c r="BA21" s="845" t="n"/>
      <c r="BB21" s="846" t="n"/>
      <c r="BC21" s="847" t="n"/>
      <c r="BD21" s="846" t="n"/>
      <c r="BE21" s="847" t="n"/>
      <c r="BF21" s="836" t="n"/>
    </row>
    <row r="22" ht="15" customFormat="1" customHeight="1" s="191">
      <c r="A22" s="819" t="n"/>
      <c r="B22" s="820" t="n"/>
      <c r="C22" s="821">
        <f>SUM(Z22:AC22)</f>
        <v/>
      </c>
      <c r="D22" s="821">
        <f>SUM(AD22:AK22)</f>
        <v/>
      </c>
      <c r="E22" s="822">
        <f>SUM(AL22:AT22)</f>
        <v/>
      </c>
      <c r="F22" s="822">
        <f>SUM(AU22:AW22)</f>
        <v/>
      </c>
      <c r="G22" s="822">
        <f>SUM(AX22:BB22)</f>
        <v/>
      </c>
      <c r="H22" s="822">
        <f>SUM(BC22:BD22)</f>
        <v/>
      </c>
      <c r="I22" s="822">
        <f>SUM(V22:Y22)</f>
        <v/>
      </c>
      <c r="J22" s="823">
        <f>SUM(C22:I22)</f>
        <v/>
      </c>
      <c r="K22" s="824" t="n"/>
      <c r="L22" s="825" t="n"/>
      <c r="M22" s="826" t="n"/>
      <c r="N22" s="827" t="n"/>
      <c r="O22" s="828" t="n"/>
      <c r="P22" s="827" t="n"/>
      <c r="Q22" s="827" t="n"/>
      <c r="R22" s="829">
        <f>R21+SUM(N22:Q22)-SUM(J22:M22)</f>
        <v/>
      </c>
      <c r="S22" s="830" t="n"/>
      <c r="T22" s="831" t="n"/>
      <c r="U22" s="832" t="n"/>
      <c r="V22" s="833" t="n"/>
      <c r="W22" s="821" t="n"/>
      <c r="X22" s="821" t="n"/>
      <c r="Y22" s="821" t="n"/>
      <c r="Z22" s="821" t="n"/>
      <c r="AA22" s="834" t="n"/>
      <c r="AB22" s="835" t="n"/>
      <c r="AC22" s="836" t="n"/>
      <c r="AD22" s="837" t="n"/>
      <c r="AE22" s="838" t="n"/>
      <c r="AF22" s="839" t="n"/>
      <c r="AG22" s="839" t="n"/>
      <c r="AH22" s="839" t="n"/>
      <c r="AI22" s="839" t="n"/>
      <c r="AJ22" s="839" t="n"/>
      <c r="AK22" s="840" t="n"/>
      <c r="AL22" s="841" t="n"/>
      <c r="AM22" s="839" t="n"/>
      <c r="AN22" s="839" t="n"/>
      <c r="AO22" s="839" t="n"/>
      <c r="AP22" s="839" t="n"/>
      <c r="AQ22" s="839" t="n"/>
      <c r="AR22" s="839" t="n"/>
      <c r="AS22" s="839" t="n"/>
      <c r="AT22" s="842" t="n"/>
      <c r="AU22" s="838" t="n"/>
      <c r="AV22" s="840" t="n"/>
      <c r="AW22" s="843" t="n"/>
      <c r="AX22" s="844" t="n"/>
      <c r="AY22" s="845" t="n"/>
      <c r="AZ22" s="845" t="n"/>
      <c r="BA22" s="845" t="n"/>
      <c r="BB22" s="846" t="n"/>
      <c r="BC22" s="847" t="n"/>
      <c r="BD22" s="846" t="n"/>
      <c r="BE22" s="847" t="n"/>
      <c r="BF22" s="836" t="n"/>
    </row>
    <row r="23">
      <c r="A23" s="819" t="n"/>
      <c r="B23" s="820" t="n"/>
      <c r="C23" s="821">
        <f>SUM(Z23:AC23)</f>
        <v/>
      </c>
      <c r="D23" s="821">
        <f>SUM(AD23:AK23)</f>
        <v/>
      </c>
      <c r="E23" s="822">
        <f>SUM(AL23:AT23)</f>
        <v/>
      </c>
      <c r="F23" s="822">
        <f>SUM(AU23:AW23)</f>
        <v/>
      </c>
      <c r="G23" s="822">
        <f>SUM(AX23:BB23)</f>
        <v/>
      </c>
      <c r="H23" s="822">
        <f>SUM(BC23:BD23)</f>
        <v/>
      </c>
      <c r="I23" s="822">
        <f>SUM(V23:Y23)</f>
        <v/>
      </c>
      <c r="J23" s="823">
        <f>SUM(C23:I23)</f>
        <v/>
      </c>
      <c r="K23" s="824" t="n"/>
      <c r="L23" s="825" t="n"/>
      <c r="M23" s="826" t="n"/>
      <c r="N23" s="827" t="n"/>
      <c r="O23" s="828" t="n"/>
      <c r="P23" s="827" t="n"/>
      <c r="Q23" s="827" t="n"/>
      <c r="R23" s="829">
        <f>R22+SUM(N23:Q23)-SUM(J23:M23)</f>
        <v/>
      </c>
      <c r="S23" s="830" t="n"/>
      <c r="T23" s="831" t="n"/>
      <c r="U23" s="832" t="n"/>
      <c r="V23" s="833" t="n"/>
      <c r="W23" s="821" t="n"/>
      <c r="X23" s="821" t="n"/>
      <c r="Y23" s="821" t="n"/>
      <c r="Z23" s="821" t="n"/>
      <c r="AA23" s="834" t="n"/>
      <c r="AB23" s="835" t="n"/>
      <c r="AC23" s="836" t="n"/>
      <c r="AD23" s="837" t="n"/>
      <c r="AE23" s="838" t="n"/>
      <c r="AF23" s="839" t="n"/>
      <c r="AG23" s="839" t="n"/>
      <c r="AH23" s="839" t="n"/>
      <c r="AI23" s="839" t="n"/>
      <c r="AJ23" s="839" t="n"/>
      <c r="AK23" s="840" t="n"/>
      <c r="AL23" s="841" t="n"/>
      <c r="AM23" s="839" t="n"/>
      <c r="AN23" s="839" t="n"/>
      <c r="AO23" s="839" t="n"/>
      <c r="AP23" s="839" t="n"/>
      <c r="AQ23" s="839" t="n"/>
      <c r="AR23" s="839" t="n"/>
      <c r="AS23" s="839" t="n"/>
      <c r="AT23" s="842" t="n"/>
      <c r="AU23" s="838" t="n"/>
      <c r="AV23" s="840" t="n"/>
      <c r="AW23" s="843" t="n"/>
      <c r="AX23" s="844" t="n"/>
      <c r="AY23" s="845" t="n"/>
      <c r="AZ23" s="845" t="n"/>
      <c r="BA23" s="845" t="n"/>
      <c r="BB23" s="846" t="n"/>
      <c r="BC23" s="847" t="n"/>
      <c r="BD23" s="846" t="n"/>
      <c r="BE23" s="847" t="n"/>
      <c r="BF23" s="836" t="n"/>
    </row>
    <row r="24">
      <c r="A24" s="819" t="n"/>
      <c r="B24" s="820" t="n"/>
      <c r="C24" s="821">
        <f>SUM(Z24:AC24)</f>
        <v/>
      </c>
      <c r="D24" s="821">
        <f>SUM(AD24:AK24)</f>
        <v/>
      </c>
      <c r="E24" s="822">
        <f>SUM(AL24:AT24)</f>
        <v/>
      </c>
      <c r="F24" s="822">
        <f>SUM(AU24:AW24)</f>
        <v/>
      </c>
      <c r="G24" s="822">
        <f>SUM(AX24:BB24)</f>
        <v/>
      </c>
      <c r="H24" s="822">
        <f>SUM(BC24:BD24)</f>
        <v/>
      </c>
      <c r="I24" s="822">
        <f>SUM(V24:Y24)</f>
        <v/>
      </c>
      <c r="J24" s="823">
        <f>SUM(C24:I24)</f>
        <v/>
      </c>
      <c r="K24" s="824" t="n"/>
      <c r="L24" s="825" t="n"/>
      <c r="M24" s="826" t="n"/>
      <c r="N24" s="827" t="n"/>
      <c r="O24" s="828" t="n"/>
      <c r="P24" s="827" t="n"/>
      <c r="Q24" s="827" t="n"/>
      <c r="R24" s="829">
        <f>R23+SUM(N24:Q24)-SUM(J24:M24)</f>
        <v/>
      </c>
      <c r="S24" s="830" t="n"/>
      <c r="T24" s="831" t="n"/>
      <c r="U24" s="832" t="n"/>
      <c r="V24" s="833" t="n"/>
      <c r="W24" s="821" t="n"/>
      <c r="X24" s="821" t="n"/>
      <c r="Y24" s="821" t="n"/>
      <c r="Z24" s="821" t="n"/>
      <c r="AA24" s="834" t="n"/>
      <c r="AB24" s="835" t="n"/>
      <c r="AC24" s="836" t="n"/>
      <c r="AD24" s="837" t="n"/>
      <c r="AE24" s="838" t="n"/>
      <c r="AF24" s="839" t="n"/>
      <c r="AG24" s="839" t="n"/>
      <c r="AH24" s="839" t="n"/>
      <c r="AI24" s="839" t="n"/>
      <c r="AJ24" s="839" t="n"/>
      <c r="AK24" s="840" t="n"/>
      <c r="AL24" s="841" t="n"/>
      <c r="AM24" s="839" t="n"/>
      <c r="AN24" s="839" t="n"/>
      <c r="AO24" s="839" t="n"/>
      <c r="AP24" s="839" t="n"/>
      <c r="AQ24" s="839" t="n"/>
      <c r="AR24" s="839" t="n"/>
      <c r="AS24" s="839" t="n"/>
      <c r="AT24" s="842" t="n"/>
      <c r="AU24" s="838" t="n"/>
      <c r="AV24" s="840" t="n"/>
      <c r="AW24" s="843" t="n"/>
      <c r="AX24" s="844" t="n"/>
      <c r="AY24" s="845" t="n"/>
      <c r="AZ24" s="845" t="n"/>
      <c r="BA24" s="845" t="n"/>
      <c r="BB24" s="846" t="n"/>
      <c r="BC24" s="847" t="n"/>
      <c r="BD24" s="846" t="n"/>
      <c r="BE24" s="847" t="n"/>
      <c r="BF24" s="836" t="n"/>
    </row>
    <row r="25">
      <c r="A25" s="819" t="n"/>
      <c r="B25" s="820" t="n"/>
      <c r="C25" s="821">
        <f>SUM(Z25:AC25)</f>
        <v/>
      </c>
      <c r="D25" s="821">
        <f>SUM(AD25:AK25)</f>
        <v/>
      </c>
      <c r="E25" s="822">
        <f>SUM(AL25:AT25)</f>
        <v/>
      </c>
      <c r="F25" s="822">
        <f>SUM(AU25:AW25)</f>
        <v/>
      </c>
      <c r="G25" s="822">
        <f>SUM(AX25:BB25)</f>
        <v/>
      </c>
      <c r="H25" s="822">
        <f>SUM(BC25:BD25)</f>
        <v/>
      </c>
      <c r="I25" s="822">
        <f>SUM(V25:Y25)</f>
        <v/>
      </c>
      <c r="J25" s="823">
        <f>SUM(C25:I25)</f>
        <v/>
      </c>
      <c r="K25" s="824" t="n"/>
      <c r="L25" s="825" t="n"/>
      <c r="M25" s="826" t="n"/>
      <c r="N25" s="827" t="n"/>
      <c r="O25" s="828" t="n"/>
      <c r="P25" s="827" t="n"/>
      <c r="Q25" s="827" t="n"/>
      <c r="R25" s="829">
        <f>R24+SUM(N25:Q25)-SUM(J25:M25)</f>
        <v/>
      </c>
      <c r="S25" s="830" t="n"/>
      <c r="T25" s="831" t="n"/>
      <c r="U25" s="832" t="n"/>
      <c r="V25" s="833" t="n"/>
      <c r="W25" s="821" t="n"/>
      <c r="X25" s="821" t="n"/>
      <c r="Y25" s="821" t="n"/>
      <c r="Z25" s="821" t="n"/>
      <c r="AA25" s="834" t="n"/>
      <c r="AB25" s="835" t="n"/>
      <c r="AC25" s="836" t="n"/>
      <c r="AD25" s="837" t="n"/>
      <c r="AE25" s="838" t="n"/>
      <c r="AF25" s="839" t="n"/>
      <c r="AG25" s="839" t="n"/>
      <c r="AH25" s="839" t="n"/>
      <c r="AI25" s="839" t="n"/>
      <c r="AJ25" s="839" t="n"/>
      <c r="AK25" s="840" t="n"/>
      <c r="AL25" s="841" t="n"/>
      <c r="AM25" s="839" t="n"/>
      <c r="AN25" s="839" t="n"/>
      <c r="AO25" s="839" t="n"/>
      <c r="AP25" s="839" t="n"/>
      <c r="AQ25" s="839" t="n"/>
      <c r="AR25" s="839" t="n"/>
      <c r="AS25" s="839" t="n"/>
      <c r="AT25" s="842" t="n"/>
      <c r="AU25" s="838" t="n"/>
      <c r="AV25" s="840" t="n"/>
      <c r="AW25" s="843" t="n"/>
      <c r="AX25" s="844" t="n"/>
      <c r="AY25" s="845" t="n"/>
      <c r="AZ25" s="845" t="n"/>
      <c r="BA25" s="845" t="n"/>
      <c r="BB25" s="846" t="n"/>
      <c r="BC25" s="847" t="n"/>
      <c r="BD25" s="846" t="n"/>
      <c r="BE25" s="847" t="n"/>
      <c r="BF25" s="836" t="n"/>
    </row>
    <row r="26" ht="17.4" customHeight="1">
      <c r="A26" s="819" t="n"/>
      <c r="B26" s="820" t="n"/>
      <c r="C26" s="821">
        <f>SUM(Z26:AC26)</f>
        <v/>
      </c>
      <c r="D26" s="821">
        <f>SUM(AD26:AK26)</f>
        <v/>
      </c>
      <c r="E26" s="822">
        <f>SUM(AL26:AT26)</f>
        <v/>
      </c>
      <c r="F26" s="822">
        <f>SUM(AU26:AW26)</f>
        <v/>
      </c>
      <c r="G26" s="822">
        <f>SUM(AX26:BB26)</f>
        <v/>
      </c>
      <c r="H26" s="822">
        <f>SUM(BC26:BD26)</f>
        <v/>
      </c>
      <c r="I26" s="822">
        <f>SUM(V26:Y26)</f>
        <v/>
      </c>
      <c r="J26" s="823">
        <f>SUM(C26:I26)</f>
        <v/>
      </c>
      <c r="K26" s="824" t="n"/>
      <c r="L26" s="825" t="n"/>
      <c r="M26" s="826" t="n"/>
      <c r="N26" s="827" t="n"/>
      <c r="O26" s="828" t="n"/>
      <c r="P26" s="827" t="n"/>
      <c r="Q26" s="827" t="n"/>
      <c r="R26" s="829">
        <f>R25+SUM(N26:Q26)-SUM(J26:M26)</f>
        <v/>
      </c>
      <c r="S26" s="830" t="n"/>
      <c r="T26" s="831" t="n"/>
      <c r="U26" s="832" t="n"/>
      <c r="V26" s="833" t="n"/>
      <c r="W26" s="821" t="n"/>
      <c r="X26" s="821" t="n"/>
      <c r="Y26" s="821" t="n"/>
      <c r="Z26" s="821" t="n"/>
      <c r="AA26" s="834" t="n"/>
      <c r="AB26" s="835" t="n"/>
      <c r="AC26" s="836" t="n"/>
      <c r="AD26" s="837" t="n"/>
      <c r="AE26" s="838" t="n"/>
      <c r="AF26" s="839" t="n"/>
      <c r="AG26" s="839" t="n"/>
      <c r="AH26" s="839" t="n"/>
      <c r="AI26" s="839" t="n"/>
      <c r="AJ26" s="839" t="n"/>
      <c r="AK26" s="840" t="n"/>
      <c r="AL26" s="841" t="n"/>
      <c r="AM26" s="839" t="n"/>
      <c r="AN26" s="839" t="n"/>
      <c r="AO26" s="839" t="n"/>
      <c r="AP26" s="839" t="n"/>
      <c r="AQ26" s="839" t="n"/>
      <c r="AR26" s="839" t="n"/>
      <c r="AS26" s="839" t="n"/>
      <c r="AT26" s="842" t="n"/>
      <c r="AU26" s="838" t="n"/>
      <c r="AV26" s="840" t="n"/>
      <c r="AW26" s="843" t="n"/>
      <c r="AX26" s="844" t="n"/>
      <c r="AY26" s="845" t="n"/>
      <c r="AZ26" s="845" t="n"/>
      <c r="BA26" s="845" t="n"/>
      <c r="BB26" s="846" t="n"/>
      <c r="BC26" s="847" t="n"/>
      <c r="BD26" s="846" t="n"/>
      <c r="BE26" s="847" t="n"/>
      <c r="BF26" s="836" t="n"/>
    </row>
    <row r="27">
      <c r="A27" s="819" t="n"/>
      <c r="B27" s="820" t="n"/>
      <c r="C27" s="821">
        <f>SUM(Z27:AC27)</f>
        <v/>
      </c>
      <c r="D27" s="821">
        <f>SUM(AD27:AK27)</f>
        <v/>
      </c>
      <c r="E27" s="822">
        <f>SUM(AL27:AT27)</f>
        <v/>
      </c>
      <c r="F27" s="822">
        <f>SUM(AU27:AW27)</f>
        <v/>
      </c>
      <c r="G27" s="822">
        <f>SUM(AX27:BB27)</f>
        <v/>
      </c>
      <c r="H27" s="822">
        <f>SUM(BC27:BD27)</f>
        <v/>
      </c>
      <c r="I27" s="822">
        <f>SUM(V27:Y27)</f>
        <v/>
      </c>
      <c r="J27" s="823">
        <f>SUM(C27:I27)</f>
        <v/>
      </c>
      <c r="K27" s="824" t="n"/>
      <c r="L27" s="825" t="n"/>
      <c r="M27" s="826" t="n"/>
      <c r="N27" s="827" t="n"/>
      <c r="O27" s="828" t="n"/>
      <c r="P27" s="827" t="n"/>
      <c r="Q27" s="827" t="n"/>
      <c r="R27" s="829">
        <f>R26+SUM(N27:Q27)-SUM(J27:M27)</f>
        <v/>
      </c>
      <c r="S27" s="830" t="n"/>
      <c r="T27" s="831" t="n"/>
      <c r="U27" s="832" t="n"/>
      <c r="V27" s="833" t="n"/>
      <c r="W27" s="821" t="n"/>
      <c r="X27" s="821" t="n"/>
      <c r="Y27" s="821" t="n"/>
      <c r="Z27" s="821" t="n"/>
      <c r="AA27" s="834" t="n"/>
      <c r="AB27" s="835" t="n"/>
      <c r="AC27" s="836" t="n"/>
      <c r="AD27" s="837" t="n"/>
      <c r="AE27" s="838" t="n"/>
      <c r="AF27" s="839" t="n"/>
      <c r="AG27" s="839" t="n"/>
      <c r="AH27" s="839" t="n"/>
      <c r="AI27" s="839" t="n"/>
      <c r="AJ27" s="839" t="n"/>
      <c r="AK27" s="840" t="n"/>
      <c r="AL27" s="841" t="n"/>
      <c r="AM27" s="839" t="n"/>
      <c r="AN27" s="839" t="n"/>
      <c r="AO27" s="839" t="n"/>
      <c r="AP27" s="839" t="n"/>
      <c r="AQ27" s="839" t="n"/>
      <c r="AR27" s="839" t="n"/>
      <c r="AS27" s="839" t="n"/>
      <c r="AT27" s="842" t="n"/>
      <c r="AU27" s="838" t="n"/>
      <c r="AV27" s="840" t="n"/>
      <c r="AW27" s="843" t="n"/>
      <c r="AX27" s="844" t="n"/>
      <c r="AY27" s="845" t="n"/>
      <c r="AZ27" s="845" t="n"/>
      <c r="BA27" s="845" t="n"/>
      <c r="BB27" s="846" t="n"/>
      <c r="BC27" s="847" t="n"/>
      <c r="BD27" s="846" t="n"/>
      <c r="BE27" s="847" t="n"/>
      <c r="BF27" s="836" t="n"/>
    </row>
    <row r="28">
      <c r="A28" s="819" t="n"/>
      <c r="B28" s="820" t="n"/>
      <c r="C28" s="821">
        <f>SUM(Z28:AC28)</f>
        <v/>
      </c>
      <c r="D28" s="821">
        <f>SUM(AD28:AK28)</f>
        <v/>
      </c>
      <c r="E28" s="822">
        <f>SUM(AL28:AT28)</f>
        <v/>
      </c>
      <c r="F28" s="822">
        <f>SUM(AU28:AW28)</f>
        <v/>
      </c>
      <c r="G28" s="822">
        <f>SUM(AX28:BB28)</f>
        <v/>
      </c>
      <c r="H28" s="822">
        <f>SUM(BC28:BD28)</f>
        <v/>
      </c>
      <c r="I28" s="822">
        <f>SUM(V28:Y28)</f>
        <v/>
      </c>
      <c r="J28" s="823">
        <f>SUM(C28:I28)</f>
        <v/>
      </c>
      <c r="K28" s="824" t="n"/>
      <c r="L28" s="825" t="n"/>
      <c r="M28" s="826" t="n"/>
      <c r="N28" s="827" t="n"/>
      <c r="O28" s="828" t="n"/>
      <c r="P28" s="827" t="n"/>
      <c r="Q28" s="827" t="n"/>
      <c r="R28" s="829">
        <f>R27+SUM(N28:Q28)-SUM(J28:M28)</f>
        <v/>
      </c>
      <c r="S28" s="830" t="n"/>
      <c r="T28" s="831" t="n"/>
      <c r="U28" s="832" t="n"/>
      <c r="V28" s="833" t="n"/>
      <c r="W28" s="821" t="n"/>
      <c r="X28" s="821" t="n"/>
      <c r="Y28" s="821" t="n"/>
      <c r="Z28" s="821" t="n"/>
      <c r="AA28" s="834" t="n"/>
      <c r="AB28" s="835" t="n"/>
      <c r="AC28" s="836" t="n"/>
      <c r="AD28" s="837" t="n"/>
      <c r="AE28" s="838" t="n"/>
      <c r="AF28" s="839" t="n"/>
      <c r="AG28" s="839" t="n"/>
      <c r="AH28" s="839" t="n"/>
      <c r="AI28" s="839" t="n"/>
      <c r="AJ28" s="839" t="n"/>
      <c r="AK28" s="840" t="n"/>
      <c r="AL28" s="841" t="n"/>
      <c r="AM28" s="839" t="n"/>
      <c r="AN28" s="839" t="n"/>
      <c r="AO28" s="839" t="n"/>
      <c r="AP28" s="839" t="n"/>
      <c r="AQ28" s="839" t="n"/>
      <c r="AR28" s="839" t="n"/>
      <c r="AS28" s="839" t="n"/>
      <c r="AT28" s="842" t="n"/>
      <c r="AU28" s="838" t="n"/>
      <c r="AV28" s="840" t="n"/>
      <c r="AW28" s="843" t="n"/>
      <c r="AX28" s="844" t="n"/>
      <c r="AY28" s="845" t="n"/>
      <c r="AZ28" s="845" t="n"/>
      <c r="BA28" s="845" t="n"/>
      <c r="BB28" s="846" t="n"/>
      <c r="BC28" s="847" t="n"/>
      <c r="BD28" s="846" t="n"/>
      <c r="BE28" s="847" t="n"/>
      <c r="BF28" s="836" t="n"/>
    </row>
    <row r="29">
      <c r="A29" s="819" t="n"/>
      <c r="B29" s="820" t="n"/>
      <c r="C29" s="821">
        <f>SUM(Z29:AC29)</f>
        <v/>
      </c>
      <c r="D29" s="821">
        <f>SUM(AD29:AK29)</f>
        <v/>
      </c>
      <c r="E29" s="822">
        <f>SUM(AL29:AT29)</f>
        <v/>
      </c>
      <c r="F29" s="822">
        <f>SUM(AU29:AW29)</f>
        <v/>
      </c>
      <c r="G29" s="822">
        <f>SUM(AX29:BB29)</f>
        <v/>
      </c>
      <c r="H29" s="822">
        <f>SUM(BC29:BD29)</f>
        <v/>
      </c>
      <c r="I29" s="822">
        <f>SUM(V29:Y29)</f>
        <v/>
      </c>
      <c r="J29" s="823">
        <f>SUM(C29:I29)</f>
        <v/>
      </c>
      <c r="K29" s="824" t="n"/>
      <c r="L29" s="825" t="n"/>
      <c r="M29" s="826" t="n"/>
      <c r="N29" s="827" t="n"/>
      <c r="O29" s="828" t="n"/>
      <c r="P29" s="827" t="n"/>
      <c r="Q29" s="827" t="n"/>
      <c r="R29" s="829">
        <f>R28+SUM(N29:Q29)-SUM(J29:M29)</f>
        <v/>
      </c>
      <c r="S29" s="830" t="n"/>
      <c r="T29" s="831" t="n"/>
      <c r="U29" s="832" t="n"/>
      <c r="V29" s="833" t="n"/>
      <c r="W29" s="821" t="n"/>
      <c r="X29" s="821" t="n"/>
      <c r="Y29" s="821" t="n"/>
      <c r="Z29" s="821" t="n"/>
      <c r="AA29" s="834" t="n"/>
      <c r="AB29" s="835" t="n"/>
      <c r="AC29" s="836" t="n"/>
      <c r="AD29" s="837" t="n"/>
      <c r="AE29" s="838" t="n"/>
      <c r="AF29" s="839" t="n"/>
      <c r="AG29" s="839" t="n"/>
      <c r="AH29" s="839" t="n"/>
      <c r="AI29" s="839" t="n"/>
      <c r="AJ29" s="839" t="n"/>
      <c r="AK29" s="840" t="n"/>
      <c r="AL29" s="841" t="n"/>
      <c r="AM29" s="839" t="n"/>
      <c r="AN29" s="839" t="n"/>
      <c r="AO29" s="839" t="n"/>
      <c r="AP29" s="839" t="n"/>
      <c r="AQ29" s="839" t="n"/>
      <c r="AR29" s="839" t="n"/>
      <c r="AS29" s="839" t="n"/>
      <c r="AT29" s="842" t="n"/>
      <c r="AU29" s="838" t="n"/>
      <c r="AV29" s="840" t="n"/>
      <c r="AW29" s="843" t="n"/>
      <c r="AX29" s="844" t="n"/>
      <c r="AY29" s="845" t="n"/>
      <c r="AZ29" s="845" t="n"/>
      <c r="BA29" s="845" t="n"/>
      <c r="BB29" s="846" t="n"/>
      <c r="BC29" s="847" t="n"/>
      <c r="BD29" s="846" t="n"/>
      <c r="BE29" s="847" t="n"/>
      <c r="BF29" s="836" t="n"/>
    </row>
    <row r="30">
      <c r="A30" s="819" t="n"/>
      <c r="B30" s="820" t="n"/>
      <c r="C30" s="821">
        <f>SUM(Z30:AC30)</f>
        <v/>
      </c>
      <c r="D30" s="821">
        <f>SUM(AD30:AK30)</f>
        <v/>
      </c>
      <c r="E30" s="822">
        <f>SUM(AL30:AT30)</f>
        <v/>
      </c>
      <c r="F30" s="822">
        <f>SUM(AU30:AW30)</f>
        <v/>
      </c>
      <c r="G30" s="822">
        <f>SUM(AX30:BB30)</f>
        <v/>
      </c>
      <c r="H30" s="822">
        <f>SUM(BC30:BD30)</f>
        <v/>
      </c>
      <c r="I30" s="822">
        <f>SUM(V30:Y30)</f>
        <v/>
      </c>
      <c r="J30" s="823">
        <f>SUM(C30:I30)</f>
        <v/>
      </c>
      <c r="K30" s="824" t="n"/>
      <c r="L30" s="825" t="n"/>
      <c r="M30" s="826" t="n"/>
      <c r="N30" s="827" t="n"/>
      <c r="O30" s="828" t="n"/>
      <c r="P30" s="827" t="n"/>
      <c r="Q30" s="827" t="n"/>
      <c r="R30" s="829">
        <f>R29+SUM(N30:Q30)-SUM(J30:M30)</f>
        <v/>
      </c>
      <c r="S30" s="830" t="n"/>
      <c r="T30" s="831" t="n"/>
      <c r="U30" s="832" t="n"/>
      <c r="V30" s="833" t="n"/>
      <c r="W30" s="821" t="n"/>
      <c r="X30" s="821" t="n"/>
      <c r="Y30" s="821" t="n"/>
      <c r="Z30" s="821" t="n"/>
      <c r="AA30" s="834" t="n"/>
      <c r="AB30" s="835" t="n"/>
      <c r="AC30" s="836" t="n"/>
      <c r="AD30" s="837" t="n"/>
      <c r="AE30" s="838" t="n"/>
      <c r="AF30" s="839" t="n"/>
      <c r="AG30" s="839" t="n"/>
      <c r="AH30" s="839" t="n"/>
      <c r="AI30" s="839" t="n"/>
      <c r="AJ30" s="839" t="n"/>
      <c r="AK30" s="840" t="n"/>
      <c r="AL30" s="841" t="n"/>
      <c r="AM30" s="839" t="n"/>
      <c r="AN30" s="839" t="n"/>
      <c r="AO30" s="839" t="n"/>
      <c r="AP30" s="839" t="n"/>
      <c r="AQ30" s="839" t="n"/>
      <c r="AR30" s="839" t="n"/>
      <c r="AS30" s="839" t="n"/>
      <c r="AT30" s="842" t="n"/>
      <c r="AU30" s="838" t="n"/>
      <c r="AV30" s="840" t="n"/>
      <c r="AW30" s="843" t="n"/>
      <c r="AX30" s="844" t="n"/>
      <c r="AY30" s="845" t="n"/>
      <c r="AZ30" s="845" t="n"/>
      <c r="BA30" s="845" t="n"/>
      <c r="BB30" s="846" t="n"/>
      <c r="BC30" s="847" t="n"/>
      <c r="BD30" s="846" t="n"/>
      <c r="BE30" s="847" t="n"/>
      <c r="BF30" s="836" t="n"/>
    </row>
    <row r="31">
      <c r="A31" s="819" t="n"/>
      <c r="B31" s="820" t="n"/>
      <c r="C31" s="821">
        <f>SUM(Z31:AC31)</f>
        <v/>
      </c>
      <c r="D31" s="821">
        <f>SUM(AD31:AK31)</f>
        <v/>
      </c>
      <c r="E31" s="822">
        <f>SUM(AL31:AT31)</f>
        <v/>
      </c>
      <c r="F31" s="822">
        <f>SUM(AU31:AW31)</f>
        <v/>
      </c>
      <c r="G31" s="822">
        <f>SUM(AX31:BB31)</f>
        <v/>
      </c>
      <c r="H31" s="822">
        <f>SUM(BC31:BD31)</f>
        <v/>
      </c>
      <c r="I31" s="822">
        <f>SUM(V31:Y31)</f>
        <v/>
      </c>
      <c r="J31" s="823">
        <f>SUM(C31:I31)</f>
        <v/>
      </c>
      <c r="K31" s="824" t="n"/>
      <c r="L31" s="825" t="n"/>
      <c r="M31" s="826" t="n"/>
      <c r="N31" s="827" t="n"/>
      <c r="O31" s="828" t="n"/>
      <c r="P31" s="827" t="n"/>
      <c r="Q31" s="827" t="n"/>
      <c r="R31" s="829">
        <f>R30+SUM(N31:Q31)-SUM(J31:M31)</f>
        <v/>
      </c>
      <c r="S31" s="830" t="n"/>
      <c r="T31" s="831" t="n"/>
      <c r="U31" s="832" t="n"/>
      <c r="V31" s="833" t="n"/>
      <c r="W31" s="821" t="n"/>
      <c r="X31" s="821" t="n"/>
      <c r="Y31" s="821" t="n"/>
      <c r="Z31" s="821" t="n"/>
      <c r="AA31" s="834" t="n"/>
      <c r="AB31" s="835" t="n"/>
      <c r="AC31" s="836" t="n"/>
      <c r="AD31" s="837" t="n"/>
      <c r="AE31" s="838" t="n"/>
      <c r="AF31" s="839" t="n"/>
      <c r="AG31" s="839" t="n"/>
      <c r="AH31" s="839" t="n"/>
      <c r="AI31" s="839" t="n"/>
      <c r="AJ31" s="839" t="n"/>
      <c r="AK31" s="840" t="n"/>
      <c r="AL31" s="841" t="n"/>
      <c r="AM31" s="839" t="n"/>
      <c r="AN31" s="839" t="n"/>
      <c r="AO31" s="839" t="n"/>
      <c r="AP31" s="839" t="n"/>
      <c r="AQ31" s="839" t="n"/>
      <c r="AR31" s="839" t="n"/>
      <c r="AS31" s="839" t="n"/>
      <c r="AT31" s="842" t="n"/>
      <c r="AU31" s="838" t="n"/>
      <c r="AV31" s="840" t="n"/>
      <c r="AW31" s="843" t="n"/>
      <c r="AX31" s="844" t="n"/>
      <c r="AY31" s="845" t="n"/>
      <c r="AZ31" s="845" t="n"/>
      <c r="BA31" s="845" t="n"/>
      <c r="BB31" s="846" t="n"/>
      <c r="BC31" s="847" t="n"/>
      <c r="BD31" s="846" t="n"/>
      <c r="BE31" s="847" t="n"/>
      <c r="BF31" s="836" t="n"/>
    </row>
    <row r="32" ht="19.8" customHeight="1">
      <c r="A32" s="819" t="n"/>
      <c r="B32" s="820" t="n"/>
      <c r="C32" s="821">
        <f>SUM(Z32:AC32)</f>
        <v/>
      </c>
      <c r="D32" s="821">
        <f>SUM(AD32:AK32)</f>
        <v/>
      </c>
      <c r="E32" s="822">
        <f>SUM(AL32:AT32)</f>
        <v/>
      </c>
      <c r="F32" s="822">
        <f>SUM(AU32:AW32)</f>
        <v/>
      </c>
      <c r="G32" s="822">
        <f>SUM(AX32:BB32)</f>
        <v/>
      </c>
      <c r="H32" s="822">
        <f>SUM(BC32:BD32)</f>
        <v/>
      </c>
      <c r="I32" s="822">
        <f>SUM(V32:Y32)</f>
        <v/>
      </c>
      <c r="J32" s="823">
        <f>SUM(C32:I32)</f>
        <v/>
      </c>
      <c r="K32" s="824" t="n"/>
      <c r="L32" s="825" t="n"/>
      <c r="M32" s="826" t="n"/>
      <c r="N32" s="827" t="n"/>
      <c r="O32" s="828" t="n"/>
      <c r="P32" s="827" t="n"/>
      <c r="Q32" s="827" t="n"/>
      <c r="R32" s="829">
        <f>R31+SUM(N32:Q32)-SUM(J32:M32)</f>
        <v/>
      </c>
      <c r="S32" s="830" t="n"/>
      <c r="T32" s="831" t="n"/>
      <c r="U32" s="832" t="n"/>
      <c r="V32" s="833" t="n"/>
      <c r="W32" s="821" t="n"/>
      <c r="X32" s="821" t="n"/>
      <c r="Y32" s="821" t="n"/>
      <c r="Z32" s="821" t="n"/>
      <c r="AA32" s="834" t="n"/>
      <c r="AB32" s="835" t="n"/>
      <c r="AC32" s="836" t="n"/>
      <c r="AD32" s="837" t="n"/>
      <c r="AE32" s="838" t="n"/>
      <c r="AF32" s="839" t="n"/>
      <c r="AG32" s="839" t="n"/>
      <c r="AH32" s="839" t="n"/>
      <c r="AI32" s="839" t="n"/>
      <c r="AJ32" s="839" t="n"/>
      <c r="AK32" s="840" t="n"/>
      <c r="AL32" s="841" t="n"/>
      <c r="AM32" s="839" t="n"/>
      <c r="AN32" s="839" t="n"/>
      <c r="AO32" s="839" t="n"/>
      <c r="AP32" s="839" t="n"/>
      <c r="AQ32" s="839" t="n"/>
      <c r="AR32" s="839" t="n"/>
      <c r="AS32" s="839" t="n"/>
      <c r="AT32" s="842" t="n"/>
      <c r="AU32" s="838" t="n"/>
      <c r="AV32" s="840" t="n"/>
      <c r="AW32" s="843" t="n"/>
      <c r="AX32" s="844" t="n"/>
      <c r="AY32" s="845" t="n"/>
      <c r="AZ32" s="845" t="n"/>
      <c r="BA32" s="845" t="n"/>
      <c r="BB32" s="846" t="n"/>
      <c r="BC32" s="847" t="n"/>
      <c r="BD32" s="846" t="n"/>
      <c r="BE32" s="847" t="n"/>
      <c r="BF32" s="836" t="n"/>
    </row>
    <row r="33">
      <c r="A33" s="819" t="n"/>
      <c r="B33" s="820" t="n"/>
      <c r="C33" s="821">
        <f>SUM(Z33:AC33)</f>
        <v/>
      </c>
      <c r="D33" s="821">
        <f>SUM(AD33:AK33)</f>
        <v/>
      </c>
      <c r="E33" s="822">
        <f>SUM(AL33:AT33)</f>
        <v/>
      </c>
      <c r="F33" s="822">
        <f>SUM(AU33:AW33)</f>
        <v/>
      </c>
      <c r="G33" s="822">
        <f>SUM(AX33:BB33)</f>
        <v/>
      </c>
      <c r="H33" s="822">
        <f>SUM(BC33:BD33)</f>
        <v/>
      </c>
      <c r="I33" s="822">
        <f>SUM(V33:Y33)</f>
        <v/>
      </c>
      <c r="J33" s="823">
        <f>SUM(C33:I33)</f>
        <v/>
      </c>
      <c r="K33" s="824" t="n"/>
      <c r="L33" s="825" t="n"/>
      <c r="M33" s="826" t="n"/>
      <c r="N33" s="827" t="n"/>
      <c r="O33" s="828" t="n"/>
      <c r="P33" s="827" t="n"/>
      <c r="Q33" s="827" t="n"/>
      <c r="R33" s="829">
        <f>R32+SUM(N33:Q33)-SUM(J33:M33)</f>
        <v/>
      </c>
      <c r="S33" s="830" t="n"/>
      <c r="T33" s="831" t="n"/>
      <c r="U33" s="832" t="n"/>
      <c r="V33" s="833" t="n"/>
      <c r="W33" s="821" t="n"/>
      <c r="X33" s="821" t="n"/>
      <c r="Y33" s="821" t="n"/>
      <c r="Z33" s="821" t="n"/>
      <c r="AA33" s="834" t="n"/>
      <c r="AB33" s="835" t="n"/>
      <c r="AC33" s="836" t="n"/>
      <c r="AD33" s="837" t="n"/>
      <c r="AE33" s="838" t="n"/>
      <c r="AF33" s="839" t="n"/>
      <c r="AG33" s="839" t="n"/>
      <c r="AH33" s="839" t="n"/>
      <c r="AI33" s="839" t="n"/>
      <c r="AJ33" s="839" t="n"/>
      <c r="AK33" s="840" t="n"/>
      <c r="AL33" s="841" t="n"/>
      <c r="AM33" s="839" t="n"/>
      <c r="AN33" s="839" t="n"/>
      <c r="AO33" s="839" t="n"/>
      <c r="AP33" s="839" t="n"/>
      <c r="AQ33" s="839" t="n"/>
      <c r="AR33" s="839" t="n"/>
      <c r="AS33" s="839" t="n"/>
      <c r="AT33" s="842" t="n"/>
      <c r="AU33" s="838" t="n"/>
      <c r="AV33" s="840" t="n"/>
      <c r="AW33" s="843" t="n"/>
      <c r="AX33" s="844" t="n"/>
      <c r="AY33" s="845" t="n"/>
      <c r="AZ33" s="845" t="n"/>
      <c r="BA33" s="845" t="n"/>
      <c r="BB33" s="846" t="n"/>
      <c r="BC33" s="847" t="n"/>
      <c r="BD33" s="846" t="n"/>
      <c r="BE33" s="847" t="n"/>
      <c r="BF33" s="836" t="n"/>
    </row>
    <row r="34">
      <c r="A34" s="819" t="n"/>
      <c r="B34" s="820" t="n"/>
      <c r="C34" s="821">
        <f>SUM(Z34:AC34)</f>
        <v/>
      </c>
      <c r="D34" s="821">
        <f>SUM(AD34:AK34)</f>
        <v/>
      </c>
      <c r="E34" s="822">
        <f>SUM(AL34:AT34)</f>
        <v/>
      </c>
      <c r="F34" s="822">
        <f>SUM(AU34:AW34)</f>
        <v/>
      </c>
      <c r="G34" s="822">
        <f>SUM(AX34:BB34)</f>
        <v/>
      </c>
      <c r="H34" s="822">
        <f>SUM(BC34:BD34)</f>
        <v/>
      </c>
      <c r="I34" s="822">
        <f>SUM(V34:Y34)</f>
        <v/>
      </c>
      <c r="J34" s="823">
        <f>SUM(C34:I34)</f>
        <v/>
      </c>
      <c r="K34" s="824" t="n"/>
      <c r="L34" s="825" t="n"/>
      <c r="M34" s="826" t="n"/>
      <c r="N34" s="827" t="n"/>
      <c r="O34" s="828" t="n"/>
      <c r="P34" s="827" t="n"/>
      <c r="Q34" s="827" t="n"/>
      <c r="R34" s="829">
        <f>R33+SUM(N34:Q34)-SUM(J34:M34)</f>
        <v/>
      </c>
      <c r="S34" s="830" t="n"/>
      <c r="T34" s="831" t="n"/>
      <c r="U34" s="832" t="n"/>
      <c r="V34" s="833" t="n"/>
      <c r="W34" s="821" t="n"/>
      <c r="X34" s="821" t="n"/>
      <c r="Y34" s="821" t="n"/>
      <c r="Z34" s="821" t="n"/>
      <c r="AA34" s="834" t="n"/>
      <c r="AB34" s="835" t="n"/>
      <c r="AC34" s="836" t="n"/>
      <c r="AD34" s="837" t="n"/>
      <c r="AE34" s="838" t="n"/>
      <c r="AF34" s="839" t="n"/>
      <c r="AG34" s="839" t="n"/>
      <c r="AH34" s="839" t="n"/>
      <c r="AI34" s="839" t="n"/>
      <c r="AJ34" s="839" t="n"/>
      <c r="AK34" s="840" t="n"/>
      <c r="AL34" s="841" t="n"/>
      <c r="AM34" s="839" t="n"/>
      <c r="AN34" s="839" t="n"/>
      <c r="AO34" s="839" t="n"/>
      <c r="AP34" s="839" t="n"/>
      <c r="AQ34" s="839" t="n"/>
      <c r="AR34" s="839" t="n"/>
      <c r="AS34" s="839" t="n"/>
      <c r="AT34" s="842" t="n"/>
      <c r="AU34" s="838" t="n"/>
      <c r="AV34" s="840" t="n"/>
      <c r="AW34" s="843" t="n"/>
      <c r="AX34" s="844" t="n"/>
      <c r="AY34" s="845" t="n"/>
      <c r="AZ34" s="845" t="n"/>
      <c r="BA34" s="845" t="n"/>
      <c r="BB34" s="846" t="n"/>
      <c r="BC34" s="847" t="n"/>
      <c r="BD34" s="846" t="n"/>
      <c r="BE34" s="847" t="n"/>
      <c r="BF34" s="836" t="n"/>
    </row>
    <row r="35">
      <c r="A35" s="819" t="n"/>
      <c r="B35" s="820" t="n"/>
      <c r="C35" s="821">
        <f>SUM(Z35:AC35)</f>
        <v/>
      </c>
      <c r="D35" s="821">
        <f>SUM(AD35:AK35)</f>
        <v/>
      </c>
      <c r="E35" s="822">
        <f>SUM(AL35:AT35)</f>
        <v/>
      </c>
      <c r="F35" s="822">
        <f>SUM(AU35:AW35)</f>
        <v/>
      </c>
      <c r="G35" s="822">
        <f>SUM(AX35:BB35)</f>
        <v/>
      </c>
      <c r="H35" s="822">
        <f>SUM(BC35:BD35)</f>
        <v/>
      </c>
      <c r="I35" s="822">
        <f>SUM(V35:Y35)</f>
        <v/>
      </c>
      <c r="J35" s="823">
        <f>SUM(C35:I35)</f>
        <v/>
      </c>
      <c r="K35" s="824" t="n"/>
      <c r="L35" s="825" t="n"/>
      <c r="M35" s="826" t="n"/>
      <c r="N35" s="827" t="n"/>
      <c r="O35" s="828" t="n"/>
      <c r="P35" s="827" t="n"/>
      <c r="Q35" s="827" t="n"/>
      <c r="R35" s="829">
        <f>R34+SUM(N35:Q35)-SUM(J35:M35)</f>
        <v/>
      </c>
      <c r="S35" s="830" t="n"/>
      <c r="T35" s="831" t="n"/>
      <c r="U35" s="832" t="n"/>
      <c r="V35" s="833" t="n"/>
      <c r="W35" s="821" t="n"/>
      <c r="X35" s="821" t="n"/>
      <c r="Y35" s="821" t="n"/>
      <c r="Z35" s="821" t="n"/>
      <c r="AA35" s="834" t="n"/>
      <c r="AB35" s="835" t="n"/>
      <c r="AC35" s="836" t="n"/>
      <c r="AD35" s="837" t="n"/>
      <c r="AE35" s="838" t="n"/>
      <c r="AF35" s="839" t="n"/>
      <c r="AG35" s="839" t="n"/>
      <c r="AH35" s="839" t="n"/>
      <c r="AI35" s="839" t="n"/>
      <c r="AJ35" s="839" t="n"/>
      <c r="AK35" s="840" t="n"/>
      <c r="AL35" s="841" t="n"/>
      <c r="AM35" s="839" t="n"/>
      <c r="AN35" s="839" t="n"/>
      <c r="AO35" s="839" t="n"/>
      <c r="AP35" s="839" t="n"/>
      <c r="AQ35" s="839" t="n"/>
      <c r="AR35" s="839" t="n"/>
      <c r="AS35" s="839" t="n"/>
      <c r="AT35" s="842" t="n"/>
      <c r="AU35" s="838" t="n"/>
      <c r="AV35" s="840" t="n"/>
      <c r="AW35" s="843" t="n"/>
      <c r="AX35" s="844" t="n"/>
      <c r="AY35" s="845" t="n"/>
      <c r="AZ35" s="845" t="n"/>
      <c r="BA35" s="845" t="n"/>
      <c r="BB35" s="846" t="n"/>
      <c r="BC35" s="847" t="n"/>
      <c r="BD35" s="846" t="n"/>
      <c r="BE35" s="847" t="n"/>
      <c r="BF35" s="836" t="n"/>
    </row>
    <row r="36">
      <c r="A36" s="819" t="n"/>
      <c r="B36" s="820" t="n"/>
      <c r="C36" s="821">
        <f>SUM(Z36:AC36)</f>
        <v/>
      </c>
      <c r="D36" s="821">
        <f>SUM(AD36:AK36)</f>
        <v/>
      </c>
      <c r="E36" s="822">
        <f>SUM(AL36:AT36)</f>
        <v/>
      </c>
      <c r="F36" s="822">
        <f>SUM(AU36:AW36)</f>
        <v/>
      </c>
      <c r="G36" s="822">
        <f>SUM(AX36:BB36)</f>
        <v/>
      </c>
      <c r="H36" s="822">
        <f>SUM(BC36:BD36)</f>
        <v/>
      </c>
      <c r="I36" s="822">
        <f>SUM(V36:Y36)</f>
        <v/>
      </c>
      <c r="J36" s="823">
        <f>SUM(C36:I36)</f>
        <v/>
      </c>
      <c r="K36" s="824" t="n"/>
      <c r="L36" s="825" t="n"/>
      <c r="M36" s="826" t="n"/>
      <c r="N36" s="827" t="n"/>
      <c r="O36" s="828" t="n"/>
      <c r="P36" s="827" t="n"/>
      <c r="Q36" s="827" t="n"/>
      <c r="R36" s="829">
        <f>R35+SUM(N36:Q36)-SUM(J36:M36)</f>
        <v/>
      </c>
      <c r="S36" s="830" t="n"/>
      <c r="T36" s="831" t="n"/>
      <c r="U36" s="832" t="n"/>
      <c r="V36" s="833" t="n"/>
      <c r="W36" s="821" t="n"/>
      <c r="X36" s="821" t="n"/>
      <c r="Y36" s="821" t="n"/>
      <c r="Z36" s="821" t="n"/>
      <c r="AA36" s="834" t="n"/>
      <c r="AB36" s="835" t="n"/>
      <c r="AC36" s="836" t="n"/>
      <c r="AD36" s="837" t="n"/>
      <c r="AE36" s="838" t="n"/>
      <c r="AF36" s="839" t="n"/>
      <c r="AG36" s="839" t="n"/>
      <c r="AH36" s="839" t="n"/>
      <c r="AI36" s="839" t="n"/>
      <c r="AJ36" s="839" t="n"/>
      <c r="AK36" s="840" t="n"/>
      <c r="AL36" s="841" t="n"/>
      <c r="AM36" s="839" t="n"/>
      <c r="AN36" s="839" t="n"/>
      <c r="AO36" s="839" t="n"/>
      <c r="AP36" s="839" t="n"/>
      <c r="AQ36" s="839" t="n"/>
      <c r="AR36" s="839" t="n"/>
      <c r="AS36" s="839" t="n"/>
      <c r="AT36" s="842" t="n"/>
      <c r="AU36" s="838" t="n"/>
      <c r="AV36" s="840" t="n"/>
      <c r="AW36" s="843" t="n"/>
      <c r="AX36" s="844" t="n"/>
      <c r="AY36" s="845" t="n"/>
      <c r="AZ36" s="845" t="n"/>
      <c r="BA36" s="845" t="n"/>
      <c r="BB36" s="846" t="n"/>
      <c r="BC36" s="847" t="n"/>
      <c r="BD36" s="846" t="n"/>
      <c r="BE36" s="847" t="n"/>
      <c r="BF36" s="836" t="n"/>
    </row>
    <row r="37">
      <c r="A37" s="819" t="n"/>
      <c r="B37" s="820" t="n"/>
      <c r="C37" s="821">
        <f>SUM(Z37:AC37)</f>
        <v/>
      </c>
      <c r="D37" s="821">
        <f>SUM(AD37:AK37)</f>
        <v/>
      </c>
      <c r="E37" s="822">
        <f>SUM(AL37:AT37)</f>
        <v/>
      </c>
      <c r="F37" s="822">
        <f>SUM(AU37:AW37)</f>
        <v/>
      </c>
      <c r="G37" s="822">
        <f>SUM(AX37:BB37)</f>
        <v/>
      </c>
      <c r="H37" s="822">
        <f>SUM(BC37:BD37)</f>
        <v/>
      </c>
      <c r="I37" s="822">
        <f>SUM(V37:Y37)</f>
        <v/>
      </c>
      <c r="J37" s="823">
        <f>SUM(C37:I37)</f>
        <v/>
      </c>
      <c r="K37" s="824" t="n"/>
      <c r="L37" s="825" t="n"/>
      <c r="M37" s="826" t="n"/>
      <c r="N37" s="827" t="n"/>
      <c r="O37" s="828" t="n"/>
      <c r="P37" s="827" t="n"/>
      <c r="Q37" s="827" t="n"/>
      <c r="R37" s="829">
        <f>R36+SUM(N37:Q37)-SUM(J37:M37)</f>
        <v/>
      </c>
      <c r="S37" s="830" t="n"/>
      <c r="T37" s="831" t="n"/>
      <c r="U37" s="832" t="n"/>
      <c r="V37" s="833" t="n"/>
      <c r="W37" s="821" t="n"/>
      <c r="X37" s="821" t="n"/>
      <c r="Y37" s="821" t="n"/>
      <c r="Z37" s="821" t="n"/>
      <c r="AA37" s="834" t="n"/>
      <c r="AB37" s="835" t="n"/>
      <c r="AC37" s="836" t="n"/>
      <c r="AD37" s="837" t="n"/>
      <c r="AE37" s="838" t="n"/>
      <c r="AF37" s="839" t="n"/>
      <c r="AG37" s="839" t="n"/>
      <c r="AH37" s="839" t="n"/>
      <c r="AI37" s="839" t="n"/>
      <c r="AJ37" s="839" t="n"/>
      <c r="AK37" s="840" t="n"/>
      <c r="AL37" s="841" t="n"/>
      <c r="AM37" s="839" t="n"/>
      <c r="AN37" s="839" t="n"/>
      <c r="AO37" s="839" t="n"/>
      <c r="AP37" s="839" t="n"/>
      <c r="AQ37" s="839" t="n"/>
      <c r="AR37" s="839" t="n"/>
      <c r="AS37" s="839" t="n"/>
      <c r="AT37" s="842" t="n"/>
      <c r="AU37" s="838" t="n"/>
      <c r="AV37" s="840" t="n"/>
      <c r="AW37" s="843" t="n"/>
      <c r="AX37" s="844" t="n"/>
      <c r="AY37" s="845" t="n"/>
      <c r="AZ37" s="845" t="n"/>
      <c r="BA37" s="845" t="n"/>
      <c r="BB37" s="846" t="n"/>
      <c r="BC37" s="847" t="n"/>
      <c r="BD37" s="846" t="n"/>
      <c r="BE37" s="847" t="n"/>
      <c r="BF37" s="836" t="n"/>
    </row>
    <row r="38">
      <c r="A38" s="819" t="n"/>
      <c r="B38" s="820" t="n"/>
      <c r="C38" s="821">
        <f>SUM(Z38:AC38)</f>
        <v/>
      </c>
      <c r="D38" s="821">
        <f>SUM(AD38:AK38)</f>
        <v/>
      </c>
      <c r="E38" s="822">
        <f>SUM(AL38:AT38)</f>
        <v/>
      </c>
      <c r="F38" s="822">
        <f>SUM(AU38:AW38)</f>
        <v/>
      </c>
      <c r="G38" s="822">
        <f>SUM(AX38:BB38)</f>
        <v/>
      </c>
      <c r="H38" s="822">
        <f>SUM(BC38:BD38)</f>
        <v/>
      </c>
      <c r="I38" s="822">
        <f>SUM(V38:Y38)</f>
        <v/>
      </c>
      <c r="J38" s="823">
        <f>SUM(C38:I38)</f>
        <v/>
      </c>
      <c r="K38" s="824" t="n"/>
      <c r="L38" s="825" t="n"/>
      <c r="M38" s="826" t="n"/>
      <c r="N38" s="827" t="n"/>
      <c r="O38" s="828" t="n"/>
      <c r="P38" s="827" t="n"/>
      <c r="Q38" s="827" t="n"/>
      <c r="R38" s="829">
        <f>R37+SUM(N38:Q38)-SUM(J38:M38)</f>
        <v/>
      </c>
      <c r="S38" s="830" t="n"/>
      <c r="T38" s="831" t="n"/>
      <c r="U38" s="832" t="n"/>
      <c r="V38" s="833" t="n"/>
      <c r="W38" s="821" t="n"/>
      <c r="X38" s="821" t="n"/>
      <c r="Y38" s="821" t="n"/>
      <c r="Z38" s="821" t="n"/>
      <c r="AA38" s="834" t="n"/>
      <c r="AB38" s="835" t="n"/>
      <c r="AC38" s="836" t="n"/>
      <c r="AD38" s="837" t="n"/>
      <c r="AE38" s="838" t="n"/>
      <c r="AF38" s="839" t="n"/>
      <c r="AG38" s="839" t="n"/>
      <c r="AH38" s="839" t="n"/>
      <c r="AI38" s="839" t="n"/>
      <c r="AJ38" s="839" t="n"/>
      <c r="AK38" s="840" t="n"/>
      <c r="AL38" s="841" t="n"/>
      <c r="AM38" s="839" t="n"/>
      <c r="AN38" s="839" t="n"/>
      <c r="AO38" s="839" t="n"/>
      <c r="AP38" s="839" t="n"/>
      <c r="AQ38" s="839" t="n"/>
      <c r="AR38" s="839" t="n"/>
      <c r="AS38" s="839" t="n"/>
      <c r="AT38" s="842" t="n"/>
      <c r="AU38" s="838" t="n"/>
      <c r="AV38" s="840" t="n"/>
      <c r="AW38" s="843" t="n"/>
      <c r="AX38" s="844" t="n"/>
      <c r="AY38" s="845" t="n"/>
      <c r="AZ38" s="845" t="n"/>
      <c r="BA38" s="845" t="n"/>
      <c r="BB38" s="846" t="n"/>
      <c r="BC38" s="847" t="n"/>
      <c r="BD38" s="846" t="n"/>
      <c r="BE38" s="847" t="n"/>
      <c r="BF38" s="836" t="n"/>
    </row>
    <row r="39">
      <c r="A39" s="819" t="n"/>
      <c r="B39" s="820" t="n"/>
      <c r="C39" s="821">
        <f>SUM(Z39:AC39)</f>
        <v/>
      </c>
      <c r="D39" s="821">
        <f>SUM(AD39:AK39)</f>
        <v/>
      </c>
      <c r="E39" s="822">
        <f>SUM(AL39:AT39)</f>
        <v/>
      </c>
      <c r="F39" s="822">
        <f>SUM(AU39:AW39)</f>
        <v/>
      </c>
      <c r="G39" s="822">
        <f>SUM(AX39:BB39)</f>
        <v/>
      </c>
      <c r="H39" s="822">
        <f>SUM(BC39:BD39)</f>
        <v/>
      </c>
      <c r="I39" s="822">
        <f>SUM(V39:Y39)</f>
        <v/>
      </c>
      <c r="J39" s="823">
        <f>SUM(C39:I39)</f>
        <v/>
      </c>
      <c r="K39" s="824" t="n"/>
      <c r="L39" s="825" t="n"/>
      <c r="M39" s="826" t="n"/>
      <c r="N39" s="827" t="n"/>
      <c r="O39" s="828" t="n"/>
      <c r="P39" s="827" t="n"/>
      <c r="Q39" s="827" t="n"/>
      <c r="R39" s="829">
        <f>R38+SUM(N39:Q39)-SUM(J39:M39)</f>
        <v/>
      </c>
      <c r="S39" s="830" t="n"/>
      <c r="T39" s="831" t="n"/>
      <c r="U39" s="832" t="n"/>
      <c r="V39" s="833" t="n"/>
      <c r="W39" s="821" t="n"/>
      <c r="X39" s="821" t="n"/>
      <c r="Y39" s="821" t="n"/>
      <c r="Z39" s="821" t="n"/>
      <c r="AA39" s="834" t="n"/>
      <c r="AB39" s="835" t="n"/>
      <c r="AC39" s="836" t="n"/>
      <c r="AD39" s="837" t="n"/>
      <c r="AE39" s="838" t="n"/>
      <c r="AF39" s="839" t="n"/>
      <c r="AG39" s="839" t="n"/>
      <c r="AH39" s="839" t="n"/>
      <c r="AI39" s="839" t="n"/>
      <c r="AJ39" s="839" t="n"/>
      <c r="AK39" s="840" t="n"/>
      <c r="AL39" s="841" t="n"/>
      <c r="AM39" s="839" t="n"/>
      <c r="AN39" s="839" t="n"/>
      <c r="AO39" s="839" t="n"/>
      <c r="AP39" s="839" t="n"/>
      <c r="AQ39" s="839" t="n"/>
      <c r="AR39" s="839" t="n"/>
      <c r="AS39" s="839" t="n"/>
      <c r="AT39" s="842" t="n"/>
      <c r="AU39" s="838" t="n"/>
      <c r="AV39" s="840" t="n"/>
      <c r="AW39" s="843" t="n"/>
      <c r="AX39" s="844" t="n"/>
      <c r="AY39" s="845" t="n"/>
      <c r="AZ39" s="845" t="n"/>
      <c r="BA39" s="845" t="n"/>
      <c r="BB39" s="846" t="n"/>
      <c r="BC39" s="847" t="n"/>
      <c r="BD39" s="846" t="n"/>
      <c r="BE39" s="847" t="n"/>
      <c r="BF39" s="836" t="n"/>
    </row>
    <row r="40">
      <c r="A40" s="819" t="n"/>
      <c r="B40" s="820" t="n"/>
      <c r="C40" s="821">
        <f>SUM(Z40:AC40)</f>
        <v/>
      </c>
      <c r="D40" s="821">
        <f>SUM(AD40:AK40)</f>
        <v/>
      </c>
      <c r="E40" s="822">
        <f>SUM(AL40:AT40)</f>
        <v/>
      </c>
      <c r="F40" s="822">
        <f>SUM(AU40:AW40)</f>
        <v/>
      </c>
      <c r="G40" s="822">
        <f>SUM(AX40:BB40)</f>
        <v/>
      </c>
      <c r="H40" s="822">
        <f>SUM(BC40:BD40)</f>
        <v/>
      </c>
      <c r="I40" s="822">
        <f>SUM(V40:Y40)</f>
        <v/>
      </c>
      <c r="J40" s="823">
        <f>SUM(C40:I40)</f>
        <v/>
      </c>
      <c r="K40" s="824" t="n"/>
      <c r="L40" s="825" t="n"/>
      <c r="M40" s="826" t="n"/>
      <c r="N40" s="827" t="n"/>
      <c r="O40" s="828" t="n"/>
      <c r="P40" s="827" t="n"/>
      <c r="Q40" s="827" t="n"/>
      <c r="R40" s="829">
        <f>R39+SUM(N40:Q40)-SUM(J40:M40)</f>
        <v/>
      </c>
      <c r="S40" s="830" t="n"/>
      <c r="T40" s="831" t="n"/>
      <c r="U40" s="832" t="n"/>
      <c r="V40" s="833" t="n"/>
      <c r="W40" s="821" t="n"/>
      <c r="X40" s="821" t="n"/>
      <c r="Y40" s="821" t="n"/>
      <c r="Z40" s="821" t="n"/>
      <c r="AA40" s="834" t="n"/>
      <c r="AB40" s="835" t="n"/>
      <c r="AC40" s="836" t="n"/>
      <c r="AD40" s="837" t="n"/>
      <c r="AE40" s="838" t="n"/>
      <c r="AF40" s="839" t="n"/>
      <c r="AG40" s="839" t="n"/>
      <c r="AH40" s="839" t="n"/>
      <c r="AI40" s="839" t="n"/>
      <c r="AJ40" s="839" t="n"/>
      <c r="AK40" s="840" t="n"/>
      <c r="AL40" s="841" t="n"/>
      <c r="AM40" s="839" t="n"/>
      <c r="AN40" s="839" t="n"/>
      <c r="AO40" s="839" t="n"/>
      <c r="AP40" s="839" t="n"/>
      <c r="AQ40" s="839" t="n"/>
      <c r="AR40" s="839" t="n"/>
      <c r="AS40" s="839" t="n"/>
      <c r="AT40" s="842" t="n"/>
      <c r="AU40" s="838" t="n"/>
      <c r="AV40" s="840" t="n"/>
      <c r="AW40" s="843" t="n"/>
      <c r="AX40" s="844" t="n"/>
      <c r="AY40" s="845" t="n"/>
      <c r="AZ40" s="845" t="n"/>
      <c r="BA40" s="845" t="n"/>
      <c r="BB40" s="846" t="n"/>
      <c r="BC40" s="847" t="n"/>
      <c r="BD40" s="846" t="n"/>
      <c r="BE40" s="847" t="n"/>
      <c r="BF40" s="836" t="n"/>
    </row>
    <row r="41">
      <c r="A41" s="819" t="n"/>
      <c r="B41" s="820" t="n"/>
      <c r="C41" s="821">
        <f>SUM(Z41:AC41)</f>
        <v/>
      </c>
      <c r="D41" s="821">
        <f>SUM(AD41:AK41)</f>
        <v/>
      </c>
      <c r="E41" s="822">
        <f>SUM(AL41:AT41)</f>
        <v/>
      </c>
      <c r="F41" s="822">
        <f>SUM(AU41:AW41)</f>
        <v/>
      </c>
      <c r="G41" s="822">
        <f>SUM(AX41:BB41)</f>
        <v/>
      </c>
      <c r="H41" s="822">
        <f>SUM(BC41:BD41)</f>
        <v/>
      </c>
      <c r="I41" s="822">
        <f>SUM(V41:Y41)</f>
        <v/>
      </c>
      <c r="J41" s="823">
        <f>SUM(C41:I41)</f>
        <v/>
      </c>
      <c r="K41" s="824" t="n"/>
      <c r="L41" s="825" t="n"/>
      <c r="M41" s="826" t="n"/>
      <c r="N41" s="827" t="n"/>
      <c r="O41" s="828" t="n"/>
      <c r="P41" s="827" t="n"/>
      <c r="Q41" s="827" t="n"/>
      <c r="R41" s="829">
        <f>R40+SUM(N41:Q41)-SUM(J41:M41)</f>
        <v/>
      </c>
      <c r="S41" s="830" t="n"/>
      <c r="T41" s="831" t="n"/>
      <c r="U41" s="832" t="n"/>
      <c r="V41" s="833" t="n"/>
      <c r="W41" s="821" t="n"/>
      <c r="X41" s="821" t="n"/>
      <c r="Y41" s="821" t="n"/>
      <c r="Z41" s="821" t="n"/>
      <c r="AA41" s="834" t="n"/>
      <c r="AB41" s="835" t="n"/>
      <c r="AC41" s="836" t="n"/>
      <c r="AD41" s="837" t="n"/>
      <c r="AE41" s="838" t="n"/>
      <c r="AF41" s="839" t="n"/>
      <c r="AG41" s="839" t="n"/>
      <c r="AH41" s="839" t="n"/>
      <c r="AI41" s="839" t="n"/>
      <c r="AJ41" s="839" t="n"/>
      <c r="AK41" s="840" t="n"/>
      <c r="AL41" s="841" t="n"/>
      <c r="AM41" s="839" t="n"/>
      <c r="AN41" s="839" t="n"/>
      <c r="AO41" s="839" t="n"/>
      <c r="AP41" s="839" t="n"/>
      <c r="AQ41" s="839" t="n"/>
      <c r="AR41" s="839" t="n"/>
      <c r="AS41" s="839" t="n"/>
      <c r="AT41" s="842" t="n"/>
      <c r="AU41" s="838" t="n"/>
      <c r="AV41" s="840" t="n"/>
      <c r="AW41" s="843" t="n"/>
      <c r="AX41" s="844" t="n"/>
      <c r="AY41" s="845" t="n"/>
      <c r="AZ41" s="845" t="n"/>
      <c r="BA41" s="845" t="n"/>
      <c r="BB41" s="846" t="n"/>
      <c r="BC41" s="847" t="n"/>
      <c r="BD41" s="846" t="n"/>
      <c r="BE41" s="847" t="n"/>
      <c r="BF41" s="836" t="n"/>
    </row>
    <row r="42">
      <c r="A42" s="819" t="n"/>
      <c r="B42" s="820" t="n"/>
      <c r="C42" s="821">
        <f>SUM(Z42:AC42)</f>
        <v/>
      </c>
      <c r="D42" s="821">
        <f>SUM(AD42:AK42)</f>
        <v/>
      </c>
      <c r="E42" s="822">
        <f>SUM(AL42:AT42)</f>
        <v/>
      </c>
      <c r="F42" s="822">
        <f>SUM(AU42:AW42)</f>
        <v/>
      </c>
      <c r="G42" s="822">
        <f>SUM(AX42:BB42)</f>
        <v/>
      </c>
      <c r="H42" s="822">
        <f>SUM(BC42:BD42)</f>
        <v/>
      </c>
      <c r="I42" s="822">
        <f>SUM(V42:Y42)</f>
        <v/>
      </c>
      <c r="J42" s="823">
        <f>SUM(C42:I42)</f>
        <v/>
      </c>
      <c r="K42" s="824" t="n"/>
      <c r="L42" s="825" t="n"/>
      <c r="M42" s="826" t="n"/>
      <c r="N42" s="827" t="n"/>
      <c r="O42" s="828" t="n"/>
      <c r="P42" s="827" t="n"/>
      <c r="Q42" s="827" t="n"/>
      <c r="R42" s="829">
        <f>R41+SUM(N42:Q42)-SUM(J42:M42)</f>
        <v/>
      </c>
      <c r="S42" s="830" t="n"/>
      <c r="T42" s="831" t="n"/>
      <c r="U42" s="832" t="n"/>
      <c r="V42" s="833" t="n"/>
      <c r="W42" s="821" t="n"/>
      <c r="X42" s="821" t="n"/>
      <c r="Y42" s="821" t="n"/>
      <c r="Z42" s="821" t="n"/>
      <c r="AA42" s="834" t="n"/>
      <c r="AB42" s="835" t="n"/>
      <c r="AC42" s="836" t="n"/>
      <c r="AD42" s="837" t="n"/>
      <c r="AE42" s="838" t="n"/>
      <c r="AF42" s="839" t="n"/>
      <c r="AG42" s="839" t="n"/>
      <c r="AH42" s="839" t="n"/>
      <c r="AI42" s="839" t="n"/>
      <c r="AJ42" s="839" t="n"/>
      <c r="AK42" s="840" t="n"/>
      <c r="AL42" s="841" t="n"/>
      <c r="AM42" s="839" t="n"/>
      <c r="AN42" s="839" t="n"/>
      <c r="AO42" s="839" t="n"/>
      <c r="AP42" s="839" t="n"/>
      <c r="AQ42" s="839" t="n"/>
      <c r="AR42" s="839" t="n"/>
      <c r="AS42" s="839" t="n"/>
      <c r="AT42" s="842" t="n"/>
      <c r="AU42" s="838" t="n"/>
      <c r="AV42" s="840" t="n"/>
      <c r="AW42" s="843" t="n"/>
      <c r="AX42" s="844" t="n"/>
      <c r="AY42" s="845" t="n"/>
      <c r="AZ42" s="845" t="n"/>
      <c r="BA42" s="845" t="n"/>
      <c r="BB42" s="846" t="n"/>
      <c r="BC42" s="847" t="n"/>
      <c r="BD42" s="846" t="n"/>
      <c r="BE42" s="847" t="n"/>
      <c r="BF42" s="836" t="n"/>
    </row>
    <row r="43">
      <c r="A43" s="819" t="n"/>
      <c r="B43" s="820" t="n"/>
      <c r="C43" s="821">
        <f>SUM(Z43:AC43)</f>
        <v/>
      </c>
      <c r="D43" s="821">
        <f>SUM(AD43:AK43)</f>
        <v/>
      </c>
      <c r="E43" s="822">
        <f>SUM(AL43:AT43)</f>
        <v/>
      </c>
      <c r="F43" s="822">
        <f>SUM(AU43:AW43)</f>
        <v/>
      </c>
      <c r="G43" s="822">
        <f>SUM(AX43:BB43)</f>
        <v/>
      </c>
      <c r="H43" s="822">
        <f>SUM(BC43:BD43)</f>
        <v/>
      </c>
      <c r="I43" s="822">
        <f>SUM(V43:Y43)</f>
        <v/>
      </c>
      <c r="J43" s="823">
        <f>SUM(C43:I43)</f>
        <v/>
      </c>
      <c r="K43" s="824" t="n"/>
      <c r="L43" s="825" t="n"/>
      <c r="M43" s="826" t="n"/>
      <c r="N43" s="827" t="n"/>
      <c r="O43" s="828" t="n"/>
      <c r="P43" s="827" t="n"/>
      <c r="Q43" s="827" t="n"/>
      <c r="R43" s="829">
        <f>R42+SUM(N43:Q43)-SUM(J43:M43)</f>
        <v/>
      </c>
      <c r="S43" s="830" t="n"/>
      <c r="T43" s="831" t="n"/>
      <c r="U43" s="832" t="n"/>
      <c r="V43" s="833" t="n"/>
      <c r="W43" s="821" t="n"/>
      <c r="X43" s="821" t="n"/>
      <c r="Y43" s="821" t="n"/>
      <c r="Z43" s="821" t="n"/>
      <c r="AA43" s="834" t="n"/>
      <c r="AB43" s="835" t="n"/>
      <c r="AC43" s="836" t="n"/>
      <c r="AD43" s="837" t="n"/>
      <c r="AE43" s="838" t="n"/>
      <c r="AF43" s="839" t="n"/>
      <c r="AG43" s="839" t="n"/>
      <c r="AH43" s="839" t="n"/>
      <c r="AI43" s="839" t="n"/>
      <c r="AJ43" s="839" t="n"/>
      <c r="AK43" s="840" t="n"/>
      <c r="AL43" s="841" t="n"/>
      <c r="AM43" s="839" t="n"/>
      <c r="AN43" s="839" t="n"/>
      <c r="AO43" s="839" t="n"/>
      <c r="AP43" s="839" t="n"/>
      <c r="AQ43" s="839" t="n"/>
      <c r="AR43" s="839" t="n"/>
      <c r="AS43" s="839" t="n"/>
      <c r="AT43" s="842" t="n"/>
      <c r="AU43" s="838" t="n"/>
      <c r="AV43" s="840" t="n"/>
      <c r="AW43" s="843" t="n"/>
      <c r="AX43" s="844" t="n"/>
      <c r="AY43" s="845" t="n"/>
      <c r="AZ43" s="845" t="n"/>
      <c r="BA43" s="845" t="n"/>
      <c r="BB43" s="846" t="n"/>
      <c r="BC43" s="847" t="n"/>
      <c r="BD43" s="846" t="n"/>
      <c r="BE43" s="847" t="n"/>
      <c r="BF43" s="836" t="n"/>
    </row>
    <row r="44">
      <c r="A44" s="819" t="n"/>
      <c r="B44" s="820" t="n"/>
      <c r="C44" s="821">
        <f>SUM(Z44:AC44)</f>
        <v/>
      </c>
      <c r="D44" s="821">
        <f>SUM(AD44:AK44)</f>
        <v/>
      </c>
      <c r="E44" s="822">
        <f>SUM(AL44:AT44)</f>
        <v/>
      </c>
      <c r="F44" s="822">
        <f>SUM(AU44:AW44)</f>
        <v/>
      </c>
      <c r="G44" s="822">
        <f>SUM(AX44:BB44)</f>
        <v/>
      </c>
      <c r="H44" s="822">
        <f>SUM(BC44:BD44)</f>
        <v/>
      </c>
      <c r="I44" s="822">
        <f>SUM(V44:Y44)</f>
        <v/>
      </c>
      <c r="J44" s="823">
        <f>SUM(C44:I44)</f>
        <v/>
      </c>
      <c r="K44" s="824" t="n"/>
      <c r="L44" s="825" t="n"/>
      <c r="M44" s="826" t="n"/>
      <c r="N44" s="827" t="n"/>
      <c r="O44" s="828" t="n"/>
      <c r="P44" s="827" t="n"/>
      <c r="Q44" s="827" t="n"/>
      <c r="R44" s="829">
        <f>R43+SUM(N44:Q44)-SUM(J44:M44)</f>
        <v/>
      </c>
      <c r="S44" s="830" t="n"/>
      <c r="T44" s="831" t="n"/>
      <c r="U44" s="832" t="n"/>
      <c r="V44" s="833" t="n"/>
      <c r="W44" s="821" t="n"/>
      <c r="X44" s="821" t="n"/>
      <c r="Y44" s="821" t="n"/>
      <c r="Z44" s="821" t="n"/>
      <c r="AA44" s="834" t="n"/>
      <c r="AB44" s="835" t="n"/>
      <c r="AC44" s="836" t="n"/>
      <c r="AD44" s="837" t="n"/>
      <c r="AE44" s="838" t="n"/>
      <c r="AF44" s="839" t="n"/>
      <c r="AG44" s="839" t="n"/>
      <c r="AH44" s="839" t="n"/>
      <c r="AI44" s="839" t="n"/>
      <c r="AJ44" s="839" t="n"/>
      <c r="AK44" s="840" t="n"/>
      <c r="AL44" s="841" t="n"/>
      <c r="AM44" s="839" t="n"/>
      <c r="AN44" s="839" t="n"/>
      <c r="AO44" s="839" t="n"/>
      <c r="AP44" s="839" t="n"/>
      <c r="AQ44" s="839" t="n"/>
      <c r="AR44" s="839" t="n"/>
      <c r="AS44" s="839" t="n"/>
      <c r="AT44" s="842" t="n"/>
      <c r="AU44" s="838" t="n"/>
      <c r="AV44" s="840" t="n"/>
      <c r="AW44" s="843" t="n"/>
      <c r="AX44" s="844" t="n"/>
      <c r="AY44" s="845" t="n"/>
      <c r="AZ44" s="845" t="n"/>
      <c r="BA44" s="845" t="n"/>
      <c r="BB44" s="846" t="n"/>
      <c r="BC44" s="847" t="n"/>
      <c r="BD44" s="846" t="n"/>
      <c r="BE44" s="847" t="n"/>
      <c r="BF44" s="836" t="n"/>
    </row>
    <row r="45">
      <c r="A45" s="819" t="n"/>
      <c r="B45" s="820" t="n"/>
      <c r="C45" s="821">
        <f>SUM(Z45:AC45)</f>
        <v/>
      </c>
      <c r="D45" s="821">
        <f>SUM(AD45:AK45)</f>
        <v/>
      </c>
      <c r="E45" s="822">
        <f>SUM(AL45:AT45)</f>
        <v/>
      </c>
      <c r="F45" s="822">
        <f>SUM(AU45:AW45)</f>
        <v/>
      </c>
      <c r="G45" s="822">
        <f>SUM(AX45:BB45)</f>
        <v/>
      </c>
      <c r="H45" s="822">
        <f>SUM(BC45:BD45)</f>
        <v/>
      </c>
      <c r="I45" s="822">
        <f>SUM(V45:Y45)</f>
        <v/>
      </c>
      <c r="J45" s="823">
        <f>SUM(C45:I45)</f>
        <v/>
      </c>
      <c r="K45" s="824" t="n"/>
      <c r="L45" s="825" t="n"/>
      <c r="M45" s="826" t="n"/>
      <c r="N45" s="827" t="n"/>
      <c r="O45" s="828" t="n"/>
      <c r="P45" s="827" t="n"/>
      <c r="Q45" s="827" t="n"/>
      <c r="R45" s="829">
        <f>R44+SUM(N45:Q45)-SUM(J45:M45)</f>
        <v/>
      </c>
      <c r="S45" s="830" t="n"/>
      <c r="T45" s="831" t="n"/>
      <c r="U45" s="832" t="n"/>
      <c r="V45" s="833" t="n"/>
      <c r="W45" s="821" t="n"/>
      <c r="X45" s="821" t="n"/>
      <c r="Y45" s="821" t="n"/>
      <c r="Z45" s="821" t="n"/>
      <c r="AA45" s="834" t="n"/>
      <c r="AB45" s="835" t="n"/>
      <c r="AC45" s="836" t="n"/>
      <c r="AD45" s="837" t="n"/>
      <c r="AE45" s="838" t="n"/>
      <c r="AF45" s="839" t="n"/>
      <c r="AG45" s="839" t="n"/>
      <c r="AH45" s="839" t="n"/>
      <c r="AI45" s="839" t="n"/>
      <c r="AJ45" s="839" t="n"/>
      <c r="AK45" s="840" t="n"/>
      <c r="AL45" s="841" t="n"/>
      <c r="AM45" s="839" t="n"/>
      <c r="AN45" s="839" t="n"/>
      <c r="AO45" s="839" t="n"/>
      <c r="AP45" s="839" t="n"/>
      <c r="AQ45" s="839" t="n"/>
      <c r="AR45" s="839" t="n"/>
      <c r="AS45" s="839" t="n"/>
      <c r="AT45" s="842" t="n"/>
      <c r="AU45" s="838" t="n"/>
      <c r="AV45" s="840" t="n"/>
      <c r="AW45" s="843" t="n"/>
      <c r="AX45" s="844" t="n"/>
      <c r="AY45" s="845" t="n"/>
      <c r="AZ45" s="845" t="n"/>
      <c r="BA45" s="845" t="n"/>
      <c r="BB45" s="846" t="n"/>
      <c r="BC45" s="847" t="n"/>
      <c r="BD45" s="846" t="n"/>
      <c r="BE45" s="847" t="n"/>
      <c r="BF45" s="836" t="n"/>
    </row>
    <row r="46">
      <c r="A46" s="819" t="n"/>
      <c r="B46" s="820" t="n"/>
      <c r="C46" s="821">
        <f>SUM(Z46:AC46)</f>
        <v/>
      </c>
      <c r="D46" s="821">
        <f>SUM(AD46:AK46)</f>
        <v/>
      </c>
      <c r="E46" s="822">
        <f>SUM(AL46:AT46)</f>
        <v/>
      </c>
      <c r="F46" s="822">
        <f>SUM(AU46:AW46)</f>
        <v/>
      </c>
      <c r="G46" s="822">
        <f>SUM(AX46:BB46)</f>
        <v/>
      </c>
      <c r="H46" s="822">
        <f>SUM(BC46:BD46)</f>
        <v/>
      </c>
      <c r="I46" s="822">
        <f>SUM(V46:Y46)</f>
        <v/>
      </c>
      <c r="J46" s="823">
        <f>SUM(C46:I46)</f>
        <v/>
      </c>
      <c r="K46" s="824" t="n"/>
      <c r="L46" s="825" t="n"/>
      <c r="M46" s="826" t="n"/>
      <c r="N46" s="827" t="n"/>
      <c r="O46" s="828" t="n"/>
      <c r="P46" s="827" t="n"/>
      <c r="Q46" s="827" t="n"/>
      <c r="R46" s="829">
        <f>R45+SUM(N46:Q46)-SUM(J46:M46)</f>
        <v/>
      </c>
      <c r="S46" s="830" t="n"/>
      <c r="T46" s="831" t="n"/>
      <c r="U46" s="832" t="n"/>
      <c r="V46" s="833" t="n"/>
      <c r="W46" s="821" t="n"/>
      <c r="X46" s="821" t="n"/>
      <c r="Y46" s="821" t="n"/>
      <c r="Z46" s="821" t="n"/>
      <c r="AA46" s="834" t="n"/>
      <c r="AB46" s="835" t="n"/>
      <c r="AC46" s="836" t="n"/>
      <c r="AD46" s="837" t="n"/>
      <c r="AE46" s="838" t="n"/>
      <c r="AF46" s="839" t="n"/>
      <c r="AG46" s="839" t="n"/>
      <c r="AH46" s="839" t="n"/>
      <c r="AI46" s="839" t="n"/>
      <c r="AJ46" s="839" t="n"/>
      <c r="AK46" s="840" t="n"/>
      <c r="AL46" s="841" t="n"/>
      <c r="AM46" s="839" t="n"/>
      <c r="AN46" s="839" t="n"/>
      <c r="AO46" s="839" t="n"/>
      <c r="AP46" s="839" t="n"/>
      <c r="AQ46" s="839" t="n"/>
      <c r="AR46" s="839" t="n"/>
      <c r="AS46" s="839" t="n"/>
      <c r="AT46" s="842" t="n"/>
      <c r="AU46" s="838" t="n"/>
      <c r="AV46" s="840" t="n"/>
      <c r="AW46" s="843" t="n"/>
      <c r="AX46" s="844" t="n"/>
      <c r="AY46" s="845" t="n"/>
      <c r="AZ46" s="845" t="n"/>
      <c r="BA46" s="845" t="n"/>
      <c r="BB46" s="846" t="n"/>
      <c r="BC46" s="847" t="n"/>
      <c r="BD46" s="846" t="n"/>
      <c r="BE46" s="847" t="n"/>
      <c r="BF46" s="836" t="n"/>
    </row>
    <row r="47">
      <c r="A47" s="819" t="n"/>
      <c r="B47" s="820" t="n"/>
      <c r="C47" s="821">
        <f>SUM(Z47:AC47)</f>
        <v/>
      </c>
      <c r="D47" s="821">
        <f>SUM(AD47:AK47)</f>
        <v/>
      </c>
      <c r="E47" s="822">
        <f>SUM(AL47:AT47)</f>
        <v/>
      </c>
      <c r="F47" s="822">
        <f>SUM(AU47:AW47)</f>
        <v/>
      </c>
      <c r="G47" s="822">
        <f>SUM(AX47:BB47)</f>
        <v/>
      </c>
      <c r="H47" s="822">
        <f>SUM(BC47:BD47)</f>
        <v/>
      </c>
      <c r="I47" s="822">
        <f>SUM(V47:Y47)</f>
        <v/>
      </c>
      <c r="J47" s="823">
        <f>SUM(C47:I47)</f>
        <v/>
      </c>
      <c r="K47" s="824" t="n"/>
      <c r="L47" s="825" t="n"/>
      <c r="M47" s="826" t="n"/>
      <c r="N47" s="827" t="n"/>
      <c r="O47" s="828" t="n"/>
      <c r="P47" s="827" t="n"/>
      <c r="Q47" s="827" t="n"/>
      <c r="R47" s="829">
        <f>R46+SUM(N47:Q47)-SUM(J47:M47)</f>
        <v/>
      </c>
      <c r="S47" s="830" t="n"/>
      <c r="T47" s="831" t="n"/>
      <c r="U47" s="832" t="n"/>
      <c r="V47" s="833" t="n"/>
      <c r="W47" s="821" t="n"/>
      <c r="X47" s="821" t="n"/>
      <c r="Y47" s="821" t="n"/>
      <c r="Z47" s="821" t="n"/>
      <c r="AA47" s="834" t="n"/>
      <c r="AB47" s="835" t="n"/>
      <c r="AC47" s="836" t="n"/>
      <c r="AD47" s="837" t="n"/>
      <c r="AE47" s="838" t="n"/>
      <c r="AF47" s="839" t="n"/>
      <c r="AG47" s="839" t="n"/>
      <c r="AH47" s="839" t="n"/>
      <c r="AI47" s="839" t="n"/>
      <c r="AJ47" s="839" t="n"/>
      <c r="AK47" s="840" t="n"/>
      <c r="AL47" s="841" t="n"/>
      <c r="AM47" s="839" t="n"/>
      <c r="AN47" s="839" t="n"/>
      <c r="AO47" s="839" t="n"/>
      <c r="AP47" s="839" t="n"/>
      <c r="AQ47" s="839" t="n"/>
      <c r="AR47" s="839" t="n"/>
      <c r="AS47" s="839" t="n"/>
      <c r="AT47" s="842" t="n"/>
      <c r="AU47" s="838" t="n"/>
      <c r="AV47" s="840" t="n"/>
      <c r="AW47" s="843" t="n"/>
      <c r="AX47" s="844" t="n"/>
      <c r="AY47" s="845" t="n"/>
      <c r="AZ47" s="845" t="n"/>
      <c r="BA47" s="845" t="n"/>
      <c r="BB47" s="846" t="n"/>
      <c r="BC47" s="847" t="n"/>
      <c r="BD47" s="846" t="n"/>
      <c r="BE47" s="847" t="n"/>
      <c r="BF47" s="836" t="n"/>
    </row>
    <row r="48">
      <c r="A48" s="819" t="n"/>
      <c r="B48" s="820" t="n"/>
      <c r="C48" s="821">
        <f>SUM(Z48:AC48)</f>
        <v/>
      </c>
      <c r="D48" s="821">
        <f>SUM(AD48:AK48)</f>
        <v/>
      </c>
      <c r="E48" s="822">
        <f>SUM(AL48:AT48)</f>
        <v/>
      </c>
      <c r="F48" s="822">
        <f>SUM(AU48:AW48)</f>
        <v/>
      </c>
      <c r="G48" s="822">
        <f>SUM(AX48:BB48)</f>
        <v/>
      </c>
      <c r="H48" s="822">
        <f>SUM(BC48:BD48)</f>
        <v/>
      </c>
      <c r="I48" s="822">
        <f>SUM(V48:Y48)</f>
        <v/>
      </c>
      <c r="J48" s="823">
        <f>SUM(C48:I48)</f>
        <v/>
      </c>
      <c r="K48" s="824" t="n"/>
      <c r="L48" s="825" t="n"/>
      <c r="M48" s="826" t="n"/>
      <c r="N48" s="827" t="n"/>
      <c r="O48" s="828" t="n"/>
      <c r="P48" s="827" t="n"/>
      <c r="Q48" s="827" t="n"/>
      <c r="R48" s="829">
        <f>R47+SUM(N48:Q48)-SUM(J48:M48)</f>
        <v/>
      </c>
      <c r="S48" s="830" t="n"/>
      <c r="T48" s="831" t="n"/>
      <c r="U48" s="832" t="n"/>
      <c r="V48" s="833" t="n"/>
      <c r="W48" s="821" t="n"/>
      <c r="X48" s="821" t="n"/>
      <c r="Y48" s="821" t="n"/>
      <c r="Z48" s="821" t="n"/>
      <c r="AA48" s="834" t="n"/>
      <c r="AB48" s="835" t="n"/>
      <c r="AC48" s="836" t="n"/>
      <c r="AD48" s="837" t="n"/>
      <c r="AE48" s="838" t="n"/>
      <c r="AF48" s="839" t="n"/>
      <c r="AG48" s="839" t="n"/>
      <c r="AH48" s="839" t="n"/>
      <c r="AI48" s="839" t="n"/>
      <c r="AJ48" s="839" t="n"/>
      <c r="AK48" s="840" t="n"/>
      <c r="AL48" s="841" t="n"/>
      <c r="AM48" s="839" t="n"/>
      <c r="AN48" s="839" t="n"/>
      <c r="AO48" s="839" t="n"/>
      <c r="AP48" s="839" t="n"/>
      <c r="AQ48" s="839" t="n"/>
      <c r="AR48" s="839" t="n"/>
      <c r="AS48" s="839" t="n"/>
      <c r="AT48" s="842" t="n"/>
      <c r="AU48" s="838" t="n"/>
      <c r="AV48" s="840" t="n"/>
      <c r="AW48" s="843" t="n"/>
      <c r="AX48" s="844" t="n"/>
      <c r="AY48" s="845" t="n"/>
      <c r="AZ48" s="845" t="n"/>
      <c r="BA48" s="845" t="n"/>
      <c r="BB48" s="846" t="n"/>
      <c r="BC48" s="847" t="n"/>
      <c r="BD48" s="846" t="n"/>
      <c r="BE48" s="847" t="n"/>
      <c r="BF48" s="836" t="n"/>
    </row>
    <row r="49">
      <c r="A49" s="819" t="n"/>
      <c r="B49" s="820" t="n"/>
      <c r="C49" s="821">
        <f>SUM(Z49:AC49)</f>
        <v/>
      </c>
      <c r="D49" s="821">
        <f>SUM(AD49:AK49)</f>
        <v/>
      </c>
      <c r="E49" s="822">
        <f>SUM(AL49:AT49)</f>
        <v/>
      </c>
      <c r="F49" s="822">
        <f>SUM(AU49:AW49)</f>
        <v/>
      </c>
      <c r="G49" s="822">
        <f>SUM(AX49:BB49)</f>
        <v/>
      </c>
      <c r="H49" s="822">
        <f>SUM(BC49:BD49)</f>
        <v/>
      </c>
      <c r="I49" s="822">
        <f>SUM(V49:Y49)</f>
        <v/>
      </c>
      <c r="J49" s="823">
        <f>SUM(C49:I49)</f>
        <v/>
      </c>
      <c r="K49" s="824" t="n"/>
      <c r="L49" s="825" t="n"/>
      <c r="M49" s="826" t="n"/>
      <c r="N49" s="827" t="n"/>
      <c r="O49" s="828" t="n"/>
      <c r="P49" s="827" t="n"/>
      <c r="Q49" s="827" t="n"/>
      <c r="R49" s="829">
        <f>R48+SUM(N49:Q49)-SUM(J49:M49)</f>
        <v/>
      </c>
      <c r="S49" s="830" t="n"/>
      <c r="T49" s="831" t="n"/>
      <c r="U49" s="832" t="n"/>
      <c r="V49" s="833" t="n"/>
      <c r="W49" s="821" t="n"/>
      <c r="X49" s="821" t="n"/>
      <c r="Y49" s="821" t="n"/>
      <c r="Z49" s="821" t="n"/>
      <c r="AA49" s="834" t="n"/>
      <c r="AB49" s="835" t="n"/>
      <c r="AC49" s="836" t="n"/>
      <c r="AD49" s="837" t="n"/>
      <c r="AE49" s="838" t="n"/>
      <c r="AF49" s="839" t="n"/>
      <c r="AG49" s="839" t="n"/>
      <c r="AH49" s="839" t="n"/>
      <c r="AI49" s="839" t="n"/>
      <c r="AJ49" s="839" t="n"/>
      <c r="AK49" s="840" t="n"/>
      <c r="AL49" s="841" t="n"/>
      <c r="AM49" s="839" t="n"/>
      <c r="AN49" s="839" t="n"/>
      <c r="AO49" s="839" t="n"/>
      <c r="AP49" s="839" t="n"/>
      <c r="AQ49" s="839" t="n"/>
      <c r="AR49" s="839" t="n"/>
      <c r="AS49" s="839" t="n"/>
      <c r="AT49" s="842" t="n"/>
      <c r="AU49" s="838" t="n"/>
      <c r="AV49" s="840" t="n"/>
      <c r="AW49" s="843" t="n"/>
      <c r="AX49" s="844" t="n"/>
      <c r="AY49" s="845" t="n"/>
      <c r="AZ49" s="845" t="n"/>
      <c r="BA49" s="845" t="n"/>
      <c r="BB49" s="846" t="n"/>
      <c r="BC49" s="847" t="n"/>
      <c r="BD49" s="846" t="n"/>
      <c r="BE49" s="847" t="n"/>
      <c r="BF49" s="836" t="n"/>
    </row>
    <row r="50">
      <c r="A50" s="819" t="n"/>
      <c r="B50" s="820" t="n"/>
      <c r="C50" s="821">
        <f>SUM(Z50:AC50)</f>
        <v/>
      </c>
      <c r="D50" s="821">
        <f>SUM(AD50:AK50)</f>
        <v/>
      </c>
      <c r="E50" s="822">
        <f>SUM(AL50:AT50)</f>
        <v/>
      </c>
      <c r="F50" s="822">
        <f>SUM(AU50:AW50)</f>
        <v/>
      </c>
      <c r="G50" s="822">
        <f>SUM(AX50:BB50)</f>
        <v/>
      </c>
      <c r="H50" s="822">
        <f>SUM(BC50:BD50)</f>
        <v/>
      </c>
      <c r="I50" s="822">
        <f>SUM(V50:Y50)</f>
        <v/>
      </c>
      <c r="J50" s="823">
        <f>SUM(C50:I50)</f>
        <v/>
      </c>
      <c r="K50" s="824" t="n"/>
      <c r="L50" s="825" t="n"/>
      <c r="M50" s="826" t="n"/>
      <c r="N50" s="827" t="n"/>
      <c r="O50" s="828" t="n"/>
      <c r="P50" s="827" t="n"/>
      <c r="Q50" s="827" t="n"/>
      <c r="R50" s="829">
        <f>R49+SUM(N50:Q50)-SUM(J50:M50)</f>
        <v/>
      </c>
      <c r="S50" s="830" t="n"/>
      <c r="T50" s="831" t="n"/>
      <c r="U50" s="832" t="n"/>
      <c r="V50" s="833" t="n"/>
      <c r="W50" s="821" t="n"/>
      <c r="X50" s="821" t="n"/>
      <c r="Y50" s="821" t="n"/>
      <c r="Z50" s="821" t="n"/>
      <c r="AA50" s="834" t="n"/>
      <c r="AB50" s="835" t="n"/>
      <c r="AC50" s="836" t="n"/>
      <c r="AD50" s="837" t="n"/>
      <c r="AE50" s="838" t="n"/>
      <c r="AF50" s="839" t="n"/>
      <c r="AG50" s="839" t="n"/>
      <c r="AH50" s="839" t="n"/>
      <c r="AI50" s="839" t="n"/>
      <c r="AJ50" s="839" t="n"/>
      <c r="AK50" s="840" t="n"/>
      <c r="AL50" s="841" t="n"/>
      <c r="AM50" s="839" t="n"/>
      <c r="AN50" s="839" t="n"/>
      <c r="AO50" s="839" t="n"/>
      <c r="AP50" s="839" t="n"/>
      <c r="AQ50" s="839" t="n"/>
      <c r="AR50" s="839" t="n"/>
      <c r="AS50" s="839" t="n"/>
      <c r="AT50" s="842" t="n"/>
      <c r="AU50" s="838" t="n"/>
      <c r="AV50" s="840" t="n"/>
      <c r="AW50" s="843" t="n"/>
      <c r="AX50" s="844" t="n"/>
      <c r="AY50" s="845" t="n"/>
      <c r="AZ50" s="845" t="n"/>
      <c r="BA50" s="845" t="n"/>
      <c r="BB50" s="846" t="n"/>
      <c r="BC50" s="847" t="n"/>
      <c r="BD50" s="846" t="n"/>
      <c r="BE50" s="847" t="n"/>
      <c r="BF50" s="836" t="n"/>
    </row>
    <row r="51">
      <c r="A51" s="819" t="n"/>
      <c r="B51" s="820" t="n"/>
      <c r="C51" s="821">
        <f>SUM(Z51:AC51)</f>
        <v/>
      </c>
      <c r="D51" s="821">
        <f>SUM(AD51:AK51)</f>
        <v/>
      </c>
      <c r="E51" s="822">
        <f>SUM(AL51:AT51)</f>
        <v/>
      </c>
      <c r="F51" s="822">
        <f>SUM(AU51:AW51)</f>
        <v/>
      </c>
      <c r="G51" s="822">
        <f>SUM(AX51:BB51)</f>
        <v/>
      </c>
      <c r="H51" s="822">
        <f>SUM(BC51:BD51)</f>
        <v/>
      </c>
      <c r="I51" s="822">
        <f>SUM(V51:Y51)</f>
        <v/>
      </c>
      <c r="J51" s="823">
        <f>SUM(C51:I51)</f>
        <v/>
      </c>
      <c r="K51" s="824" t="n"/>
      <c r="L51" s="825" t="n"/>
      <c r="M51" s="826" t="n"/>
      <c r="N51" s="827" t="n"/>
      <c r="O51" s="828" t="n"/>
      <c r="P51" s="827" t="n"/>
      <c r="Q51" s="827" t="n"/>
      <c r="R51" s="829">
        <f>R50+SUM(N51:Q51)-SUM(J51:M51)</f>
        <v/>
      </c>
      <c r="S51" s="830" t="n"/>
      <c r="T51" s="831" t="n"/>
      <c r="U51" s="832" t="n"/>
      <c r="V51" s="833" t="n"/>
      <c r="W51" s="821" t="n"/>
      <c r="X51" s="821" t="n"/>
      <c r="Y51" s="821" t="n"/>
      <c r="Z51" s="821" t="n"/>
      <c r="AA51" s="834" t="n"/>
      <c r="AB51" s="835" t="n"/>
      <c r="AC51" s="836" t="n"/>
      <c r="AD51" s="837" t="n"/>
      <c r="AE51" s="838" t="n"/>
      <c r="AF51" s="839" t="n"/>
      <c r="AG51" s="839" t="n"/>
      <c r="AH51" s="839" t="n"/>
      <c r="AI51" s="839" t="n"/>
      <c r="AJ51" s="839" t="n"/>
      <c r="AK51" s="840" t="n"/>
      <c r="AL51" s="841" t="n"/>
      <c r="AM51" s="839" t="n"/>
      <c r="AN51" s="839" t="n"/>
      <c r="AO51" s="839" t="n"/>
      <c r="AP51" s="839" t="n"/>
      <c r="AQ51" s="839" t="n"/>
      <c r="AR51" s="839" t="n"/>
      <c r="AS51" s="839" t="n"/>
      <c r="AT51" s="842" t="n"/>
      <c r="AU51" s="838" t="n"/>
      <c r="AV51" s="840" t="n"/>
      <c r="AW51" s="843" t="n"/>
      <c r="AX51" s="844" t="n"/>
      <c r="AY51" s="845" t="n"/>
      <c r="AZ51" s="845" t="n"/>
      <c r="BA51" s="845" t="n"/>
      <c r="BB51" s="846" t="n"/>
      <c r="BC51" s="847" t="n"/>
      <c r="BD51" s="846" t="n"/>
      <c r="BE51" s="847" t="n"/>
      <c r="BF51" s="836" t="n"/>
    </row>
    <row r="52">
      <c r="A52" s="819" t="n"/>
      <c r="B52" s="820" t="n"/>
      <c r="C52" s="821">
        <f>SUM(Z52:AC52)</f>
        <v/>
      </c>
      <c r="D52" s="821">
        <f>SUM(AD52:AK52)</f>
        <v/>
      </c>
      <c r="E52" s="822">
        <f>SUM(AL52:AT52)</f>
        <v/>
      </c>
      <c r="F52" s="822">
        <f>SUM(AU52:AW52)</f>
        <v/>
      </c>
      <c r="G52" s="822">
        <f>SUM(AX52:BB52)</f>
        <v/>
      </c>
      <c r="H52" s="822">
        <f>SUM(BC52:BD52)</f>
        <v/>
      </c>
      <c r="I52" s="822">
        <f>SUM(V52:Y52)</f>
        <v/>
      </c>
      <c r="J52" s="823">
        <f>SUM(C52:I52)</f>
        <v/>
      </c>
      <c r="K52" s="824" t="n"/>
      <c r="L52" s="825" t="n"/>
      <c r="M52" s="826" t="n"/>
      <c r="N52" s="827" t="n"/>
      <c r="O52" s="828" t="n"/>
      <c r="P52" s="827" t="n"/>
      <c r="Q52" s="827" t="n"/>
      <c r="R52" s="829">
        <f>R51+SUM(N52:Q52)-SUM(J52:M52)</f>
        <v/>
      </c>
      <c r="S52" s="830" t="n"/>
      <c r="T52" s="831" t="n"/>
      <c r="U52" s="832" t="n"/>
      <c r="V52" s="833" t="n"/>
      <c r="W52" s="821" t="n"/>
      <c r="X52" s="821" t="n"/>
      <c r="Y52" s="821" t="n"/>
      <c r="Z52" s="821" t="n"/>
      <c r="AA52" s="834" t="n"/>
      <c r="AB52" s="835" t="n"/>
      <c r="AC52" s="836" t="n"/>
      <c r="AD52" s="837" t="n"/>
      <c r="AE52" s="838" t="n"/>
      <c r="AF52" s="839" t="n"/>
      <c r="AG52" s="839" t="n"/>
      <c r="AH52" s="839" t="n"/>
      <c r="AI52" s="839" t="n"/>
      <c r="AJ52" s="839" t="n"/>
      <c r="AK52" s="840" t="n"/>
      <c r="AL52" s="841" t="n"/>
      <c r="AM52" s="839" t="n"/>
      <c r="AN52" s="839" t="n"/>
      <c r="AO52" s="839" t="n"/>
      <c r="AP52" s="839" t="n"/>
      <c r="AQ52" s="839" t="n"/>
      <c r="AR52" s="839" t="n"/>
      <c r="AS52" s="839" t="n"/>
      <c r="AT52" s="842" t="n"/>
      <c r="AU52" s="838" t="n"/>
      <c r="AV52" s="840" t="n"/>
      <c r="AW52" s="843" t="n"/>
      <c r="AX52" s="844" t="n"/>
      <c r="AY52" s="845" t="n"/>
      <c r="AZ52" s="845" t="n"/>
      <c r="BA52" s="845" t="n"/>
      <c r="BB52" s="846" t="n"/>
      <c r="BC52" s="847" t="n"/>
      <c r="BD52" s="846" t="n"/>
      <c r="BE52" s="847" t="n"/>
      <c r="BF52" s="836" t="n"/>
    </row>
    <row r="53">
      <c r="A53" s="819" t="n"/>
      <c r="B53" s="820" t="n"/>
      <c r="C53" s="821">
        <f>SUM(Z53:AC53)</f>
        <v/>
      </c>
      <c r="D53" s="821">
        <f>SUM(AD53:AK53)</f>
        <v/>
      </c>
      <c r="E53" s="822">
        <f>SUM(AL53:AT53)</f>
        <v/>
      </c>
      <c r="F53" s="822">
        <f>SUM(AU53:AW53)</f>
        <v/>
      </c>
      <c r="G53" s="822">
        <f>SUM(AX53:BB53)</f>
        <v/>
      </c>
      <c r="H53" s="822">
        <f>SUM(BC53:BD53)</f>
        <v/>
      </c>
      <c r="I53" s="822">
        <f>SUM(V53:Y53)</f>
        <v/>
      </c>
      <c r="J53" s="823">
        <f>SUM(C53:I53)</f>
        <v/>
      </c>
      <c r="K53" s="824" t="n"/>
      <c r="L53" s="825" t="n"/>
      <c r="M53" s="826" t="n"/>
      <c r="N53" s="827" t="n"/>
      <c r="O53" s="828" t="n"/>
      <c r="P53" s="827" t="n"/>
      <c r="Q53" s="827" t="n"/>
      <c r="R53" s="829">
        <f>R52+SUM(N53:Q53)-SUM(J53:M53)</f>
        <v/>
      </c>
      <c r="S53" s="830" t="n"/>
      <c r="T53" s="831" t="n"/>
      <c r="U53" s="832" t="n"/>
      <c r="V53" s="833" t="n"/>
      <c r="W53" s="821" t="n"/>
      <c r="X53" s="821" t="n"/>
      <c r="Y53" s="821" t="n"/>
      <c r="Z53" s="821" t="n"/>
      <c r="AA53" s="834" t="n"/>
      <c r="AB53" s="835" t="n"/>
      <c r="AC53" s="836" t="n"/>
      <c r="AD53" s="837" t="n"/>
      <c r="AE53" s="838" t="n"/>
      <c r="AF53" s="839" t="n"/>
      <c r="AG53" s="839" t="n"/>
      <c r="AH53" s="839" t="n"/>
      <c r="AI53" s="839" t="n"/>
      <c r="AJ53" s="839" t="n"/>
      <c r="AK53" s="840" t="n"/>
      <c r="AL53" s="841" t="n"/>
      <c r="AM53" s="839" t="n"/>
      <c r="AN53" s="839" t="n"/>
      <c r="AO53" s="839" t="n"/>
      <c r="AP53" s="839" t="n"/>
      <c r="AQ53" s="839" t="n"/>
      <c r="AR53" s="839" t="n"/>
      <c r="AS53" s="839" t="n"/>
      <c r="AT53" s="842" t="n"/>
      <c r="AU53" s="838" t="n"/>
      <c r="AV53" s="840" t="n"/>
      <c r="AW53" s="843" t="n"/>
      <c r="AX53" s="844" t="n"/>
      <c r="AY53" s="845" t="n"/>
      <c r="AZ53" s="845" t="n"/>
      <c r="BA53" s="845" t="n"/>
      <c r="BB53" s="846" t="n"/>
      <c r="BC53" s="847" t="n"/>
      <c r="BD53" s="846" t="n"/>
      <c r="BE53" s="847" t="n"/>
      <c r="BF53" s="836" t="n"/>
    </row>
    <row r="54">
      <c r="A54" s="819" t="n"/>
      <c r="B54" s="820" t="n"/>
      <c r="C54" s="821">
        <f>SUM(Z54:AC54)</f>
        <v/>
      </c>
      <c r="D54" s="821">
        <f>SUM(AD54:AK54)</f>
        <v/>
      </c>
      <c r="E54" s="822">
        <f>SUM(AL54:AT54)</f>
        <v/>
      </c>
      <c r="F54" s="822">
        <f>SUM(AU54:AW54)</f>
        <v/>
      </c>
      <c r="G54" s="822">
        <f>SUM(AX54:BB54)</f>
        <v/>
      </c>
      <c r="H54" s="822">
        <f>SUM(BC54:BD54)</f>
        <v/>
      </c>
      <c r="I54" s="822">
        <f>SUM(V54:Y54)</f>
        <v/>
      </c>
      <c r="J54" s="823">
        <f>SUM(C54:I54)</f>
        <v/>
      </c>
      <c r="K54" s="824" t="n"/>
      <c r="L54" s="825" t="n"/>
      <c r="M54" s="826" t="n"/>
      <c r="N54" s="827" t="n"/>
      <c r="O54" s="828" t="n"/>
      <c r="P54" s="827" t="n"/>
      <c r="Q54" s="827" t="n"/>
      <c r="R54" s="829">
        <f>R53+SUM(N54:Q54)-SUM(J54:M54)</f>
        <v/>
      </c>
      <c r="S54" s="830" t="n"/>
      <c r="T54" s="831" t="n"/>
      <c r="U54" s="832" t="n"/>
      <c r="V54" s="833" t="n"/>
      <c r="W54" s="821" t="n"/>
      <c r="X54" s="821" t="n"/>
      <c r="Y54" s="821" t="n"/>
      <c r="Z54" s="821" t="n"/>
      <c r="AA54" s="834" t="n"/>
      <c r="AB54" s="835" t="n"/>
      <c r="AC54" s="836" t="n"/>
      <c r="AD54" s="837" t="n"/>
      <c r="AE54" s="838" t="n"/>
      <c r="AF54" s="839" t="n"/>
      <c r="AG54" s="839" t="n"/>
      <c r="AH54" s="839" t="n"/>
      <c r="AI54" s="839" t="n"/>
      <c r="AJ54" s="839" t="n"/>
      <c r="AK54" s="840" t="n"/>
      <c r="AL54" s="841" t="n"/>
      <c r="AM54" s="839" t="n"/>
      <c r="AN54" s="839" t="n"/>
      <c r="AO54" s="839" t="n"/>
      <c r="AP54" s="839" t="n"/>
      <c r="AQ54" s="839" t="n"/>
      <c r="AR54" s="839" t="n"/>
      <c r="AS54" s="839" t="n"/>
      <c r="AT54" s="842" t="n"/>
      <c r="AU54" s="838" t="n"/>
      <c r="AV54" s="840" t="n"/>
      <c r="AW54" s="843" t="n"/>
      <c r="AX54" s="844" t="n"/>
      <c r="AY54" s="845" t="n"/>
      <c r="AZ54" s="845" t="n"/>
      <c r="BA54" s="845" t="n"/>
      <c r="BB54" s="846" t="n"/>
      <c r="BC54" s="847" t="n"/>
      <c r="BD54" s="846" t="n"/>
      <c r="BE54" s="847" t="n"/>
      <c r="BF54" s="836" t="n"/>
    </row>
    <row r="55">
      <c r="A55" s="819" t="n"/>
      <c r="B55" s="820" t="n"/>
      <c r="C55" s="821">
        <f>SUM(Z55:AC55)</f>
        <v/>
      </c>
      <c r="D55" s="821">
        <f>SUM(AD55:AK55)</f>
        <v/>
      </c>
      <c r="E55" s="822">
        <f>SUM(AL55:AT55)</f>
        <v/>
      </c>
      <c r="F55" s="822">
        <f>SUM(AU55:AW55)</f>
        <v/>
      </c>
      <c r="G55" s="822">
        <f>SUM(AX55:BB55)</f>
        <v/>
      </c>
      <c r="H55" s="822">
        <f>SUM(BC55:BD55)</f>
        <v/>
      </c>
      <c r="I55" s="822">
        <f>SUM(V55:Y55)</f>
        <v/>
      </c>
      <c r="J55" s="823">
        <f>SUM(C55:I55)</f>
        <v/>
      </c>
      <c r="K55" s="824" t="n"/>
      <c r="L55" s="825" t="n"/>
      <c r="M55" s="826" t="n"/>
      <c r="N55" s="827" t="n"/>
      <c r="O55" s="828" t="n"/>
      <c r="P55" s="827" t="n"/>
      <c r="Q55" s="827" t="n"/>
      <c r="R55" s="829">
        <f>R54+SUM(N55:Q55)-SUM(J55:M55)</f>
        <v/>
      </c>
      <c r="S55" s="830" t="n"/>
      <c r="T55" s="831" t="n"/>
      <c r="U55" s="832" t="n"/>
      <c r="V55" s="833" t="n"/>
      <c r="W55" s="821" t="n"/>
      <c r="X55" s="821" t="n"/>
      <c r="Y55" s="821" t="n"/>
      <c r="Z55" s="821" t="n"/>
      <c r="AA55" s="834" t="n"/>
      <c r="AB55" s="835" t="n"/>
      <c r="AC55" s="836" t="n"/>
      <c r="AD55" s="837" t="n"/>
      <c r="AE55" s="838" t="n"/>
      <c r="AF55" s="839" t="n"/>
      <c r="AG55" s="839" t="n"/>
      <c r="AH55" s="839" t="n"/>
      <c r="AI55" s="839" t="n"/>
      <c r="AJ55" s="839" t="n"/>
      <c r="AK55" s="840" t="n"/>
      <c r="AL55" s="841" t="n"/>
      <c r="AM55" s="839" t="n"/>
      <c r="AN55" s="839" t="n"/>
      <c r="AO55" s="839" t="n"/>
      <c r="AP55" s="839" t="n"/>
      <c r="AQ55" s="839" t="n"/>
      <c r="AR55" s="839" t="n"/>
      <c r="AS55" s="839" t="n"/>
      <c r="AT55" s="842" t="n"/>
      <c r="AU55" s="838" t="n"/>
      <c r="AV55" s="840" t="n"/>
      <c r="AW55" s="843" t="n"/>
      <c r="AX55" s="844" t="n"/>
      <c r="AY55" s="845" t="n"/>
      <c r="AZ55" s="845" t="n"/>
      <c r="BA55" s="845" t="n"/>
      <c r="BB55" s="846" t="n"/>
      <c r="BC55" s="847" t="n"/>
      <c r="BD55" s="846" t="n"/>
      <c r="BE55" s="847" t="n"/>
      <c r="BF55" s="836" t="n"/>
    </row>
    <row r="56">
      <c r="A56" s="819" t="n"/>
      <c r="B56" s="820" t="n"/>
      <c r="C56" s="821">
        <f>SUM(Z56:AC56)</f>
        <v/>
      </c>
      <c r="D56" s="821">
        <f>SUM(AD56:AK56)</f>
        <v/>
      </c>
      <c r="E56" s="822">
        <f>SUM(AL56:AT56)</f>
        <v/>
      </c>
      <c r="F56" s="822">
        <f>SUM(AU56:AW56)</f>
        <v/>
      </c>
      <c r="G56" s="822">
        <f>SUM(AX56:BB56)</f>
        <v/>
      </c>
      <c r="H56" s="822">
        <f>SUM(BC56:BD56)</f>
        <v/>
      </c>
      <c r="I56" s="822">
        <f>SUM(V56:Y56)</f>
        <v/>
      </c>
      <c r="J56" s="823">
        <f>SUM(C56:I56)</f>
        <v/>
      </c>
      <c r="K56" s="824" t="n"/>
      <c r="L56" s="825" t="n"/>
      <c r="M56" s="826" t="n"/>
      <c r="N56" s="827" t="n"/>
      <c r="O56" s="828" t="n"/>
      <c r="P56" s="827" t="n"/>
      <c r="Q56" s="827" t="n"/>
      <c r="R56" s="829">
        <f>R55+SUM(N56:Q56)-SUM(J56:M56)</f>
        <v/>
      </c>
      <c r="S56" s="830" t="n"/>
      <c r="T56" s="831" t="n"/>
      <c r="U56" s="832" t="n"/>
      <c r="V56" s="833" t="n"/>
      <c r="W56" s="821" t="n"/>
      <c r="X56" s="821" t="n"/>
      <c r="Y56" s="821" t="n"/>
      <c r="Z56" s="821" t="n"/>
      <c r="AA56" s="834" t="n"/>
      <c r="AB56" s="835" t="n"/>
      <c r="AC56" s="836" t="n"/>
      <c r="AD56" s="837" t="n"/>
      <c r="AE56" s="838" t="n"/>
      <c r="AF56" s="839" t="n"/>
      <c r="AG56" s="839" t="n"/>
      <c r="AH56" s="839" t="n"/>
      <c r="AI56" s="839" t="n"/>
      <c r="AJ56" s="839" t="n"/>
      <c r="AK56" s="840" t="n"/>
      <c r="AL56" s="841" t="n"/>
      <c r="AM56" s="839" t="n"/>
      <c r="AN56" s="839" t="n"/>
      <c r="AO56" s="839" t="n"/>
      <c r="AP56" s="839" t="n"/>
      <c r="AQ56" s="839" t="n"/>
      <c r="AR56" s="839" t="n"/>
      <c r="AS56" s="839" t="n"/>
      <c r="AT56" s="842" t="n"/>
      <c r="AU56" s="838" t="n"/>
      <c r="AV56" s="840" t="n"/>
      <c r="AW56" s="843" t="n"/>
      <c r="AX56" s="844" t="n"/>
      <c r="AY56" s="845" t="n"/>
      <c r="AZ56" s="845" t="n"/>
      <c r="BA56" s="845" t="n"/>
      <c r="BB56" s="846" t="n"/>
      <c r="BC56" s="847" t="n"/>
      <c r="BD56" s="846" t="n"/>
      <c r="BE56" s="847" t="n"/>
      <c r="BF56" s="836" t="n"/>
    </row>
    <row r="57">
      <c r="A57" s="819" t="n"/>
      <c r="B57" s="820" t="n"/>
      <c r="C57" s="821">
        <f>SUM(Z57:AC57)</f>
        <v/>
      </c>
      <c r="D57" s="821">
        <f>SUM(AD57:AK57)</f>
        <v/>
      </c>
      <c r="E57" s="822">
        <f>SUM(AL57:AT57)</f>
        <v/>
      </c>
      <c r="F57" s="822">
        <f>SUM(AU57:AW57)</f>
        <v/>
      </c>
      <c r="G57" s="822">
        <f>SUM(AX57:BB57)</f>
        <v/>
      </c>
      <c r="H57" s="822">
        <f>SUM(BC57:BD57)</f>
        <v/>
      </c>
      <c r="I57" s="822">
        <f>SUM(V57:Y57)</f>
        <v/>
      </c>
      <c r="J57" s="823">
        <f>SUM(C57:I57)</f>
        <v/>
      </c>
      <c r="K57" s="824" t="n"/>
      <c r="L57" s="825" t="n"/>
      <c r="M57" s="826" t="n"/>
      <c r="N57" s="827" t="n"/>
      <c r="O57" s="828" t="n"/>
      <c r="P57" s="827" t="n"/>
      <c r="Q57" s="827" t="n"/>
      <c r="R57" s="829">
        <f>R56+SUM(N57:Q57)-SUM(J57:M57)</f>
        <v/>
      </c>
      <c r="S57" s="830" t="n"/>
      <c r="T57" s="831" t="n"/>
      <c r="U57" s="832" t="n"/>
      <c r="V57" s="833" t="n"/>
      <c r="W57" s="821" t="n"/>
      <c r="X57" s="821" t="n"/>
      <c r="Y57" s="821" t="n"/>
      <c r="Z57" s="821" t="n"/>
      <c r="AA57" s="834" t="n"/>
      <c r="AB57" s="835" t="n"/>
      <c r="AC57" s="836" t="n"/>
      <c r="AD57" s="837" t="n"/>
      <c r="AE57" s="838" t="n"/>
      <c r="AF57" s="839" t="n"/>
      <c r="AG57" s="839" t="n"/>
      <c r="AH57" s="839" t="n"/>
      <c r="AI57" s="839" t="n"/>
      <c r="AJ57" s="839" t="n"/>
      <c r="AK57" s="840" t="n"/>
      <c r="AL57" s="841" t="n"/>
      <c r="AM57" s="839" t="n"/>
      <c r="AN57" s="839" t="n"/>
      <c r="AO57" s="839" t="n"/>
      <c r="AP57" s="839" t="n"/>
      <c r="AQ57" s="839" t="n"/>
      <c r="AR57" s="839" t="n"/>
      <c r="AS57" s="839" t="n"/>
      <c r="AT57" s="842" t="n"/>
      <c r="AU57" s="838" t="n"/>
      <c r="AV57" s="840" t="n"/>
      <c r="AW57" s="843" t="n"/>
      <c r="AX57" s="844" t="n"/>
      <c r="AY57" s="845" t="n"/>
      <c r="AZ57" s="845" t="n"/>
      <c r="BA57" s="845" t="n"/>
      <c r="BB57" s="846" t="n"/>
      <c r="BC57" s="847" t="n"/>
      <c r="BD57" s="846" t="n"/>
      <c r="BE57" s="847" t="n"/>
      <c r="BF57" s="836" t="n"/>
    </row>
    <row r="58">
      <c r="A58" s="819" t="n"/>
      <c r="B58" s="820" t="n"/>
      <c r="C58" s="821">
        <f>SUM(Z58:AC58)</f>
        <v/>
      </c>
      <c r="D58" s="821">
        <f>SUM(AD58:AK58)</f>
        <v/>
      </c>
      <c r="E58" s="822">
        <f>SUM(AL58:AT58)</f>
        <v/>
      </c>
      <c r="F58" s="822">
        <f>SUM(AU58:AW58)</f>
        <v/>
      </c>
      <c r="G58" s="822">
        <f>SUM(AX58:BB58)</f>
        <v/>
      </c>
      <c r="H58" s="822">
        <f>SUM(BC58:BD58)</f>
        <v/>
      </c>
      <c r="I58" s="822">
        <f>SUM(V58:Y58)</f>
        <v/>
      </c>
      <c r="J58" s="823">
        <f>SUM(C58:I58)</f>
        <v/>
      </c>
      <c r="K58" s="824" t="n"/>
      <c r="L58" s="825" t="n"/>
      <c r="M58" s="826" t="n"/>
      <c r="N58" s="827" t="n"/>
      <c r="O58" s="828" t="n"/>
      <c r="P58" s="827" t="n"/>
      <c r="Q58" s="827" t="n"/>
      <c r="R58" s="829">
        <f>R57+SUM(N58:Q58)-SUM(J58:M58)</f>
        <v/>
      </c>
      <c r="S58" s="830" t="n"/>
      <c r="T58" s="831" t="n"/>
      <c r="U58" s="832" t="n"/>
      <c r="V58" s="833" t="n"/>
      <c r="W58" s="821" t="n"/>
      <c r="X58" s="821" t="n"/>
      <c r="Y58" s="821" t="n"/>
      <c r="Z58" s="821" t="n"/>
      <c r="AA58" s="834" t="n"/>
      <c r="AB58" s="835" t="n"/>
      <c r="AC58" s="836" t="n"/>
      <c r="AD58" s="837" t="n"/>
      <c r="AE58" s="838" t="n"/>
      <c r="AF58" s="839" t="n"/>
      <c r="AG58" s="839" t="n"/>
      <c r="AH58" s="839" t="n"/>
      <c r="AI58" s="839" t="n"/>
      <c r="AJ58" s="839" t="n"/>
      <c r="AK58" s="840" t="n"/>
      <c r="AL58" s="841" t="n"/>
      <c r="AM58" s="839" t="n"/>
      <c r="AN58" s="839" t="n"/>
      <c r="AO58" s="839" t="n"/>
      <c r="AP58" s="839" t="n"/>
      <c r="AQ58" s="839" t="n"/>
      <c r="AR58" s="839" t="n"/>
      <c r="AS58" s="839" t="n"/>
      <c r="AT58" s="842" t="n"/>
      <c r="AU58" s="838" t="n"/>
      <c r="AV58" s="840" t="n"/>
      <c r="AW58" s="843" t="n"/>
      <c r="AX58" s="844" t="n"/>
      <c r="AY58" s="845" t="n"/>
      <c r="AZ58" s="845" t="n"/>
      <c r="BA58" s="845" t="n"/>
      <c r="BB58" s="846" t="n"/>
      <c r="BC58" s="847" t="n"/>
      <c r="BD58" s="846" t="n"/>
      <c r="BE58" s="847" t="n"/>
      <c r="BF58" s="836" t="n"/>
    </row>
    <row r="59">
      <c r="A59" s="819" t="n"/>
      <c r="B59" s="820" t="n"/>
      <c r="C59" s="821">
        <f>SUM(Z59:AC59)</f>
        <v/>
      </c>
      <c r="D59" s="821">
        <f>SUM(AD59:AK59)</f>
        <v/>
      </c>
      <c r="E59" s="822">
        <f>SUM(AL59:AT59)</f>
        <v/>
      </c>
      <c r="F59" s="822">
        <f>SUM(AU59:AW59)</f>
        <v/>
      </c>
      <c r="G59" s="822">
        <f>SUM(AX59:BB59)</f>
        <v/>
      </c>
      <c r="H59" s="822">
        <f>SUM(BC59:BD59)</f>
        <v/>
      </c>
      <c r="I59" s="822">
        <f>SUM(V59:Y59)</f>
        <v/>
      </c>
      <c r="J59" s="823">
        <f>SUM(C59:I59)</f>
        <v/>
      </c>
      <c r="K59" s="824" t="n"/>
      <c r="L59" s="825" t="n"/>
      <c r="M59" s="826" t="n"/>
      <c r="N59" s="827" t="n"/>
      <c r="O59" s="828" t="n"/>
      <c r="P59" s="827" t="n"/>
      <c r="Q59" s="827" t="n"/>
      <c r="R59" s="829">
        <f>R58+SUM(N59:Q59)-SUM(J59:M59)</f>
        <v/>
      </c>
      <c r="S59" s="830" t="n"/>
      <c r="T59" s="831" t="n"/>
      <c r="U59" s="832" t="n"/>
      <c r="V59" s="833" t="n"/>
      <c r="W59" s="821" t="n"/>
      <c r="X59" s="821" t="n"/>
      <c r="Y59" s="821" t="n"/>
      <c r="Z59" s="821" t="n"/>
      <c r="AA59" s="834" t="n"/>
      <c r="AB59" s="835" t="n"/>
      <c r="AC59" s="836" t="n"/>
      <c r="AD59" s="837" t="n"/>
      <c r="AE59" s="838" t="n"/>
      <c r="AF59" s="839" t="n"/>
      <c r="AG59" s="839" t="n"/>
      <c r="AH59" s="839" t="n"/>
      <c r="AI59" s="839" t="n"/>
      <c r="AJ59" s="839" t="n"/>
      <c r="AK59" s="840" t="n"/>
      <c r="AL59" s="841" t="n"/>
      <c r="AM59" s="839" t="n"/>
      <c r="AN59" s="839" t="n"/>
      <c r="AO59" s="839" t="n"/>
      <c r="AP59" s="839" t="n"/>
      <c r="AQ59" s="839" t="n"/>
      <c r="AR59" s="839" t="n"/>
      <c r="AS59" s="839" t="n"/>
      <c r="AT59" s="842" t="n"/>
      <c r="AU59" s="838" t="n"/>
      <c r="AV59" s="840" t="n"/>
      <c r="AW59" s="843" t="n"/>
      <c r="AX59" s="844" t="n"/>
      <c r="AY59" s="845" t="n"/>
      <c r="AZ59" s="845" t="n"/>
      <c r="BA59" s="845" t="n"/>
      <c r="BB59" s="846" t="n"/>
      <c r="BC59" s="847" t="n"/>
      <c r="BD59" s="846" t="n"/>
      <c r="BE59" s="847" t="n"/>
      <c r="BF59" s="836" t="n"/>
    </row>
    <row r="60">
      <c r="A60" s="819" t="n"/>
      <c r="B60" s="820" t="n"/>
      <c r="C60" s="821">
        <f>SUM(Z60:AC60)</f>
        <v/>
      </c>
      <c r="D60" s="821">
        <f>SUM(AD60:AK60)</f>
        <v/>
      </c>
      <c r="E60" s="822">
        <f>SUM(AL60:AT60)</f>
        <v/>
      </c>
      <c r="F60" s="822">
        <f>SUM(AU60:AW60)</f>
        <v/>
      </c>
      <c r="G60" s="822">
        <f>SUM(AX60:BB60)</f>
        <v/>
      </c>
      <c r="H60" s="822">
        <f>SUM(BC60:BD60)</f>
        <v/>
      </c>
      <c r="I60" s="822">
        <f>SUM(V60:Y60)</f>
        <v/>
      </c>
      <c r="J60" s="823">
        <f>SUM(C60:I60)</f>
        <v/>
      </c>
      <c r="K60" s="824" t="n"/>
      <c r="L60" s="825" t="n"/>
      <c r="M60" s="826" t="n"/>
      <c r="N60" s="827" t="n"/>
      <c r="O60" s="828" t="n"/>
      <c r="P60" s="827" t="n"/>
      <c r="Q60" s="827" t="n"/>
      <c r="R60" s="829">
        <f>R59+SUM(N60:Q60)-SUM(J60:M60)</f>
        <v/>
      </c>
      <c r="S60" s="830" t="n"/>
      <c r="T60" s="831" t="n"/>
      <c r="U60" s="832" t="n"/>
      <c r="V60" s="833" t="n"/>
      <c r="W60" s="821" t="n"/>
      <c r="X60" s="821" t="n"/>
      <c r="Y60" s="821" t="n"/>
      <c r="Z60" s="821" t="n"/>
      <c r="AA60" s="834" t="n"/>
      <c r="AB60" s="835" t="n"/>
      <c r="AC60" s="836" t="n"/>
      <c r="AD60" s="837" t="n"/>
      <c r="AE60" s="838" t="n"/>
      <c r="AF60" s="839" t="n"/>
      <c r="AG60" s="839" t="n"/>
      <c r="AH60" s="839" t="n"/>
      <c r="AI60" s="839" t="n"/>
      <c r="AJ60" s="839" t="n"/>
      <c r="AK60" s="840" t="n"/>
      <c r="AL60" s="841" t="n"/>
      <c r="AM60" s="839" t="n"/>
      <c r="AN60" s="839" t="n"/>
      <c r="AO60" s="839" t="n"/>
      <c r="AP60" s="839" t="n"/>
      <c r="AQ60" s="839" t="n"/>
      <c r="AR60" s="839" t="n"/>
      <c r="AS60" s="839" t="n"/>
      <c r="AT60" s="842" t="n"/>
      <c r="AU60" s="838" t="n"/>
      <c r="AV60" s="840" t="n"/>
      <c r="AW60" s="843" t="n"/>
      <c r="AX60" s="844" t="n"/>
      <c r="AY60" s="845" t="n"/>
      <c r="AZ60" s="845" t="n"/>
      <c r="BA60" s="845" t="n"/>
      <c r="BB60" s="846" t="n"/>
      <c r="BC60" s="847" t="n"/>
      <c r="BD60" s="846" t="n"/>
      <c r="BE60" s="847" t="n"/>
      <c r="BF60" s="836" t="n"/>
    </row>
    <row r="61">
      <c r="A61" s="819" t="n"/>
      <c r="B61" s="820" t="n"/>
      <c r="C61" s="821">
        <f>SUM(Z61:AC61)</f>
        <v/>
      </c>
      <c r="D61" s="821">
        <f>SUM(AD61:AK61)</f>
        <v/>
      </c>
      <c r="E61" s="822">
        <f>SUM(AL61:AT61)</f>
        <v/>
      </c>
      <c r="F61" s="822">
        <f>SUM(AU61:AW61)</f>
        <v/>
      </c>
      <c r="G61" s="822">
        <f>SUM(AX61:BB61)</f>
        <v/>
      </c>
      <c r="H61" s="822">
        <f>SUM(BC61:BD61)</f>
        <v/>
      </c>
      <c r="I61" s="822">
        <f>SUM(V61:Y61)</f>
        <v/>
      </c>
      <c r="J61" s="823">
        <f>SUM(C61:I61)</f>
        <v/>
      </c>
      <c r="K61" s="824" t="n"/>
      <c r="L61" s="825" t="n"/>
      <c r="M61" s="826" t="n"/>
      <c r="N61" s="827" t="n"/>
      <c r="O61" s="828" t="n"/>
      <c r="P61" s="827" t="n"/>
      <c r="Q61" s="827" t="n"/>
      <c r="R61" s="829">
        <f>R60+SUM(N61:Q61)-SUM(J61:M61)</f>
        <v/>
      </c>
      <c r="S61" s="830" t="n"/>
      <c r="T61" s="831" t="n"/>
      <c r="U61" s="832" t="n"/>
      <c r="V61" s="833" t="n"/>
      <c r="W61" s="821" t="n"/>
      <c r="X61" s="821" t="n"/>
      <c r="Y61" s="821" t="n"/>
      <c r="Z61" s="821" t="n"/>
      <c r="AA61" s="834" t="n"/>
      <c r="AB61" s="835" t="n"/>
      <c r="AC61" s="836" t="n"/>
      <c r="AD61" s="837" t="n"/>
      <c r="AE61" s="838" t="n"/>
      <c r="AF61" s="839" t="n"/>
      <c r="AG61" s="839" t="n"/>
      <c r="AH61" s="839" t="n"/>
      <c r="AI61" s="839" t="n"/>
      <c r="AJ61" s="839" t="n"/>
      <c r="AK61" s="840" t="n"/>
      <c r="AL61" s="841" t="n"/>
      <c r="AM61" s="839" t="n"/>
      <c r="AN61" s="839" t="n"/>
      <c r="AO61" s="839" t="n"/>
      <c r="AP61" s="839" t="n"/>
      <c r="AQ61" s="839" t="n"/>
      <c r="AR61" s="839" t="n"/>
      <c r="AS61" s="839" t="n"/>
      <c r="AT61" s="842" t="n"/>
      <c r="AU61" s="838" t="n"/>
      <c r="AV61" s="840" t="n"/>
      <c r="AW61" s="843" t="n"/>
      <c r="AX61" s="844" t="n"/>
      <c r="AY61" s="845" t="n"/>
      <c r="AZ61" s="845" t="n"/>
      <c r="BA61" s="845" t="n"/>
      <c r="BB61" s="846" t="n"/>
      <c r="BC61" s="847" t="n"/>
      <c r="BD61" s="846" t="n"/>
      <c r="BE61" s="847" t="n"/>
      <c r="BF61" s="836" t="n"/>
    </row>
    <row r="62">
      <c r="A62" s="819" t="n"/>
      <c r="B62" s="820" t="n"/>
      <c r="C62" s="821">
        <f>SUM(Z62:AC62)</f>
        <v/>
      </c>
      <c r="D62" s="821">
        <f>SUM(AD62:AK62)</f>
        <v/>
      </c>
      <c r="E62" s="822">
        <f>SUM(AL62:AT62)</f>
        <v/>
      </c>
      <c r="F62" s="822">
        <f>SUM(AU62:AW62)</f>
        <v/>
      </c>
      <c r="G62" s="822">
        <f>SUM(AX62:BB62)</f>
        <v/>
      </c>
      <c r="H62" s="822">
        <f>SUM(BC62:BD62)</f>
        <v/>
      </c>
      <c r="I62" s="822">
        <f>SUM(V62:Y62)</f>
        <v/>
      </c>
      <c r="J62" s="823">
        <f>SUM(C62:I62)</f>
        <v/>
      </c>
      <c r="K62" s="824" t="n"/>
      <c r="L62" s="825" t="n"/>
      <c r="M62" s="826" t="n"/>
      <c r="N62" s="827" t="n"/>
      <c r="O62" s="828" t="n"/>
      <c r="P62" s="827" t="n"/>
      <c r="Q62" s="827" t="n"/>
      <c r="R62" s="829">
        <f>R61+SUM(N62:Q62)-SUM(J62:M62)</f>
        <v/>
      </c>
      <c r="S62" s="830" t="n"/>
      <c r="T62" s="831" t="n"/>
      <c r="U62" s="832" t="n"/>
      <c r="V62" s="833" t="n"/>
      <c r="W62" s="821" t="n"/>
      <c r="X62" s="821" t="n"/>
      <c r="Y62" s="821" t="n"/>
      <c r="Z62" s="821" t="n"/>
      <c r="AA62" s="834" t="n"/>
      <c r="AB62" s="835" t="n"/>
      <c r="AC62" s="836" t="n"/>
      <c r="AD62" s="837" t="n"/>
      <c r="AE62" s="838" t="n"/>
      <c r="AF62" s="839" t="n"/>
      <c r="AG62" s="839" t="n"/>
      <c r="AH62" s="839" t="n"/>
      <c r="AI62" s="839" t="n"/>
      <c r="AJ62" s="839" t="n"/>
      <c r="AK62" s="840" t="n"/>
      <c r="AL62" s="841" t="n"/>
      <c r="AM62" s="839" t="n"/>
      <c r="AN62" s="839" t="n"/>
      <c r="AO62" s="839" t="n"/>
      <c r="AP62" s="839" t="n"/>
      <c r="AQ62" s="839" t="n"/>
      <c r="AR62" s="839" t="n"/>
      <c r="AS62" s="839" t="n"/>
      <c r="AT62" s="842" t="n"/>
      <c r="AU62" s="838" t="n"/>
      <c r="AV62" s="840" t="n"/>
      <c r="AW62" s="843" t="n"/>
      <c r="AX62" s="844" t="n"/>
      <c r="AY62" s="845" t="n"/>
      <c r="AZ62" s="845" t="n"/>
      <c r="BA62" s="845" t="n"/>
      <c r="BB62" s="846" t="n"/>
      <c r="BC62" s="847" t="n"/>
      <c r="BD62" s="846" t="n"/>
      <c r="BE62" s="847" t="n"/>
      <c r="BF62" s="836" t="n"/>
    </row>
    <row r="63">
      <c r="A63" s="819" t="n"/>
      <c r="B63" s="820" t="n"/>
      <c r="C63" s="821">
        <f>SUM(Z63:AC63)</f>
        <v/>
      </c>
      <c r="D63" s="821">
        <f>SUM(AD63:AK63)</f>
        <v/>
      </c>
      <c r="E63" s="822">
        <f>SUM(AL63:AT63)</f>
        <v/>
      </c>
      <c r="F63" s="822">
        <f>SUM(AU63:AW63)</f>
        <v/>
      </c>
      <c r="G63" s="822">
        <f>SUM(AX63:BB63)</f>
        <v/>
      </c>
      <c r="H63" s="822">
        <f>SUM(BC63:BD63)</f>
        <v/>
      </c>
      <c r="I63" s="822">
        <f>SUM(V63:Y63)</f>
        <v/>
      </c>
      <c r="J63" s="823">
        <f>SUM(C63:I63)</f>
        <v/>
      </c>
      <c r="K63" s="824" t="n"/>
      <c r="L63" s="825" t="n"/>
      <c r="M63" s="826" t="n"/>
      <c r="N63" s="827" t="n"/>
      <c r="O63" s="828" t="n"/>
      <c r="P63" s="827" t="n"/>
      <c r="Q63" s="827" t="n"/>
      <c r="R63" s="829">
        <f>R62+SUM(N63:Q63)-SUM(J63:M63)</f>
        <v/>
      </c>
      <c r="S63" s="830" t="n"/>
      <c r="T63" s="831" t="n"/>
      <c r="U63" s="832" t="n"/>
      <c r="V63" s="833" t="n"/>
      <c r="W63" s="821" t="n"/>
      <c r="X63" s="821" t="n"/>
      <c r="Y63" s="821" t="n"/>
      <c r="Z63" s="821" t="n"/>
      <c r="AA63" s="834" t="n"/>
      <c r="AB63" s="835" t="n"/>
      <c r="AC63" s="836" t="n"/>
      <c r="AD63" s="837" t="n"/>
      <c r="AE63" s="838" t="n"/>
      <c r="AF63" s="839" t="n"/>
      <c r="AG63" s="839" t="n"/>
      <c r="AH63" s="839" t="n"/>
      <c r="AI63" s="839" t="n"/>
      <c r="AJ63" s="839" t="n"/>
      <c r="AK63" s="840" t="n"/>
      <c r="AL63" s="841" t="n"/>
      <c r="AM63" s="839" t="n"/>
      <c r="AN63" s="839" t="n"/>
      <c r="AO63" s="839" t="n"/>
      <c r="AP63" s="839" t="n"/>
      <c r="AQ63" s="839" t="n"/>
      <c r="AR63" s="839" t="n"/>
      <c r="AS63" s="839" t="n"/>
      <c r="AT63" s="842" t="n"/>
      <c r="AU63" s="838" t="n"/>
      <c r="AV63" s="840" t="n"/>
      <c r="AW63" s="843" t="n"/>
      <c r="AX63" s="844" t="n"/>
      <c r="AY63" s="845" t="n"/>
      <c r="AZ63" s="845" t="n"/>
      <c r="BA63" s="845" t="n"/>
      <c r="BB63" s="846" t="n"/>
      <c r="BC63" s="847" t="n"/>
      <c r="BD63" s="846" t="n"/>
      <c r="BE63" s="847" t="n"/>
      <c r="BF63" s="836" t="n"/>
    </row>
    <row r="64">
      <c r="A64" s="819" t="n"/>
      <c r="B64" s="820" t="n"/>
      <c r="C64" s="821">
        <f>SUM(Z64:AC64)</f>
        <v/>
      </c>
      <c r="D64" s="821">
        <f>SUM(AD64:AK64)</f>
        <v/>
      </c>
      <c r="E64" s="822">
        <f>SUM(AL64:AT64)</f>
        <v/>
      </c>
      <c r="F64" s="822">
        <f>SUM(AU64:AW64)</f>
        <v/>
      </c>
      <c r="G64" s="822">
        <f>SUM(AX64:BB64)</f>
        <v/>
      </c>
      <c r="H64" s="822">
        <f>SUM(BC64:BD64)</f>
        <v/>
      </c>
      <c r="I64" s="822">
        <f>SUM(V64:Y64)</f>
        <v/>
      </c>
      <c r="J64" s="823">
        <f>SUM(C64:I64)</f>
        <v/>
      </c>
      <c r="K64" s="824" t="n"/>
      <c r="L64" s="825" t="n"/>
      <c r="M64" s="826" t="n"/>
      <c r="N64" s="827" t="n"/>
      <c r="O64" s="828" t="n"/>
      <c r="P64" s="827" t="n"/>
      <c r="Q64" s="827" t="n"/>
      <c r="R64" s="829">
        <f>R63+SUM(N64:Q64)-SUM(J64:M64)</f>
        <v/>
      </c>
      <c r="S64" s="830" t="n"/>
      <c r="T64" s="831" t="n"/>
      <c r="U64" s="832" t="n"/>
      <c r="V64" s="833" t="n"/>
      <c r="W64" s="821" t="n"/>
      <c r="X64" s="821" t="n"/>
      <c r="Y64" s="821" t="n"/>
      <c r="Z64" s="821" t="n"/>
      <c r="AA64" s="834" t="n"/>
      <c r="AB64" s="835" t="n"/>
      <c r="AC64" s="836" t="n"/>
      <c r="AD64" s="837" t="n"/>
      <c r="AE64" s="838" t="n"/>
      <c r="AF64" s="839" t="n"/>
      <c r="AG64" s="839" t="n"/>
      <c r="AH64" s="839" t="n"/>
      <c r="AI64" s="839" t="n"/>
      <c r="AJ64" s="839" t="n"/>
      <c r="AK64" s="840" t="n"/>
      <c r="AL64" s="841" t="n"/>
      <c r="AM64" s="839" t="n"/>
      <c r="AN64" s="839" t="n"/>
      <c r="AO64" s="839" t="n"/>
      <c r="AP64" s="839" t="n"/>
      <c r="AQ64" s="839" t="n"/>
      <c r="AR64" s="839" t="n"/>
      <c r="AS64" s="839" t="n"/>
      <c r="AT64" s="842" t="n"/>
      <c r="AU64" s="838" t="n"/>
      <c r="AV64" s="840" t="n"/>
      <c r="AW64" s="843" t="n"/>
      <c r="AX64" s="844" t="n"/>
      <c r="AY64" s="845" t="n"/>
      <c r="AZ64" s="845" t="n"/>
      <c r="BA64" s="845" t="n"/>
      <c r="BB64" s="846" t="n"/>
      <c r="BC64" s="847" t="n"/>
      <c r="BD64" s="846" t="n"/>
      <c r="BE64" s="847" t="n"/>
      <c r="BF64" s="836" t="n"/>
    </row>
    <row r="65">
      <c r="A65" s="819" t="n"/>
      <c r="B65" s="820" t="n"/>
      <c r="C65" s="821">
        <f>SUM(Z65:AC65)</f>
        <v/>
      </c>
      <c r="D65" s="821">
        <f>SUM(AD65:AK65)</f>
        <v/>
      </c>
      <c r="E65" s="822">
        <f>SUM(AL65:AT65)</f>
        <v/>
      </c>
      <c r="F65" s="822">
        <f>SUM(AU65:AW65)</f>
        <v/>
      </c>
      <c r="G65" s="822">
        <f>SUM(AX65:BB65)</f>
        <v/>
      </c>
      <c r="H65" s="822">
        <f>SUM(BC65:BD65)</f>
        <v/>
      </c>
      <c r="I65" s="822">
        <f>SUM(V65:Y65)</f>
        <v/>
      </c>
      <c r="J65" s="823">
        <f>SUM(C65:I65)</f>
        <v/>
      </c>
      <c r="K65" s="824" t="n"/>
      <c r="L65" s="825" t="n"/>
      <c r="M65" s="826" t="n"/>
      <c r="N65" s="827" t="n"/>
      <c r="O65" s="828" t="n"/>
      <c r="P65" s="827" t="n"/>
      <c r="Q65" s="827" t="n"/>
      <c r="R65" s="829">
        <f>R64+SUM(N65:Q65)-SUM(J65:M65)</f>
        <v/>
      </c>
      <c r="S65" s="830" t="n"/>
      <c r="T65" s="831" t="n"/>
      <c r="U65" s="832" t="n"/>
      <c r="V65" s="833" t="n"/>
      <c r="W65" s="821" t="n"/>
      <c r="X65" s="821" t="n"/>
      <c r="Y65" s="821" t="n"/>
      <c r="Z65" s="821" t="n"/>
      <c r="AA65" s="834" t="n"/>
      <c r="AB65" s="835" t="n"/>
      <c r="AC65" s="836" t="n"/>
      <c r="AD65" s="837" t="n"/>
      <c r="AE65" s="838" t="n"/>
      <c r="AF65" s="839" t="n"/>
      <c r="AG65" s="839" t="n"/>
      <c r="AH65" s="839" t="n"/>
      <c r="AI65" s="839" t="n"/>
      <c r="AJ65" s="839" t="n"/>
      <c r="AK65" s="840" t="n"/>
      <c r="AL65" s="841" t="n"/>
      <c r="AM65" s="839" t="n"/>
      <c r="AN65" s="839" t="n"/>
      <c r="AO65" s="839" t="n"/>
      <c r="AP65" s="839" t="n"/>
      <c r="AQ65" s="839" t="n"/>
      <c r="AR65" s="839" t="n"/>
      <c r="AS65" s="839" t="n"/>
      <c r="AT65" s="842" t="n"/>
      <c r="AU65" s="838" t="n"/>
      <c r="AV65" s="840" t="n"/>
      <c r="AW65" s="843" t="n"/>
      <c r="AX65" s="844" t="n"/>
      <c r="AY65" s="845" t="n"/>
      <c r="AZ65" s="845" t="n"/>
      <c r="BA65" s="845" t="n"/>
      <c r="BB65" s="846" t="n"/>
      <c r="BC65" s="847" t="n"/>
      <c r="BD65" s="846" t="n"/>
      <c r="BE65" s="847" t="n"/>
      <c r="BF65" s="836" t="n"/>
    </row>
    <row r="66">
      <c r="A66" s="819" t="n"/>
      <c r="B66" s="820" t="n"/>
      <c r="C66" s="821">
        <f>SUM(Z66:AC66)</f>
        <v/>
      </c>
      <c r="D66" s="821">
        <f>SUM(AD66:AK66)</f>
        <v/>
      </c>
      <c r="E66" s="822">
        <f>SUM(AL66:AT66)</f>
        <v/>
      </c>
      <c r="F66" s="822">
        <f>SUM(AU66:AW66)</f>
        <v/>
      </c>
      <c r="G66" s="822">
        <f>SUM(AX66:BB66)</f>
        <v/>
      </c>
      <c r="H66" s="822">
        <f>SUM(BC66:BD66)</f>
        <v/>
      </c>
      <c r="I66" s="822">
        <f>SUM(V66:Y66)</f>
        <v/>
      </c>
      <c r="J66" s="823">
        <f>SUM(C66:I66)</f>
        <v/>
      </c>
      <c r="K66" s="824" t="n"/>
      <c r="L66" s="825" t="n"/>
      <c r="M66" s="826" t="n"/>
      <c r="N66" s="827" t="n"/>
      <c r="O66" s="828" t="n"/>
      <c r="P66" s="827" t="n"/>
      <c r="Q66" s="827" t="n"/>
      <c r="R66" s="829">
        <f>R65+SUM(N66:Q66)-SUM(J66:M66)</f>
        <v/>
      </c>
      <c r="S66" s="830" t="n"/>
      <c r="T66" s="831" t="n"/>
      <c r="U66" s="832" t="n"/>
      <c r="V66" s="833" t="n"/>
      <c r="W66" s="821" t="n"/>
      <c r="X66" s="821" t="n"/>
      <c r="Y66" s="821" t="n"/>
      <c r="Z66" s="821" t="n"/>
      <c r="AA66" s="834" t="n"/>
      <c r="AB66" s="835" t="n"/>
      <c r="AC66" s="836" t="n"/>
      <c r="AD66" s="837" t="n"/>
      <c r="AE66" s="838" t="n"/>
      <c r="AF66" s="839" t="n"/>
      <c r="AG66" s="839" t="n"/>
      <c r="AH66" s="839" t="n"/>
      <c r="AI66" s="839" t="n"/>
      <c r="AJ66" s="839" t="n"/>
      <c r="AK66" s="840" t="n"/>
      <c r="AL66" s="841" t="n"/>
      <c r="AM66" s="839" t="n"/>
      <c r="AN66" s="839" t="n"/>
      <c r="AO66" s="839" t="n"/>
      <c r="AP66" s="839" t="n"/>
      <c r="AQ66" s="839" t="n"/>
      <c r="AR66" s="839" t="n"/>
      <c r="AS66" s="839" t="n"/>
      <c r="AT66" s="842" t="n"/>
      <c r="AU66" s="838" t="n"/>
      <c r="AV66" s="840" t="n"/>
      <c r="AW66" s="843" t="n"/>
      <c r="AX66" s="844" t="n"/>
      <c r="AY66" s="845" t="n"/>
      <c r="AZ66" s="845" t="n"/>
      <c r="BA66" s="845" t="n"/>
      <c r="BB66" s="846" t="n"/>
      <c r="BC66" s="847" t="n"/>
      <c r="BD66" s="846" t="n"/>
      <c r="BE66" s="847" t="n"/>
      <c r="BF66" s="836" t="n"/>
    </row>
    <row r="67">
      <c r="A67" s="819" t="n"/>
      <c r="B67" s="820" t="n"/>
      <c r="C67" s="821">
        <f>SUM(Z67:AC67)</f>
        <v/>
      </c>
      <c r="D67" s="821">
        <f>SUM(AD67:AK67)</f>
        <v/>
      </c>
      <c r="E67" s="822">
        <f>SUM(AL67:AT67)</f>
        <v/>
      </c>
      <c r="F67" s="822">
        <f>SUM(AU67:AW67)</f>
        <v/>
      </c>
      <c r="G67" s="822">
        <f>SUM(AX67:BB67)</f>
        <v/>
      </c>
      <c r="H67" s="822">
        <f>SUM(BC67:BD67)</f>
        <v/>
      </c>
      <c r="I67" s="822">
        <f>SUM(V67:Y67)</f>
        <v/>
      </c>
      <c r="J67" s="823">
        <f>SUM(C67:I67)</f>
        <v/>
      </c>
      <c r="K67" s="824" t="n"/>
      <c r="L67" s="825" t="n"/>
      <c r="M67" s="826" t="n"/>
      <c r="N67" s="827" t="n"/>
      <c r="O67" s="828" t="n"/>
      <c r="P67" s="827" t="n"/>
      <c r="Q67" s="827" t="n"/>
      <c r="R67" s="829">
        <f>R66+SUM(N67:Q67)-SUM(J67:M67)</f>
        <v/>
      </c>
      <c r="S67" s="830" t="n"/>
      <c r="T67" s="831" t="n"/>
      <c r="U67" s="832" t="n"/>
      <c r="V67" s="833" t="n"/>
      <c r="W67" s="821" t="n"/>
      <c r="X67" s="821" t="n"/>
      <c r="Y67" s="821" t="n"/>
      <c r="Z67" s="821" t="n"/>
      <c r="AA67" s="834" t="n"/>
      <c r="AB67" s="835" t="n"/>
      <c r="AC67" s="836" t="n"/>
      <c r="AD67" s="837" t="n"/>
      <c r="AE67" s="838" t="n"/>
      <c r="AF67" s="839" t="n"/>
      <c r="AG67" s="839" t="n"/>
      <c r="AH67" s="839" t="n"/>
      <c r="AI67" s="839" t="n"/>
      <c r="AJ67" s="839" t="n"/>
      <c r="AK67" s="840" t="n"/>
      <c r="AL67" s="841" t="n"/>
      <c r="AM67" s="839" t="n"/>
      <c r="AN67" s="839" t="n"/>
      <c r="AO67" s="839" t="n"/>
      <c r="AP67" s="839" t="n"/>
      <c r="AQ67" s="839" t="n"/>
      <c r="AR67" s="839" t="n"/>
      <c r="AS67" s="839" t="n"/>
      <c r="AT67" s="842" t="n"/>
      <c r="AU67" s="838" t="n"/>
      <c r="AV67" s="840" t="n"/>
      <c r="AW67" s="843" t="n"/>
      <c r="AX67" s="844" t="n"/>
      <c r="AY67" s="845" t="n"/>
      <c r="AZ67" s="845" t="n"/>
      <c r="BA67" s="845" t="n"/>
      <c r="BB67" s="846" t="n"/>
      <c r="BC67" s="847" t="n"/>
      <c r="BD67" s="846" t="n"/>
      <c r="BE67" s="847" t="n"/>
      <c r="BF67" s="836" t="n"/>
    </row>
    <row r="68">
      <c r="A68" s="819" t="n"/>
      <c r="B68" s="820" t="n"/>
      <c r="C68" s="821">
        <f>SUM(Z68:AC68)</f>
        <v/>
      </c>
      <c r="D68" s="821">
        <f>SUM(AD68:AK68)</f>
        <v/>
      </c>
      <c r="E68" s="822">
        <f>SUM(AL68:AT68)</f>
        <v/>
      </c>
      <c r="F68" s="822">
        <f>SUM(AU68:AW68)</f>
        <v/>
      </c>
      <c r="G68" s="822">
        <f>SUM(AX68:BB68)</f>
        <v/>
      </c>
      <c r="H68" s="822">
        <f>SUM(BC68:BD68)</f>
        <v/>
      </c>
      <c r="I68" s="822">
        <f>SUM(V68:Y68)</f>
        <v/>
      </c>
      <c r="J68" s="823">
        <f>SUM(C68:I68)</f>
        <v/>
      </c>
      <c r="K68" s="824" t="n"/>
      <c r="L68" s="825" t="n"/>
      <c r="M68" s="826" t="n"/>
      <c r="N68" s="827" t="n"/>
      <c r="O68" s="828" t="n"/>
      <c r="P68" s="827" t="n"/>
      <c r="Q68" s="827" t="n"/>
      <c r="R68" s="829">
        <f>R67+SUM(N68:Q68)-SUM(J68:M68)</f>
        <v/>
      </c>
      <c r="S68" s="830" t="n"/>
      <c r="T68" s="831" t="n"/>
      <c r="U68" s="832" t="n"/>
      <c r="V68" s="833" t="n"/>
      <c r="W68" s="821" t="n"/>
      <c r="X68" s="821" t="n"/>
      <c r="Y68" s="821" t="n"/>
      <c r="Z68" s="821" t="n"/>
      <c r="AA68" s="834" t="n"/>
      <c r="AB68" s="835" t="n"/>
      <c r="AC68" s="836" t="n"/>
      <c r="AD68" s="837" t="n"/>
      <c r="AE68" s="838" t="n"/>
      <c r="AF68" s="839" t="n"/>
      <c r="AG68" s="839" t="n"/>
      <c r="AH68" s="839" t="n"/>
      <c r="AI68" s="839" t="n"/>
      <c r="AJ68" s="839" t="n"/>
      <c r="AK68" s="840" t="n"/>
      <c r="AL68" s="841" t="n"/>
      <c r="AM68" s="839" t="n"/>
      <c r="AN68" s="839" t="n"/>
      <c r="AO68" s="839" t="n"/>
      <c r="AP68" s="839" t="n"/>
      <c r="AQ68" s="839" t="n"/>
      <c r="AR68" s="839" t="n"/>
      <c r="AS68" s="839" t="n"/>
      <c r="AT68" s="842" t="n"/>
      <c r="AU68" s="838" t="n"/>
      <c r="AV68" s="840" t="n"/>
      <c r="AW68" s="843" t="n"/>
      <c r="AX68" s="844" t="n"/>
      <c r="AY68" s="845" t="n"/>
      <c r="AZ68" s="845" t="n"/>
      <c r="BA68" s="845" t="n"/>
      <c r="BB68" s="846" t="n"/>
      <c r="BC68" s="847" t="n"/>
      <c r="BD68" s="846" t="n"/>
      <c r="BE68" s="847" t="n"/>
      <c r="BF68" s="836" t="n"/>
    </row>
    <row r="69">
      <c r="A69" s="819" t="n"/>
      <c r="B69" s="820" t="n"/>
      <c r="C69" s="821">
        <f>SUM(Z69:AC69)</f>
        <v/>
      </c>
      <c r="D69" s="821">
        <f>SUM(AD69:AK69)</f>
        <v/>
      </c>
      <c r="E69" s="822">
        <f>SUM(AL69:AT69)</f>
        <v/>
      </c>
      <c r="F69" s="822">
        <f>SUM(AU69:AW69)</f>
        <v/>
      </c>
      <c r="G69" s="822">
        <f>SUM(AX69:BB69)</f>
        <v/>
      </c>
      <c r="H69" s="822">
        <f>SUM(BC69:BD69)</f>
        <v/>
      </c>
      <c r="I69" s="822">
        <f>SUM(V69:Y69)</f>
        <v/>
      </c>
      <c r="J69" s="823">
        <f>SUM(C69:I69)</f>
        <v/>
      </c>
      <c r="K69" s="824" t="n"/>
      <c r="L69" s="825" t="n"/>
      <c r="M69" s="826" t="n"/>
      <c r="N69" s="827" t="n"/>
      <c r="O69" s="828" t="n"/>
      <c r="P69" s="827" t="n"/>
      <c r="Q69" s="827" t="n"/>
      <c r="R69" s="829">
        <f>R68+SUM(N69:Q69)-SUM(J69:M69)</f>
        <v/>
      </c>
      <c r="S69" s="830" t="n"/>
      <c r="T69" s="831" t="n"/>
      <c r="U69" s="832" t="n"/>
      <c r="V69" s="833" t="n"/>
      <c r="W69" s="821" t="n"/>
      <c r="X69" s="821" t="n"/>
      <c r="Y69" s="821" t="n"/>
      <c r="Z69" s="821" t="n"/>
      <c r="AA69" s="834" t="n"/>
      <c r="AB69" s="835" t="n"/>
      <c r="AC69" s="836" t="n"/>
      <c r="AD69" s="837" t="n"/>
      <c r="AE69" s="838" t="n"/>
      <c r="AF69" s="839" t="n"/>
      <c r="AG69" s="839" t="n"/>
      <c r="AH69" s="839" t="n"/>
      <c r="AI69" s="839" t="n"/>
      <c r="AJ69" s="839" t="n"/>
      <c r="AK69" s="840" t="n"/>
      <c r="AL69" s="841" t="n"/>
      <c r="AM69" s="839" t="n"/>
      <c r="AN69" s="839" t="n"/>
      <c r="AO69" s="839" t="n"/>
      <c r="AP69" s="839" t="n"/>
      <c r="AQ69" s="839" t="n"/>
      <c r="AR69" s="839" t="n"/>
      <c r="AS69" s="839" t="n"/>
      <c r="AT69" s="842" t="n"/>
      <c r="AU69" s="838" t="n"/>
      <c r="AV69" s="840" t="n"/>
      <c r="AW69" s="843" t="n"/>
      <c r="AX69" s="844" t="n"/>
      <c r="AY69" s="845" t="n"/>
      <c r="AZ69" s="845" t="n"/>
      <c r="BA69" s="845" t="n"/>
      <c r="BB69" s="846" t="n"/>
      <c r="BC69" s="847" t="n"/>
      <c r="BD69" s="846" t="n"/>
      <c r="BE69" s="847" t="n"/>
      <c r="BF69" s="836" t="n"/>
    </row>
    <row r="70">
      <c r="A70" s="819" t="n"/>
      <c r="B70" s="820" t="n"/>
      <c r="C70" s="821">
        <f>SUM(Z70:AC70)</f>
        <v/>
      </c>
      <c r="D70" s="821">
        <f>SUM(AD70:AK70)</f>
        <v/>
      </c>
      <c r="E70" s="822">
        <f>SUM(AL70:AT70)</f>
        <v/>
      </c>
      <c r="F70" s="822">
        <f>SUM(AU70:AW70)</f>
        <v/>
      </c>
      <c r="G70" s="822">
        <f>SUM(AX70:BB70)</f>
        <v/>
      </c>
      <c r="H70" s="822">
        <f>SUM(BC70:BD70)</f>
        <v/>
      </c>
      <c r="I70" s="822">
        <f>SUM(V70:Y70)</f>
        <v/>
      </c>
      <c r="J70" s="823">
        <f>SUM(C70:I70)</f>
        <v/>
      </c>
      <c r="K70" s="824" t="n"/>
      <c r="L70" s="825" t="n"/>
      <c r="M70" s="826" t="n"/>
      <c r="N70" s="827" t="n"/>
      <c r="O70" s="828" t="n"/>
      <c r="P70" s="827" t="n"/>
      <c r="Q70" s="827" t="n"/>
      <c r="R70" s="829">
        <f>R69+SUM(N70:Q70)-SUM(J70:M70)</f>
        <v/>
      </c>
      <c r="S70" s="830" t="n"/>
      <c r="T70" s="831" t="n"/>
      <c r="U70" s="832" t="n"/>
      <c r="V70" s="833" t="n"/>
      <c r="W70" s="821" t="n"/>
      <c r="X70" s="821" t="n"/>
      <c r="Y70" s="821" t="n"/>
      <c r="Z70" s="821" t="n"/>
      <c r="AA70" s="834" t="n"/>
      <c r="AB70" s="835" t="n"/>
      <c r="AC70" s="836" t="n"/>
      <c r="AD70" s="837" t="n"/>
      <c r="AE70" s="838" t="n"/>
      <c r="AF70" s="839" t="n"/>
      <c r="AG70" s="839" t="n"/>
      <c r="AH70" s="839" t="n"/>
      <c r="AI70" s="839" t="n"/>
      <c r="AJ70" s="839" t="n"/>
      <c r="AK70" s="840" t="n"/>
      <c r="AL70" s="841" t="n"/>
      <c r="AM70" s="839" t="n"/>
      <c r="AN70" s="839" t="n"/>
      <c r="AO70" s="839" t="n"/>
      <c r="AP70" s="839" t="n"/>
      <c r="AQ70" s="839" t="n"/>
      <c r="AR70" s="839" t="n"/>
      <c r="AS70" s="839" t="n"/>
      <c r="AT70" s="842" t="n"/>
      <c r="AU70" s="838" t="n"/>
      <c r="AV70" s="840" t="n"/>
      <c r="AW70" s="843" t="n"/>
      <c r="AX70" s="844" t="n"/>
      <c r="AY70" s="845" t="n"/>
      <c r="AZ70" s="845" t="n"/>
      <c r="BA70" s="845" t="n"/>
      <c r="BB70" s="846" t="n"/>
      <c r="BC70" s="847" t="n"/>
      <c r="BD70" s="846" t="n"/>
      <c r="BE70" s="847" t="n"/>
      <c r="BF70" s="836" t="n"/>
    </row>
    <row r="71">
      <c r="A71" s="819" t="n"/>
      <c r="B71" s="820" t="n"/>
      <c r="C71" s="821">
        <f>SUM(Z71:AC71)</f>
        <v/>
      </c>
      <c r="D71" s="821">
        <f>SUM(AD71:AK71)</f>
        <v/>
      </c>
      <c r="E71" s="822">
        <f>SUM(AL71:AT71)</f>
        <v/>
      </c>
      <c r="F71" s="822">
        <f>SUM(AU71:AW71)</f>
        <v/>
      </c>
      <c r="G71" s="822">
        <f>SUM(AX71:BB71)</f>
        <v/>
      </c>
      <c r="H71" s="822">
        <f>SUM(BC71:BD71)</f>
        <v/>
      </c>
      <c r="I71" s="822">
        <f>SUM(V71:Y71)</f>
        <v/>
      </c>
      <c r="J71" s="823">
        <f>SUM(C71:I71)</f>
        <v/>
      </c>
      <c r="K71" s="824" t="n"/>
      <c r="L71" s="825" t="n"/>
      <c r="M71" s="826" t="n"/>
      <c r="N71" s="827" t="n"/>
      <c r="O71" s="828" t="n"/>
      <c r="P71" s="827" t="n"/>
      <c r="Q71" s="827" t="n"/>
      <c r="R71" s="829">
        <f>R70+SUM(N71:Q71)-SUM(J71:M71)</f>
        <v/>
      </c>
      <c r="S71" s="830" t="n"/>
      <c r="T71" s="831" t="n"/>
      <c r="U71" s="832" t="n"/>
      <c r="V71" s="833" t="n"/>
      <c r="W71" s="821" t="n"/>
      <c r="X71" s="821" t="n"/>
      <c r="Y71" s="821" t="n"/>
      <c r="Z71" s="821" t="n"/>
      <c r="AA71" s="834" t="n"/>
      <c r="AB71" s="835" t="n"/>
      <c r="AC71" s="836" t="n"/>
      <c r="AD71" s="837" t="n"/>
      <c r="AE71" s="838" t="n"/>
      <c r="AF71" s="839" t="n"/>
      <c r="AG71" s="839" t="n"/>
      <c r="AH71" s="839" t="n"/>
      <c r="AI71" s="839" t="n"/>
      <c r="AJ71" s="839" t="n"/>
      <c r="AK71" s="840" t="n"/>
      <c r="AL71" s="841" t="n"/>
      <c r="AM71" s="839" t="n"/>
      <c r="AN71" s="839" t="n"/>
      <c r="AO71" s="839" t="n"/>
      <c r="AP71" s="839" t="n"/>
      <c r="AQ71" s="839" t="n"/>
      <c r="AR71" s="839" t="n"/>
      <c r="AS71" s="839" t="n"/>
      <c r="AT71" s="842" t="n"/>
      <c r="AU71" s="838" t="n"/>
      <c r="AV71" s="840" t="n"/>
      <c r="AW71" s="843" t="n"/>
      <c r="AX71" s="844" t="n"/>
      <c r="AY71" s="845" t="n"/>
      <c r="AZ71" s="845" t="n"/>
      <c r="BA71" s="845" t="n"/>
      <c r="BB71" s="846" t="n"/>
      <c r="BC71" s="847" t="n"/>
      <c r="BD71" s="846" t="n"/>
      <c r="BE71" s="847" t="n"/>
      <c r="BF71" s="836" t="n"/>
    </row>
    <row r="72">
      <c r="A72" s="819" t="n"/>
      <c r="B72" s="820" t="n"/>
      <c r="C72" s="821">
        <f>SUM(Z72:AC72)</f>
        <v/>
      </c>
      <c r="D72" s="821">
        <f>SUM(AD72:AK72)</f>
        <v/>
      </c>
      <c r="E72" s="822">
        <f>SUM(AL72:AT72)</f>
        <v/>
      </c>
      <c r="F72" s="822">
        <f>SUM(AU72:AW72)</f>
        <v/>
      </c>
      <c r="G72" s="822">
        <f>SUM(AX72:BB72)</f>
        <v/>
      </c>
      <c r="H72" s="822">
        <f>SUM(BC72:BD72)</f>
        <v/>
      </c>
      <c r="I72" s="822">
        <f>SUM(V72:Y72)</f>
        <v/>
      </c>
      <c r="J72" s="823">
        <f>SUM(C72:I72)</f>
        <v/>
      </c>
      <c r="K72" s="824" t="n"/>
      <c r="L72" s="825" t="n"/>
      <c r="M72" s="826" t="n"/>
      <c r="N72" s="827" t="n"/>
      <c r="O72" s="828" t="n"/>
      <c r="P72" s="827" t="n"/>
      <c r="Q72" s="827" t="n"/>
      <c r="R72" s="829">
        <f>R71+SUM(N72:Q72)-SUM(J72:M72)</f>
        <v/>
      </c>
      <c r="S72" s="830" t="n"/>
      <c r="T72" s="831" t="n"/>
      <c r="U72" s="832" t="n"/>
      <c r="V72" s="833" t="n"/>
      <c r="W72" s="821" t="n"/>
      <c r="X72" s="821" t="n"/>
      <c r="Y72" s="821" t="n"/>
      <c r="Z72" s="821" t="n"/>
      <c r="AA72" s="834" t="n"/>
      <c r="AB72" s="835" t="n"/>
      <c r="AC72" s="836" t="n"/>
      <c r="AD72" s="837" t="n"/>
      <c r="AE72" s="838" t="n"/>
      <c r="AF72" s="839" t="n"/>
      <c r="AG72" s="839" t="n"/>
      <c r="AH72" s="839" t="n"/>
      <c r="AI72" s="839" t="n"/>
      <c r="AJ72" s="839" t="n"/>
      <c r="AK72" s="840" t="n"/>
      <c r="AL72" s="841" t="n"/>
      <c r="AM72" s="839" t="n"/>
      <c r="AN72" s="839" t="n"/>
      <c r="AO72" s="839" t="n"/>
      <c r="AP72" s="839" t="n"/>
      <c r="AQ72" s="839" t="n"/>
      <c r="AR72" s="839" t="n"/>
      <c r="AS72" s="839" t="n"/>
      <c r="AT72" s="842" t="n"/>
      <c r="AU72" s="838" t="n"/>
      <c r="AV72" s="840" t="n"/>
      <c r="AW72" s="843" t="n"/>
      <c r="AX72" s="844" t="n"/>
      <c r="AY72" s="845" t="n"/>
      <c r="AZ72" s="845" t="n"/>
      <c r="BA72" s="845" t="n"/>
      <c r="BB72" s="846" t="n"/>
      <c r="BC72" s="847" t="n"/>
      <c r="BD72" s="846" t="n"/>
      <c r="BE72" s="847" t="n"/>
      <c r="BF72" s="836" t="n"/>
    </row>
    <row r="73">
      <c r="A73" s="819" t="n"/>
      <c r="B73" s="820" t="n"/>
      <c r="C73" s="821">
        <f>SUM(Z73:AC73)</f>
        <v/>
      </c>
      <c r="D73" s="821">
        <f>SUM(AD73:AK73)</f>
        <v/>
      </c>
      <c r="E73" s="822">
        <f>SUM(AL73:AT73)</f>
        <v/>
      </c>
      <c r="F73" s="822">
        <f>SUM(AU73:AW73)</f>
        <v/>
      </c>
      <c r="G73" s="822">
        <f>SUM(AX73:BB73)</f>
        <v/>
      </c>
      <c r="H73" s="822">
        <f>SUM(BC73:BD73)</f>
        <v/>
      </c>
      <c r="I73" s="822">
        <f>SUM(V73:Y73)</f>
        <v/>
      </c>
      <c r="J73" s="823">
        <f>SUM(C73:I73)</f>
        <v/>
      </c>
      <c r="K73" s="824" t="n"/>
      <c r="L73" s="825" t="n"/>
      <c r="M73" s="826" t="n"/>
      <c r="N73" s="827" t="n"/>
      <c r="O73" s="828" t="n"/>
      <c r="P73" s="827" t="n"/>
      <c r="Q73" s="827" t="n"/>
      <c r="R73" s="829">
        <f>R72+SUM(N73:Q73)-SUM(J73:M73)</f>
        <v/>
      </c>
      <c r="S73" s="830" t="n"/>
      <c r="T73" s="831" t="n"/>
      <c r="U73" s="832" t="n"/>
      <c r="V73" s="833" t="n"/>
      <c r="W73" s="821" t="n"/>
      <c r="X73" s="821" t="n"/>
      <c r="Y73" s="821" t="n"/>
      <c r="Z73" s="821" t="n"/>
      <c r="AA73" s="834" t="n"/>
      <c r="AB73" s="835" t="n"/>
      <c r="AC73" s="836" t="n"/>
      <c r="AD73" s="837" t="n"/>
      <c r="AE73" s="838" t="n"/>
      <c r="AF73" s="839" t="n"/>
      <c r="AG73" s="839" t="n"/>
      <c r="AH73" s="839" t="n"/>
      <c r="AI73" s="839" t="n"/>
      <c r="AJ73" s="839" t="n"/>
      <c r="AK73" s="840" t="n"/>
      <c r="AL73" s="841" t="n"/>
      <c r="AM73" s="839" t="n"/>
      <c r="AN73" s="839" t="n"/>
      <c r="AO73" s="839" t="n"/>
      <c r="AP73" s="839" t="n"/>
      <c r="AQ73" s="839" t="n"/>
      <c r="AR73" s="839" t="n"/>
      <c r="AS73" s="839" t="n"/>
      <c r="AT73" s="842" t="n"/>
      <c r="AU73" s="838" t="n"/>
      <c r="AV73" s="840" t="n"/>
      <c r="AW73" s="843" t="n"/>
      <c r="AX73" s="844" t="n"/>
      <c r="AY73" s="845" t="n"/>
      <c r="AZ73" s="845" t="n"/>
      <c r="BA73" s="845" t="n"/>
      <c r="BB73" s="846" t="n"/>
      <c r="BC73" s="847" t="n"/>
      <c r="BD73" s="846" t="n"/>
      <c r="BE73" s="847" t="n"/>
      <c r="BF73" s="836" t="n"/>
    </row>
    <row r="74">
      <c r="A74" s="819" t="n"/>
      <c r="B74" s="820" t="n"/>
      <c r="C74" s="821">
        <f>SUM(Z74:AC74)</f>
        <v/>
      </c>
      <c r="D74" s="821">
        <f>SUM(AD74:AK74)</f>
        <v/>
      </c>
      <c r="E74" s="822">
        <f>SUM(AL74:AT74)</f>
        <v/>
      </c>
      <c r="F74" s="822">
        <f>SUM(AU74:AW74)</f>
        <v/>
      </c>
      <c r="G74" s="822">
        <f>SUM(AX74:BB74)</f>
        <v/>
      </c>
      <c r="H74" s="822">
        <f>SUM(BC74:BD74)</f>
        <v/>
      </c>
      <c r="I74" s="822">
        <f>SUM(V74:Y74)</f>
        <v/>
      </c>
      <c r="J74" s="823">
        <f>SUM(C74:I74)</f>
        <v/>
      </c>
      <c r="K74" s="824" t="n"/>
      <c r="L74" s="825" t="n"/>
      <c r="M74" s="826" t="n"/>
      <c r="N74" s="827" t="n"/>
      <c r="O74" s="828" t="n"/>
      <c r="P74" s="827" t="n"/>
      <c r="Q74" s="827" t="n"/>
      <c r="R74" s="829">
        <f>R73+SUM(N74:Q74)-SUM(J74:M74)</f>
        <v/>
      </c>
      <c r="S74" s="830" t="n"/>
      <c r="T74" s="831" t="n"/>
      <c r="U74" s="832" t="n"/>
      <c r="V74" s="833" t="n"/>
      <c r="W74" s="821" t="n"/>
      <c r="X74" s="821" t="n"/>
      <c r="Y74" s="821" t="n"/>
      <c r="Z74" s="821" t="n"/>
      <c r="AA74" s="834" t="n"/>
      <c r="AB74" s="835" t="n"/>
      <c r="AC74" s="836" t="n"/>
      <c r="AD74" s="837" t="n"/>
      <c r="AE74" s="838" t="n"/>
      <c r="AF74" s="839" t="n"/>
      <c r="AG74" s="839" t="n"/>
      <c r="AH74" s="839" t="n"/>
      <c r="AI74" s="839" t="n"/>
      <c r="AJ74" s="839" t="n"/>
      <c r="AK74" s="840" t="n"/>
      <c r="AL74" s="841" t="n"/>
      <c r="AM74" s="839" t="n"/>
      <c r="AN74" s="839" t="n"/>
      <c r="AO74" s="839" t="n"/>
      <c r="AP74" s="839" t="n"/>
      <c r="AQ74" s="839" t="n"/>
      <c r="AR74" s="839" t="n"/>
      <c r="AS74" s="839" t="n"/>
      <c r="AT74" s="842" t="n"/>
      <c r="AU74" s="838" t="n"/>
      <c r="AV74" s="840" t="n"/>
      <c r="AW74" s="843" t="n"/>
      <c r="AX74" s="844" t="n"/>
      <c r="AY74" s="845" t="n"/>
      <c r="AZ74" s="845" t="n"/>
      <c r="BA74" s="845" t="n"/>
      <c r="BB74" s="846" t="n"/>
      <c r="BC74" s="847" t="n"/>
      <c r="BD74" s="846" t="n"/>
      <c r="BE74" s="847" t="n"/>
      <c r="BF74" s="836" t="n"/>
    </row>
    <row r="75">
      <c r="A75" s="819" t="n"/>
      <c r="B75" s="820" t="n"/>
      <c r="C75" s="821">
        <f>SUM(Z75:AC75)</f>
        <v/>
      </c>
      <c r="D75" s="821">
        <f>SUM(AD75:AK75)</f>
        <v/>
      </c>
      <c r="E75" s="822">
        <f>SUM(AL75:AT75)</f>
        <v/>
      </c>
      <c r="F75" s="822">
        <f>SUM(AU75:AW75)</f>
        <v/>
      </c>
      <c r="G75" s="822">
        <f>SUM(AX75:BB75)</f>
        <v/>
      </c>
      <c r="H75" s="822">
        <f>SUM(BC75:BD75)</f>
        <v/>
      </c>
      <c r="I75" s="822">
        <f>SUM(V75:Y75)</f>
        <v/>
      </c>
      <c r="J75" s="823">
        <f>SUM(C75:I75)</f>
        <v/>
      </c>
      <c r="K75" s="824" t="n"/>
      <c r="L75" s="825" t="n"/>
      <c r="M75" s="826" t="n"/>
      <c r="N75" s="827" t="n"/>
      <c r="O75" s="828" t="n"/>
      <c r="P75" s="827" t="n"/>
      <c r="Q75" s="827" t="n"/>
      <c r="R75" s="829">
        <f>R74+SUM(N75:Q75)-SUM(J75:M75)</f>
        <v/>
      </c>
      <c r="S75" s="830" t="n"/>
      <c r="T75" s="831" t="n"/>
      <c r="U75" s="832" t="n"/>
      <c r="V75" s="833" t="n"/>
      <c r="W75" s="821" t="n"/>
      <c r="X75" s="821" t="n"/>
      <c r="Y75" s="821" t="n"/>
      <c r="Z75" s="821" t="n"/>
      <c r="AA75" s="834" t="n"/>
      <c r="AB75" s="835" t="n"/>
      <c r="AC75" s="836" t="n"/>
      <c r="AD75" s="837" t="n"/>
      <c r="AE75" s="838" t="n"/>
      <c r="AF75" s="839" t="n"/>
      <c r="AG75" s="839" t="n"/>
      <c r="AH75" s="839" t="n"/>
      <c r="AI75" s="839" t="n"/>
      <c r="AJ75" s="839" t="n"/>
      <c r="AK75" s="840" t="n"/>
      <c r="AL75" s="841" t="n"/>
      <c r="AM75" s="839" t="n"/>
      <c r="AN75" s="839" t="n"/>
      <c r="AO75" s="839" t="n"/>
      <c r="AP75" s="839" t="n"/>
      <c r="AQ75" s="839" t="n"/>
      <c r="AR75" s="839" t="n"/>
      <c r="AS75" s="839" t="n"/>
      <c r="AT75" s="842" t="n"/>
      <c r="AU75" s="838" t="n"/>
      <c r="AV75" s="840" t="n"/>
      <c r="AW75" s="843" t="n"/>
      <c r="AX75" s="844" t="n"/>
      <c r="AY75" s="845" t="n"/>
      <c r="AZ75" s="845" t="n"/>
      <c r="BA75" s="845" t="n"/>
      <c r="BB75" s="846" t="n"/>
      <c r="BC75" s="847" t="n"/>
      <c r="BD75" s="846" t="n"/>
      <c r="BE75" s="847" t="n"/>
      <c r="BF75" s="836" t="n"/>
    </row>
    <row r="76">
      <c r="A76" s="819" t="n"/>
      <c r="B76" s="820" t="n"/>
      <c r="C76" s="821">
        <f>SUM(Z76:AC76)</f>
        <v/>
      </c>
      <c r="D76" s="821">
        <f>SUM(AD76:AK76)</f>
        <v/>
      </c>
      <c r="E76" s="822">
        <f>SUM(AL76:AT76)</f>
        <v/>
      </c>
      <c r="F76" s="822">
        <f>SUM(AU76:AW76)</f>
        <v/>
      </c>
      <c r="G76" s="822">
        <f>SUM(AX76:BB76)</f>
        <v/>
      </c>
      <c r="H76" s="822">
        <f>SUM(BC76:BD76)</f>
        <v/>
      </c>
      <c r="I76" s="822">
        <f>SUM(V76:Y76)</f>
        <v/>
      </c>
      <c r="J76" s="823">
        <f>SUM(C76:I76)</f>
        <v/>
      </c>
      <c r="K76" s="824" t="n"/>
      <c r="L76" s="825" t="n"/>
      <c r="M76" s="826" t="n"/>
      <c r="N76" s="827" t="n"/>
      <c r="O76" s="828" t="n"/>
      <c r="P76" s="827" t="n"/>
      <c r="Q76" s="827" t="n"/>
      <c r="R76" s="829">
        <f>R75+SUM(N76:Q76)-SUM(J76:M76)</f>
        <v/>
      </c>
      <c r="S76" s="830" t="n"/>
      <c r="T76" s="831" t="n"/>
      <c r="U76" s="832" t="n"/>
      <c r="V76" s="833" t="n"/>
      <c r="W76" s="821" t="n"/>
      <c r="X76" s="821" t="n"/>
      <c r="Y76" s="821" t="n"/>
      <c r="Z76" s="821" t="n"/>
      <c r="AA76" s="834" t="n"/>
      <c r="AB76" s="835" t="n"/>
      <c r="AC76" s="836" t="n"/>
      <c r="AD76" s="837" t="n"/>
      <c r="AE76" s="838" t="n"/>
      <c r="AF76" s="839" t="n"/>
      <c r="AG76" s="839" t="n"/>
      <c r="AH76" s="839" t="n"/>
      <c r="AI76" s="839" t="n"/>
      <c r="AJ76" s="839" t="n"/>
      <c r="AK76" s="840" t="n"/>
      <c r="AL76" s="841" t="n"/>
      <c r="AM76" s="839" t="n"/>
      <c r="AN76" s="839" t="n"/>
      <c r="AO76" s="839" t="n"/>
      <c r="AP76" s="839" t="n"/>
      <c r="AQ76" s="839" t="n"/>
      <c r="AR76" s="839" t="n"/>
      <c r="AS76" s="839" t="n"/>
      <c r="AT76" s="842" t="n"/>
      <c r="AU76" s="838" t="n"/>
      <c r="AV76" s="840" t="n"/>
      <c r="AW76" s="843" t="n"/>
      <c r="AX76" s="844" t="n"/>
      <c r="AY76" s="845" t="n"/>
      <c r="AZ76" s="845" t="n"/>
      <c r="BA76" s="845" t="n"/>
      <c r="BB76" s="846" t="n"/>
      <c r="BC76" s="847" t="n"/>
      <c r="BD76" s="846" t="n"/>
      <c r="BE76" s="847" t="n"/>
      <c r="BF76" s="836" t="n"/>
    </row>
    <row r="77">
      <c r="A77" s="819" t="n"/>
      <c r="B77" s="820" t="n"/>
      <c r="C77" s="821">
        <f>SUM(Z77:AC77)</f>
        <v/>
      </c>
      <c r="D77" s="821">
        <f>SUM(AD77:AK77)</f>
        <v/>
      </c>
      <c r="E77" s="822">
        <f>SUM(AL77:AT77)</f>
        <v/>
      </c>
      <c r="F77" s="822">
        <f>SUM(AU77:AW77)</f>
        <v/>
      </c>
      <c r="G77" s="822">
        <f>SUM(AX77:BB77)</f>
        <v/>
      </c>
      <c r="H77" s="822">
        <f>SUM(BC77:BD77)</f>
        <v/>
      </c>
      <c r="I77" s="822">
        <f>SUM(V77:Y77)</f>
        <v/>
      </c>
      <c r="J77" s="823">
        <f>SUM(C77:I77)</f>
        <v/>
      </c>
      <c r="K77" s="824" t="n"/>
      <c r="L77" s="825" t="n"/>
      <c r="M77" s="826" t="n"/>
      <c r="N77" s="827" t="n"/>
      <c r="O77" s="828" t="n"/>
      <c r="P77" s="827" t="n"/>
      <c r="Q77" s="827" t="n"/>
      <c r="R77" s="829">
        <f>R76+SUM(N77:Q77)-SUM(J77:M77)</f>
        <v/>
      </c>
      <c r="S77" s="830" t="n"/>
      <c r="T77" s="831" t="n"/>
      <c r="U77" s="832" t="n"/>
      <c r="V77" s="833" t="n"/>
      <c r="W77" s="821" t="n"/>
      <c r="X77" s="821" t="n"/>
      <c r="Y77" s="821" t="n"/>
      <c r="Z77" s="821" t="n"/>
      <c r="AA77" s="834" t="n"/>
      <c r="AB77" s="835" t="n"/>
      <c r="AC77" s="836" t="n"/>
      <c r="AD77" s="837" t="n"/>
      <c r="AE77" s="838" t="n"/>
      <c r="AF77" s="839" t="n"/>
      <c r="AG77" s="839" t="n"/>
      <c r="AH77" s="839" t="n"/>
      <c r="AI77" s="839" t="n"/>
      <c r="AJ77" s="839" t="n"/>
      <c r="AK77" s="840" t="n"/>
      <c r="AL77" s="841" t="n"/>
      <c r="AM77" s="839" t="n"/>
      <c r="AN77" s="839" t="n"/>
      <c r="AO77" s="839" t="n"/>
      <c r="AP77" s="839" t="n"/>
      <c r="AQ77" s="839" t="n"/>
      <c r="AR77" s="839" t="n"/>
      <c r="AS77" s="839" t="n"/>
      <c r="AT77" s="842" t="n"/>
      <c r="AU77" s="838" t="n"/>
      <c r="AV77" s="840" t="n"/>
      <c r="AW77" s="843" t="n"/>
      <c r="AX77" s="844" t="n"/>
      <c r="AY77" s="845" t="n"/>
      <c r="AZ77" s="845" t="n"/>
      <c r="BA77" s="845" t="n"/>
      <c r="BB77" s="846" t="n"/>
      <c r="BC77" s="847" t="n"/>
      <c r="BD77" s="846" t="n"/>
      <c r="BE77" s="847" t="n"/>
      <c r="BF77" s="836" t="n"/>
    </row>
    <row r="78">
      <c r="A78" s="819" t="n"/>
      <c r="B78" s="820" t="n"/>
      <c r="C78" s="821">
        <f>SUM(Z78:AC78)</f>
        <v/>
      </c>
      <c r="D78" s="821">
        <f>SUM(AD78:AK78)</f>
        <v/>
      </c>
      <c r="E78" s="822">
        <f>SUM(AL78:AT78)</f>
        <v/>
      </c>
      <c r="F78" s="822">
        <f>SUM(AU78:AW78)</f>
        <v/>
      </c>
      <c r="G78" s="822">
        <f>SUM(AX78:BB78)</f>
        <v/>
      </c>
      <c r="H78" s="822">
        <f>SUM(BC78:BD78)</f>
        <v/>
      </c>
      <c r="I78" s="822">
        <f>SUM(V78:Y78)</f>
        <v/>
      </c>
      <c r="J78" s="823">
        <f>SUM(C78:I78)</f>
        <v/>
      </c>
      <c r="K78" s="824" t="n"/>
      <c r="L78" s="825" t="n"/>
      <c r="M78" s="826" t="n"/>
      <c r="N78" s="827" t="n"/>
      <c r="O78" s="828" t="n"/>
      <c r="P78" s="827" t="n"/>
      <c r="Q78" s="827" t="n"/>
      <c r="R78" s="829">
        <f>R77+SUM(N78:Q78)-SUM(J78:M78)</f>
        <v/>
      </c>
      <c r="S78" s="830" t="n"/>
      <c r="T78" s="831" t="n"/>
      <c r="U78" s="832" t="n"/>
      <c r="V78" s="833" t="n"/>
      <c r="W78" s="821" t="n"/>
      <c r="X78" s="821" t="n"/>
      <c r="Y78" s="821" t="n"/>
      <c r="Z78" s="821" t="n"/>
      <c r="AA78" s="834" t="n"/>
      <c r="AB78" s="835" t="n"/>
      <c r="AC78" s="836" t="n"/>
      <c r="AD78" s="837" t="n"/>
      <c r="AE78" s="838" t="n"/>
      <c r="AF78" s="839" t="n"/>
      <c r="AG78" s="839" t="n"/>
      <c r="AH78" s="839" t="n"/>
      <c r="AI78" s="839" t="n"/>
      <c r="AJ78" s="839" t="n"/>
      <c r="AK78" s="840" t="n"/>
      <c r="AL78" s="841" t="n"/>
      <c r="AM78" s="839" t="n"/>
      <c r="AN78" s="839" t="n"/>
      <c r="AO78" s="839" t="n"/>
      <c r="AP78" s="839" t="n"/>
      <c r="AQ78" s="839" t="n"/>
      <c r="AR78" s="839" t="n"/>
      <c r="AS78" s="839" t="n"/>
      <c r="AT78" s="842" t="n"/>
      <c r="AU78" s="838" t="n"/>
      <c r="AV78" s="840" t="n"/>
      <c r="AW78" s="843" t="n"/>
      <c r="AX78" s="844" t="n"/>
      <c r="AY78" s="845" t="n"/>
      <c r="AZ78" s="845" t="n"/>
      <c r="BA78" s="845" t="n"/>
      <c r="BB78" s="846" t="n"/>
      <c r="BC78" s="847" t="n"/>
      <c r="BD78" s="846" t="n"/>
      <c r="BE78" s="847" t="n"/>
      <c r="BF78" s="836" t="n"/>
    </row>
    <row r="79">
      <c r="A79" s="819" t="n"/>
      <c r="B79" s="820" t="n"/>
      <c r="C79" s="821">
        <f>SUM(Z79:AC79)</f>
        <v/>
      </c>
      <c r="D79" s="821">
        <f>SUM(AD79:AK79)</f>
        <v/>
      </c>
      <c r="E79" s="822">
        <f>SUM(AL79:AT79)</f>
        <v/>
      </c>
      <c r="F79" s="822">
        <f>SUM(AU79:AW79)</f>
        <v/>
      </c>
      <c r="G79" s="822">
        <f>SUM(AX79:BB79)</f>
        <v/>
      </c>
      <c r="H79" s="822">
        <f>SUM(BC79:BD79)</f>
        <v/>
      </c>
      <c r="I79" s="822">
        <f>SUM(V79:Y79)</f>
        <v/>
      </c>
      <c r="J79" s="823">
        <f>SUM(C79:I79)</f>
        <v/>
      </c>
      <c r="K79" s="824" t="n"/>
      <c r="L79" s="825" t="n"/>
      <c r="M79" s="826" t="n"/>
      <c r="N79" s="827" t="n"/>
      <c r="O79" s="828" t="n"/>
      <c r="P79" s="827" t="n"/>
      <c r="Q79" s="827" t="n"/>
      <c r="R79" s="829">
        <f>R78+SUM(N79:Q79)-SUM(J79:M79)</f>
        <v/>
      </c>
      <c r="S79" s="830" t="n"/>
      <c r="T79" s="831" t="n"/>
      <c r="U79" s="832" t="n"/>
      <c r="V79" s="833" t="n"/>
      <c r="W79" s="821" t="n"/>
      <c r="X79" s="821" t="n"/>
      <c r="Y79" s="821" t="n"/>
      <c r="Z79" s="821" t="n"/>
      <c r="AA79" s="834" t="n"/>
      <c r="AB79" s="835" t="n"/>
      <c r="AC79" s="836" t="n"/>
      <c r="AD79" s="837" t="n"/>
      <c r="AE79" s="838" t="n"/>
      <c r="AF79" s="839" t="n"/>
      <c r="AG79" s="839" t="n"/>
      <c r="AH79" s="839" t="n"/>
      <c r="AI79" s="839" t="n"/>
      <c r="AJ79" s="839" t="n"/>
      <c r="AK79" s="840" t="n"/>
      <c r="AL79" s="841" t="n"/>
      <c r="AM79" s="839" t="n"/>
      <c r="AN79" s="839" t="n"/>
      <c r="AO79" s="839" t="n"/>
      <c r="AP79" s="839" t="n"/>
      <c r="AQ79" s="839" t="n"/>
      <c r="AR79" s="839" t="n"/>
      <c r="AS79" s="839" t="n"/>
      <c r="AT79" s="842" t="n"/>
      <c r="AU79" s="838" t="n"/>
      <c r="AV79" s="840" t="n"/>
      <c r="AW79" s="843" t="n"/>
      <c r="AX79" s="844" t="n"/>
      <c r="AY79" s="845" t="n"/>
      <c r="AZ79" s="845" t="n"/>
      <c r="BA79" s="845" t="n"/>
      <c r="BB79" s="846" t="n"/>
      <c r="BC79" s="847" t="n"/>
      <c r="BD79" s="846" t="n"/>
      <c r="BE79" s="847" t="n"/>
      <c r="BF79" s="836" t="n"/>
    </row>
    <row r="80">
      <c r="A80" s="819" t="n"/>
      <c r="B80" s="820" t="n"/>
      <c r="C80" s="821">
        <f>SUM(Z80:AC80)</f>
        <v/>
      </c>
      <c r="D80" s="821">
        <f>SUM(AD80:AK80)</f>
        <v/>
      </c>
      <c r="E80" s="822">
        <f>SUM(AL80:AT80)</f>
        <v/>
      </c>
      <c r="F80" s="822">
        <f>SUM(AU80:AW80)</f>
        <v/>
      </c>
      <c r="G80" s="822">
        <f>SUM(AX80:BB80)</f>
        <v/>
      </c>
      <c r="H80" s="822">
        <f>SUM(BC80:BD80)</f>
        <v/>
      </c>
      <c r="I80" s="822">
        <f>SUM(V80:Y80)</f>
        <v/>
      </c>
      <c r="J80" s="823">
        <f>SUM(C80:I80)</f>
        <v/>
      </c>
      <c r="K80" s="824" t="n"/>
      <c r="L80" s="825" t="n"/>
      <c r="M80" s="826" t="n"/>
      <c r="N80" s="827" t="n"/>
      <c r="O80" s="828" t="n"/>
      <c r="P80" s="827" t="n"/>
      <c r="Q80" s="827" t="n"/>
      <c r="R80" s="829">
        <f>R79+SUM(N80:Q80)-SUM(J80:M80)</f>
        <v/>
      </c>
      <c r="S80" s="830" t="n"/>
      <c r="T80" s="831" t="n"/>
      <c r="U80" s="832" t="n"/>
      <c r="V80" s="833" t="n"/>
      <c r="W80" s="821" t="n"/>
      <c r="X80" s="821" t="n"/>
      <c r="Y80" s="821" t="n"/>
      <c r="Z80" s="821" t="n"/>
      <c r="AA80" s="834" t="n"/>
      <c r="AB80" s="835" t="n"/>
      <c r="AC80" s="836" t="n"/>
      <c r="AD80" s="837" t="n"/>
      <c r="AE80" s="838" t="n"/>
      <c r="AF80" s="839" t="n"/>
      <c r="AG80" s="839" t="n"/>
      <c r="AH80" s="839" t="n"/>
      <c r="AI80" s="839" t="n"/>
      <c r="AJ80" s="839" t="n"/>
      <c r="AK80" s="840" t="n"/>
      <c r="AL80" s="841" t="n"/>
      <c r="AM80" s="839" t="n"/>
      <c r="AN80" s="839" t="n"/>
      <c r="AO80" s="839" t="n"/>
      <c r="AP80" s="839" t="n"/>
      <c r="AQ80" s="839" t="n"/>
      <c r="AR80" s="839" t="n"/>
      <c r="AS80" s="839" t="n"/>
      <c r="AT80" s="842" t="n"/>
      <c r="AU80" s="838" t="n"/>
      <c r="AV80" s="840" t="n"/>
      <c r="AW80" s="843" t="n"/>
      <c r="AX80" s="844" t="n"/>
      <c r="AY80" s="845" t="n"/>
      <c r="AZ80" s="845" t="n"/>
      <c r="BA80" s="845" t="n"/>
      <c r="BB80" s="846" t="n"/>
      <c r="BC80" s="847" t="n"/>
      <c r="BD80" s="846" t="n"/>
      <c r="BE80" s="847" t="n"/>
      <c r="BF80" s="836" t="n"/>
    </row>
    <row r="81">
      <c r="A81" s="819" t="n"/>
      <c r="B81" s="820" t="n"/>
      <c r="C81" s="821">
        <f>SUM(Z81:AC81)</f>
        <v/>
      </c>
      <c r="D81" s="821">
        <f>SUM(AD81:AK81)</f>
        <v/>
      </c>
      <c r="E81" s="822">
        <f>SUM(AL81:AT81)</f>
        <v/>
      </c>
      <c r="F81" s="822">
        <f>SUM(AU81:AW81)</f>
        <v/>
      </c>
      <c r="G81" s="822">
        <f>SUM(AX81:BB81)</f>
        <v/>
      </c>
      <c r="H81" s="822">
        <f>SUM(BC81:BD81)</f>
        <v/>
      </c>
      <c r="I81" s="822">
        <f>SUM(V81:Y81)</f>
        <v/>
      </c>
      <c r="J81" s="823">
        <f>SUM(C81:I81)</f>
        <v/>
      </c>
      <c r="K81" s="824" t="n"/>
      <c r="L81" s="825" t="n"/>
      <c r="M81" s="826" t="n"/>
      <c r="N81" s="827" t="n"/>
      <c r="O81" s="828" t="n"/>
      <c r="P81" s="827" t="n"/>
      <c r="Q81" s="827" t="n"/>
      <c r="R81" s="829">
        <f>R80+SUM(N81:Q81)-SUM(J81:M81)</f>
        <v/>
      </c>
      <c r="S81" s="830" t="n"/>
      <c r="T81" s="831" t="n"/>
      <c r="U81" s="832" t="n"/>
      <c r="V81" s="833" t="n"/>
      <c r="W81" s="821" t="n"/>
      <c r="X81" s="821" t="n"/>
      <c r="Y81" s="821" t="n"/>
      <c r="Z81" s="821" t="n"/>
      <c r="AA81" s="834" t="n"/>
      <c r="AB81" s="835" t="n"/>
      <c r="AC81" s="836" t="n"/>
      <c r="AD81" s="837" t="n"/>
      <c r="AE81" s="838" t="n"/>
      <c r="AF81" s="839" t="n"/>
      <c r="AG81" s="839" t="n"/>
      <c r="AH81" s="839" t="n"/>
      <c r="AI81" s="839" t="n"/>
      <c r="AJ81" s="839" t="n"/>
      <c r="AK81" s="840" t="n"/>
      <c r="AL81" s="841" t="n"/>
      <c r="AM81" s="839" t="n"/>
      <c r="AN81" s="839" t="n"/>
      <c r="AO81" s="839" t="n"/>
      <c r="AP81" s="839" t="n"/>
      <c r="AQ81" s="839" t="n"/>
      <c r="AR81" s="839" t="n"/>
      <c r="AS81" s="839" t="n"/>
      <c r="AT81" s="842" t="n"/>
      <c r="AU81" s="838" t="n"/>
      <c r="AV81" s="840" t="n"/>
      <c r="AW81" s="843" t="n"/>
      <c r="AX81" s="844" t="n"/>
      <c r="AY81" s="845" t="n"/>
      <c r="AZ81" s="845" t="n"/>
      <c r="BA81" s="845" t="n"/>
      <c r="BB81" s="846" t="n"/>
      <c r="BC81" s="847" t="n"/>
      <c r="BD81" s="846" t="n"/>
      <c r="BE81" s="847" t="n"/>
      <c r="BF81" s="836" t="n"/>
    </row>
    <row r="82">
      <c r="A82" s="819" t="n"/>
      <c r="B82" s="820" t="n"/>
      <c r="C82" s="821">
        <f>SUM(Z82:AC82)</f>
        <v/>
      </c>
      <c r="D82" s="821">
        <f>SUM(AD82:AK82)</f>
        <v/>
      </c>
      <c r="E82" s="822">
        <f>SUM(AL82:AT82)</f>
        <v/>
      </c>
      <c r="F82" s="822">
        <f>SUM(AU82:AW82)</f>
        <v/>
      </c>
      <c r="G82" s="822">
        <f>SUM(AX82:BB82)</f>
        <v/>
      </c>
      <c r="H82" s="822">
        <f>SUM(BC82:BD82)</f>
        <v/>
      </c>
      <c r="I82" s="822">
        <f>SUM(V82:Y82)</f>
        <v/>
      </c>
      <c r="J82" s="823">
        <f>SUM(C82:I82)</f>
        <v/>
      </c>
      <c r="K82" s="824" t="n"/>
      <c r="L82" s="825" t="n"/>
      <c r="M82" s="826" t="n"/>
      <c r="N82" s="827" t="n"/>
      <c r="O82" s="828" t="n"/>
      <c r="P82" s="827" t="n"/>
      <c r="Q82" s="827" t="n"/>
      <c r="R82" s="829">
        <f>R81+SUM(N82:Q82)-SUM(J82:M82)</f>
        <v/>
      </c>
      <c r="S82" s="830" t="n"/>
      <c r="T82" s="831" t="n"/>
      <c r="U82" s="832" t="n"/>
      <c r="V82" s="833" t="n"/>
      <c r="W82" s="821" t="n"/>
      <c r="X82" s="821" t="n"/>
      <c r="Y82" s="821" t="n"/>
      <c r="Z82" s="821" t="n"/>
      <c r="AA82" s="834" t="n"/>
      <c r="AB82" s="835" t="n"/>
      <c r="AC82" s="836" t="n"/>
      <c r="AD82" s="837" t="n"/>
      <c r="AE82" s="838" t="n"/>
      <c r="AF82" s="839" t="n"/>
      <c r="AG82" s="839" t="n"/>
      <c r="AH82" s="839" t="n"/>
      <c r="AI82" s="839" t="n"/>
      <c r="AJ82" s="839" t="n"/>
      <c r="AK82" s="840" t="n"/>
      <c r="AL82" s="841" t="n"/>
      <c r="AM82" s="839" t="n"/>
      <c r="AN82" s="839" t="n"/>
      <c r="AO82" s="839" t="n"/>
      <c r="AP82" s="839" t="n"/>
      <c r="AQ82" s="839" t="n"/>
      <c r="AR82" s="839" t="n"/>
      <c r="AS82" s="839" t="n"/>
      <c r="AT82" s="842" t="n"/>
      <c r="AU82" s="838" t="n"/>
      <c r="AV82" s="840" t="n"/>
      <c r="AW82" s="843" t="n"/>
      <c r="AX82" s="844" t="n"/>
      <c r="AY82" s="845" t="n"/>
      <c r="AZ82" s="845" t="n"/>
      <c r="BA82" s="845" t="n"/>
      <c r="BB82" s="846" t="n"/>
      <c r="BC82" s="847" t="n"/>
      <c r="BD82" s="846" t="n"/>
      <c r="BE82" s="847" t="n"/>
      <c r="BF82" s="836" t="n"/>
    </row>
    <row r="83">
      <c r="A83" s="819" t="n"/>
      <c r="B83" s="820" t="n"/>
      <c r="C83" s="821">
        <f>SUM(Z83:AC83)</f>
        <v/>
      </c>
      <c r="D83" s="821">
        <f>SUM(AD83:AK83)</f>
        <v/>
      </c>
      <c r="E83" s="822">
        <f>SUM(AL83:AT83)</f>
        <v/>
      </c>
      <c r="F83" s="822">
        <f>SUM(AU83:AW83)</f>
        <v/>
      </c>
      <c r="G83" s="822">
        <f>SUM(AX83:BB83)</f>
        <v/>
      </c>
      <c r="H83" s="822">
        <f>SUM(BC83:BD83)</f>
        <v/>
      </c>
      <c r="I83" s="822">
        <f>SUM(V83:Y83)</f>
        <v/>
      </c>
      <c r="J83" s="823">
        <f>SUM(C83:I83)</f>
        <v/>
      </c>
      <c r="K83" s="824" t="n"/>
      <c r="L83" s="825" t="n"/>
      <c r="M83" s="826" t="n"/>
      <c r="N83" s="827" t="n"/>
      <c r="O83" s="828" t="n"/>
      <c r="P83" s="827" t="n"/>
      <c r="Q83" s="827" t="n"/>
      <c r="R83" s="829">
        <f>R82+SUM(N83:Q83)-SUM(J83:M83)</f>
        <v/>
      </c>
      <c r="S83" s="830" t="n"/>
      <c r="T83" s="831" t="n"/>
      <c r="U83" s="832" t="n"/>
      <c r="V83" s="833" t="n"/>
      <c r="W83" s="821" t="n"/>
      <c r="X83" s="821" t="n"/>
      <c r="Y83" s="821" t="n"/>
      <c r="Z83" s="821" t="n"/>
      <c r="AA83" s="834" t="n"/>
      <c r="AB83" s="835" t="n"/>
      <c r="AC83" s="836" t="n"/>
      <c r="AD83" s="837" t="n"/>
      <c r="AE83" s="838" t="n"/>
      <c r="AF83" s="839" t="n"/>
      <c r="AG83" s="839" t="n"/>
      <c r="AH83" s="839" t="n"/>
      <c r="AI83" s="839" t="n"/>
      <c r="AJ83" s="839" t="n"/>
      <c r="AK83" s="840" t="n"/>
      <c r="AL83" s="841" t="n"/>
      <c r="AM83" s="839" t="n"/>
      <c r="AN83" s="839" t="n"/>
      <c r="AO83" s="839" t="n"/>
      <c r="AP83" s="839" t="n"/>
      <c r="AQ83" s="839" t="n"/>
      <c r="AR83" s="839" t="n"/>
      <c r="AS83" s="839" t="n"/>
      <c r="AT83" s="842" t="n"/>
      <c r="AU83" s="838" t="n"/>
      <c r="AV83" s="840" t="n"/>
      <c r="AW83" s="843" t="n"/>
      <c r="AX83" s="844" t="n"/>
      <c r="AY83" s="845" t="n"/>
      <c r="AZ83" s="845" t="n"/>
      <c r="BA83" s="845" t="n"/>
      <c r="BB83" s="846" t="n"/>
      <c r="BC83" s="847" t="n"/>
      <c r="BD83" s="846" t="n"/>
      <c r="BE83" s="847" t="n"/>
      <c r="BF83" s="836" t="n"/>
    </row>
    <row r="84">
      <c r="A84" s="819" t="n"/>
      <c r="B84" s="820" t="n"/>
      <c r="C84" s="821">
        <f>SUM(Z84:AC84)</f>
        <v/>
      </c>
      <c r="D84" s="821">
        <f>SUM(AD84:AK84)</f>
        <v/>
      </c>
      <c r="E84" s="822">
        <f>SUM(AL84:AT84)</f>
        <v/>
      </c>
      <c r="F84" s="822">
        <f>SUM(AU84:AW84)</f>
        <v/>
      </c>
      <c r="G84" s="822">
        <f>SUM(AX84:BB84)</f>
        <v/>
      </c>
      <c r="H84" s="822">
        <f>SUM(BC84:BD84)</f>
        <v/>
      </c>
      <c r="I84" s="822">
        <f>SUM(V84:Y84)</f>
        <v/>
      </c>
      <c r="J84" s="823">
        <f>SUM(C84:I84)</f>
        <v/>
      </c>
      <c r="K84" s="824" t="n"/>
      <c r="L84" s="825" t="n"/>
      <c r="M84" s="826" t="n"/>
      <c r="N84" s="827" t="n"/>
      <c r="O84" s="828" t="n"/>
      <c r="P84" s="827" t="n"/>
      <c r="Q84" s="827" t="n"/>
      <c r="R84" s="829">
        <f>R83+SUM(N84:Q84)-SUM(J84:M84)</f>
        <v/>
      </c>
      <c r="S84" s="830" t="n"/>
      <c r="T84" s="831" t="n"/>
      <c r="U84" s="832" t="n"/>
      <c r="V84" s="833" t="n"/>
      <c r="W84" s="821" t="n"/>
      <c r="X84" s="821" t="n"/>
      <c r="Y84" s="821" t="n"/>
      <c r="Z84" s="821" t="n"/>
      <c r="AA84" s="834" t="n"/>
      <c r="AB84" s="835" t="n"/>
      <c r="AC84" s="836" t="n"/>
      <c r="AD84" s="837" t="n"/>
      <c r="AE84" s="838" t="n"/>
      <c r="AF84" s="839" t="n"/>
      <c r="AG84" s="839" t="n"/>
      <c r="AH84" s="839" t="n"/>
      <c r="AI84" s="839" t="n"/>
      <c r="AJ84" s="839" t="n"/>
      <c r="AK84" s="840" t="n"/>
      <c r="AL84" s="841" t="n"/>
      <c r="AM84" s="839" t="n"/>
      <c r="AN84" s="839" t="n"/>
      <c r="AO84" s="839" t="n"/>
      <c r="AP84" s="839" t="n"/>
      <c r="AQ84" s="839" t="n"/>
      <c r="AR84" s="839" t="n"/>
      <c r="AS84" s="839" t="n"/>
      <c r="AT84" s="842" t="n"/>
      <c r="AU84" s="838" t="n"/>
      <c r="AV84" s="840" t="n"/>
      <c r="AW84" s="843" t="n"/>
      <c r="AX84" s="844" t="n"/>
      <c r="AY84" s="845" t="n"/>
      <c r="AZ84" s="845" t="n"/>
      <c r="BA84" s="845" t="n"/>
      <c r="BB84" s="846" t="n"/>
      <c r="BC84" s="847" t="n"/>
      <c r="BD84" s="846" t="n"/>
      <c r="BE84" s="847" t="n"/>
      <c r="BF84" s="836" t="n"/>
    </row>
    <row r="85">
      <c r="A85" s="819" t="n"/>
      <c r="B85" s="820" t="n"/>
      <c r="C85" s="821">
        <f>SUM(Z85:AC85)</f>
        <v/>
      </c>
      <c r="D85" s="821">
        <f>SUM(AD85:AK85)</f>
        <v/>
      </c>
      <c r="E85" s="822">
        <f>SUM(AL85:AT85)</f>
        <v/>
      </c>
      <c r="F85" s="822">
        <f>SUM(AU85:AW85)</f>
        <v/>
      </c>
      <c r="G85" s="822">
        <f>SUM(AX85:BB85)</f>
        <v/>
      </c>
      <c r="H85" s="822">
        <f>SUM(BC85:BD85)</f>
        <v/>
      </c>
      <c r="I85" s="822">
        <f>SUM(V85:Y85)</f>
        <v/>
      </c>
      <c r="J85" s="823">
        <f>SUM(C85:I85)</f>
        <v/>
      </c>
      <c r="K85" s="824" t="n"/>
      <c r="L85" s="825" t="n"/>
      <c r="M85" s="826" t="n"/>
      <c r="N85" s="827" t="n"/>
      <c r="O85" s="828" t="n"/>
      <c r="P85" s="827" t="n"/>
      <c r="Q85" s="827" t="n"/>
      <c r="R85" s="829">
        <f>R84+SUM(N85:Q85)-SUM(J85:M85)</f>
        <v/>
      </c>
      <c r="S85" s="830" t="n"/>
      <c r="T85" s="831" t="n"/>
      <c r="U85" s="832" t="n"/>
      <c r="V85" s="833" t="n"/>
      <c r="W85" s="821" t="n"/>
      <c r="X85" s="821" t="n"/>
      <c r="Y85" s="821" t="n"/>
      <c r="Z85" s="821" t="n"/>
      <c r="AA85" s="834" t="n"/>
      <c r="AB85" s="835" t="n"/>
      <c r="AC85" s="836" t="n"/>
      <c r="AD85" s="837" t="n"/>
      <c r="AE85" s="838" t="n"/>
      <c r="AF85" s="839" t="n"/>
      <c r="AG85" s="839" t="n"/>
      <c r="AH85" s="839" t="n"/>
      <c r="AI85" s="839" t="n"/>
      <c r="AJ85" s="839" t="n"/>
      <c r="AK85" s="840" t="n"/>
      <c r="AL85" s="841" t="n"/>
      <c r="AM85" s="839" t="n"/>
      <c r="AN85" s="839" t="n"/>
      <c r="AO85" s="839" t="n"/>
      <c r="AP85" s="839" t="n"/>
      <c r="AQ85" s="839" t="n"/>
      <c r="AR85" s="839" t="n"/>
      <c r="AS85" s="839" t="n"/>
      <c r="AT85" s="842" t="n"/>
      <c r="AU85" s="838" t="n"/>
      <c r="AV85" s="840" t="n"/>
      <c r="AW85" s="843" t="n"/>
      <c r="AX85" s="844" t="n"/>
      <c r="AY85" s="845" t="n"/>
      <c r="AZ85" s="845" t="n"/>
      <c r="BA85" s="845" t="n"/>
      <c r="BB85" s="846" t="n"/>
      <c r="BC85" s="847" t="n"/>
      <c r="BD85" s="846" t="n"/>
      <c r="BE85" s="847" t="n"/>
      <c r="BF85" s="836" t="n"/>
    </row>
    <row r="86">
      <c r="A86" s="819" t="n"/>
      <c r="B86" s="820" t="n"/>
      <c r="C86" s="821">
        <f>SUM(Z86:AC86)</f>
        <v/>
      </c>
      <c r="D86" s="821">
        <f>SUM(AD86:AK86)</f>
        <v/>
      </c>
      <c r="E86" s="822">
        <f>SUM(AL86:AT86)</f>
        <v/>
      </c>
      <c r="F86" s="822">
        <f>SUM(AU86:AW86)</f>
        <v/>
      </c>
      <c r="G86" s="822">
        <f>SUM(AX86:BB86)</f>
        <v/>
      </c>
      <c r="H86" s="822">
        <f>SUM(BC86:BD86)</f>
        <v/>
      </c>
      <c r="I86" s="822">
        <f>SUM(V86:Y86)</f>
        <v/>
      </c>
      <c r="J86" s="823">
        <f>SUM(C86:I86)</f>
        <v/>
      </c>
      <c r="K86" s="824" t="n"/>
      <c r="L86" s="825" t="n"/>
      <c r="M86" s="826" t="n"/>
      <c r="N86" s="827" t="n"/>
      <c r="O86" s="828" t="n"/>
      <c r="P86" s="827" t="n"/>
      <c r="Q86" s="827" t="n"/>
      <c r="R86" s="829">
        <f>R85+SUM(N86:Q86)-SUM(J86:M86)</f>
        <v/>
      </c>
      <c r="S86" s="830" t="n"/>
      <c r="T86" s="831" t="n"/>
      <c r="U86" s="832" t="n"/>
      <c r="V86" s="833" t="n"/>
      <c r="W86" s="821" t="n"/>
      <c r="X86" s="821" t="n"/>
      <c r="Y86" s="821" t="n"/>
      <c r="Z86" s="821" t="n"/>
      <c r="AA86" s="834" t="n"/>
      <c r="AB86" s="835" t="n"/>
      <c r="AC86" s="836" t="n"/>
      <c r="AD86" s="837" t="n"/>
      <c r="AE86" s="838" t="n"/>
      <c r="AF86" s="839" t="n"/>
      <c r="AG86" s="839" t="n"/>
      <c r="AH86" s="839" t="n"/>
      <c r="AI86" s="839" t="n"/>
      <c r="AJ86" s="839" t="n"/>
      <c r="AK86" s="840" t="n"/>
      <c r="AL86" s="841" t="n"/>
      <c r="AM86" s="839" t="n"/>
      <c r="AN86" s="839" t="n"/>
      <c r="AO86" s="839" t="n"/>
      <c r="AP86" s="839" t="n"/>
      <c r="AQ86" s="839" t="n"/>
      <c r="AR86" s="839" t="n"/>
      <c r="AS86" s="839" t="n"/>
      <c r="AT86" s="842" t="n"/>
      <c r="AU86" s="838" t="n"/>
      <c r="AV86" s="840" t="n"/>
      <c r="AW86" s="843" t="n"/>
      <c r="AX86" s="844" t="n"/>
      <c r="AY86" s="845" t="n"/>
      <c r="AZ86" s="845" t="n"/>
      <c r="BA86" s="845" t="n"/>
      <c r="BB86" s="846" t="n"/>
      <c r="BC86" s="847" t="n"/>
      <c r="BD86" s="846" t="n"/>
      <c r="BE86" s="847" t="n"/>
      <c r="BF86" s="836" t="n"/>
    </row>
    <row r="87">
      <c r="A87" s="819" t="n"/>
      <c r="B87" s="820" t="n"/>
      <c r="C87" s="821">
        <f>SUM(Z87:AC87)</f>
        <v/>
      </c>
      <c r="D87" s="821">
        <f>SUM(AD87:AK87)</f>
        <v/>
      </c>
      <c r="E87" s="822">
        <f>SUM(AL87:AT87)</f>
        <v/>
      </c>
      <c r="F87" s="822">
        <f>SUM(AU87:AW87)</f>
        <v/>
      </c>
      <c r="G87" s="822">
        <f>SUM(AX87:BB87)</f>
        <v/>
      </c>
      <c r="H87" s="822">
        <f>SUM(BC87:BD87)</f>
        <v/>
      </c>
      <c r="I87" s="822">
        <f>SUM(V87:Y87)</f>
        <v/>
      </c>
      <c r="J87" s="823">
        <f>SUM(C87:I87)</f>
        <v/>
      </c>
      <c r="K87" s="824" t="n"/>
      <c r="L87" s="825" t="n"/>
      <c r="M87" s="826" t="n"/>
      <c r="N87" s="827" t="n"/>
      <c r="O87" s="828" t="n"/>
      <c r="P87" s="827" t="n"/>
      <c r="Q87" s="827" t="n"/>
      <c r="R87" s="829">
        <f>R86+SUM(N87:Q87)-SUM(J87:M87)</f>
        <v/>
      </c>
      <c r="S87" s="830" t="n"/>
      <c r="T87" s="831" t="n"/>
      <c r="U87" s="832" t="n"/>
      <c r="V87" s="833" t="n"/>
      <c r="W87" s="821" t="n"/>
      <c r="X87" s="821" t="n"/>
      <c r="Y87" s="821" t="n"/>
      <c r="Z87" s="821" t="n"/>
      <c r="AA87" s="834" t="n"/>
      <c r="AB87" s="835" t="n"/>
      <c r="AC87" s="836" t="n"/>
      <c r="AD87" s="837" t="n"/>
      <c r="AE87" s="838" t="n"/>
      <c r="AF87" s="839" t="n"/>
      <c r="AG87" s="839" t="n"/>
      <c r="AH87" s="839" t="n"/>
      <c r="AI87" s="839" t="n"/>
      <c r="AJ87" s="839" t="n"/>
      <c r="AK87" s="840" t="n"/>
      <c r="AL87" s="841" t="n"/>
      <c r="AM87" s="839" t="n"/>
      <c r="AN87" s="839" t="n"/>
      <c r="AO87" s="839" t="n"/>
      <c r="AP87" s="839" t="n"/>
      <c r="AQ87" s="839" t="n"/>
      <c r="AR87" s="839" t="n"/>
      <c r="AS87" s="839" t="n"/>
      <c r="AT87" s="842" t="n"/>
      <c r="AU87" s="838" t="n"/>
      <c r="AV87" s="840" t="n"/>
      <c r="AW87" s="843" t="n"/>
      <c r="AX87" s="844" t="n"/>
      <c r="AY87" s="845" t="n"/>
      <c r="AZ87" s="845" t="n"/>
      <c r="BA87" s="845" t="n"/>
      <c r="BB87" s="846" t="n"/>
      <c r="BC87" s="847" t="n"/>
      <c r="BD87" s="846" t="n"/>
      <c r="BE87" s="847" t="n"/>
      <c r="BF87" s="836" t="n"/>
    </row>
    <row r="88">
      <c r="A88" s="819" t="n"/>
      <c r="B88" s="820" t="n"/>
      <c r="C88" s="821">
        <f>SUM(Z88:AC88)</f>
        <v/>
      </c>
      <c r="D88" s="821">
        <f>SUM(AD88:AK88)</f>
        <v/>
      </c>
      <c r="E88" s="822">
        <f>SUM(AL88:AT88)</f>
        <v/>
      </c>
      <c r="F88" s="822">
        <f>SUM(AU88:AW88)</f>
        <v/>
      </c>
      <c r="G88" s="822">
        <f>SUM(AX88:BB88)</f>
        <v/>
      </c>
      <c r="H88" s="822">
        <f>SUM(BC88:BD88)</f>
        <v/>
      </c>
      <c r="I88" s="822">
        <f>SUM(V88:Y88)</f>
        <v/>
      </c>
      <c r="J88" s="823">
        <f>SUM(C88:I88)</f>
        <v/>
      </c>
      <c r="K88" s="824" t="n"/>
      <c r="L88" s="825" t="n"/>
      <c r="M88" s="826" t="n"/>
      <c r="N88" s="827" t="n"/>
      <c r="O88" s="828" t="n"/>
      <c r="P88" s="827" t="n"/>
      <c r="Q88" s="827" t="n"/>
      <c r="R88" s="829">
        <f>R87+SUM(N88:Q88)-SUM(J88:M88)</f>
        <v/>
      </c>
      <c r="S88" s="830" t="n"/>
      <c r="T88" s="831" t="n"/>
      <c r="U88" s="832" t="n"/>
      <c r="V88" s="833" t="n"/>
      <c r="W88" s="821" t="n"/>
      <c r="X88" s="821" t="n"/>
      <c r="Y88" s="821" t="n"/>
      <c r="Z88" s="821" t="n"/>
      <c r="AA88" s="834" t="n"/>
      <c r="AB88" s="835" t="n"/>
      <c r="AC88" s="836" t="n"/>
      <c r="AD88" s="837" t="n"/>
      <c r="AE88" s="838" t="n"/>
      <c r="AF88" s="839" t="n"/>
      <c r="AG88" s="839" t="n"/>
      <c r="AH88" s="839" t="n"/>
      <c r="AI88" s="839" t="n"/>
      <c r="AJ88" s="839" t="n"/>
      <c r="AK88" s="840" t="n"/>
      <c r="AL88" s="841" t="n"/>
      <c r="AM88" s="839" t="n"/>
      <c r="AN88" s="839" t="n"/>
      <c r="AO88" s="839" t="n"/>
      <c r="AP88" s="839" t="n"/>
      <c r="AQ88" s="839" t="n"/>
      <c r="AR88" s="839" t="n"/>
      <c r="AS88" s="839" t="n"/>
      <c r="AT88" s="842" t="n"/>
      <c r="AU88" s="838" t="n"/>
      <c r="AV88" s="840" t="n"/>
      <c r="AW88" s="843" t="n"/>
      <c r="AX88" s="844" t="n"/>
      <c r="AY88" s="845" t="n"/>
      <c r="AZ88" s="845" t="n"/>
      <c r="BA88" s="845" t="n"/>
      <c r="BB88" s="846" t="n"/>
      <c r="BC88" s="847" t="n"/>
      <c r="BD88" s="846" t="n"/>
      <c r="BE88" s="847" t="n"/>
      <c r="BF88" s="836" t="n"/>
    </row>
    <row r="89">
      <c r="A89" s="819" t="n"/>
      <c r="B89" s="820" t="n"/>
      <c r="C89" s="821">
        <f>SUM(Z89:AC89)</f>
        <v/>
      </c>
      <c r="D89" s="821">
        <f>SUM(AD89:AK89)</f>
        <v/>
      </c>
      <c r="E89" s="822">
        <f>SUM(AL89:AT89)</f>
        <v/>
      </c>
      <c r="F89" s="822">
        <f>SUM(AU89:AW89)</f>
        <v/>
      </c>
      <c r="G89" s="822">
        <f>SUM(AX89:BB89)</f>
        <v/>
      </c>
      <c r="H89" s="822">
        <f>SUM(BC89:BD89)</f>
        <v/>
      </c>
      <c r="I89" s="822">
        <f>SUM(V89:Y89)</f>
        <v/>
      </c>
      <c r="J89" s="823">
        <f>SUM(C89:I89)</f>
        <v/>
      </c>
      <c r="K89" s="824" t="n"/>
      <c r="L89" s="825" t="n"/>
      <c r="M89" s="826" t="n"/>
      <c r="N89" s="827" t="n"/>
      <c r="O89" s="828" t="n"/>
      <c r="P89" s="827" t="n"/>
      <c r="Q89" s="827" t="n"/>
      <c r="R89" s="829">
        <f>R88+SUM(N89:Q89)-SUM(J89:M89)</f>
        <v/>
      </c>
      <c r="S89" s="830" t="n"/>
      <c r="T89" s="831" t="n"/>
      <c r="U89" s="832" t="n"/>
      <c r="V89" s="833" t="n"/>
      <c r="W89" s="821" t="n"/>
      <c r="X89" s="821" t="n"/>
      <c r="Y89" s="821" t="n"/>
      <c r="Z89" s="821" t="n"/>
      <c r="AA89" s="834" t="n"/>
      <c r="AB89" s="835" t="n"/>
      <c r="AC89" s="836" t="n"/>
      <c r="AD89" s="837" t="n"/>
      <c r="AE89" s="838" t="n"/>
      <c r="AF89" s="839" t="n"/>
      <c r="AG89" s="839" t="n"/>
      <c r="AH89" s="839" t="n"/>
      <c r="AI89" s="839" t="n"/>
      <c r="AJ89" s="839" t="n"/>
      <c r="AK89" s="840" t="n"/>
      <c r="AL89" s="841" t="n"/>
      <c r="AM89" s="839" t="n"/>
      <c r="AN89" s="839" t="n"/>
      <c r="AO89" s="839" t="n"/>
      <c r="AP89" s="839" t="n"/>
      <c r="AQ89" s="839" t="n"/>
      <c r="AR89" s="839" t="n"/>
      <c r="AS89" s="839" t="n"/>
      <c r="AT89" s="842" t="n"/>
      <c r="AU89" s="838" t="n"/>
      <c r="AV89" s="840" t="n"/>
      <c r="AW89" s="843" t="n"/>
      <c r="AX89" s="844" t="n"/>
      <c r="AY89" s="845" t="n"/>
      <c r="AZ89" s="845" t="n"/>
      <c r="BA89" s="845" t="n"/>
      <c r="BB89" s="846" t="n"/>
      <c r="BC89" s="847" t="n"/>
      <c r="BD89" s="846" t="n"/>
      <c r="BE89" s="847" t="n"/>
      <c r="BF89" s="836" t="n"/>
    </row>
    <row r="90">
      <c r="A90" s="819" t="n"/>
      <c r="B90" s="820" t="n"/>
      <c r="C90" s="821">
        <f>SUM(Z90:AC90)</f>
        <v/>
      </c>
      <c r="D90" s="821">
        <f>SUM(AD90:AK90)</f>
        <v/>
      </c>
      <c r="E90" s="822">
        <f>SUM(AL90:AT90)</f>
        <v/>
      </c>
      <c r="F90" s="822">
        <f>SUM(AU90:AW90)</f>
        <v/>
      </c>
      <c r="G90" s="822">
        <f>SUM(AX90:BB90)</f>
        <v/>
      </c>
      <c r="H90" s="822">
        <f>SUM(BC90:BD90)</f>
        <v/>
      </c>
      <c r="I90" s="822">
        <f>SUM(V90:Y90)</f>
        <v/>
      </c>
      <c r="J90" s="823">
        <f>SUM(C90:I90)</f>
        <v/>
      </c>
      <c r="K90" s="824" t="n"/>
      <c r="L90" s="825" t="n"/>
      <c r="M90" s="826" t="n"/>
      <c r="N90" s="827" t="n"/>
      <c r="O90" s="828" t="n"/>
      <c r="P90" s="827" t="n"/>
      <c r="Q90" s="827" t="n"/>
      <c r="R90" s="829">
        <f>R89+SUM(N90:Q90)-SUM(J90:M90)</f>
        <v/>
      </c>
      <c r="S90" s="830" t="n"/>
      <c r="T90" s="831" t="n"/>
      <c r="U90" s="832" t="n"/>
      <c r="V90" s="833" t="n"/>
      <c r="W90" s="821" t="n"/>
      <c r="X90" s="821" t="n"/>
      <c r="Y90" s="821" t="n"/>
      <c r="Z90" s="821" t="n"/>
      <c r="AA90" s="834" t="n"/>
      <c r="AB90" s="835" t="n"/>
      <c r="AC90" s="836" t="n"/>
      <c r="AD90" s="837" t="n"/>
      <c r="AE90" s="838" t="n"/>
      <c r="AF90" s="839" t="n"/>
      <c r="AG90" s="839" t="n"/>
      <c r="AH90" s="839" t="n"/>
      <c r="AI90" s="839" t="n"/>
      <c r="AJ90" s="839" t="n"/>
      <c r="AK90" s="840" t="n"/>
      <c r="AL90" s="841" t="n"/>
      <c r="AM90" s="839" t="n"/>
      <c r="AN90" s="839" t="n"/>
      <c r="AO90" s="839" t="n"/>
      <c r="AP90" s="839" t="n"/>
      <c r="AQ90" s="839" t="n"/>
      <c r="AR90" s="839" t="n"/>
      <c r="AS90" s="839" t="n"/>
      <c r="AT90" s="842" t="n"/>
      <c r="AU90" s="838" t="n"/>
      <c r="AV90" s="840" t="n"/>
      <c r="AW90" s="843" t="n"/>
      <c r="AX90" s="844" t="n"/>
      <c r="AY90" s="845" t="n"/>
      <c r="AZ90" s="845" t="n"/>
      <c r="BA90" s="845" t="n"/>
      <c r="BB90" s="846" t="n"/>
      <c r="BC90" s="847" t="n"/>
      <c r="BD90" s="846" t="n"/>
      <c r="BE90" s="847" t="n"/>
      <c r="BF90" s="836" t="n"/>
    </row>
    <row r="91">
      <c r="A91" s="819" t="n"/>
      <c r="B91" s="820" t="n"/>
      <c r="C91" s="821">
        <f>SUM(Z91:AC91)</f>
        <v/>
      </c>
      <c r="D91" s="821">
        <f>SUM(AD91:AK91)</f>
        <v/>
      </c>
      <c r="E91" s="822">
        <f>SUM(AL91:AT91)</f>
        <v/>
      </c>
      <c r="F91" s="822">
        <f>SUM(AU91:AW91)</f>
        <v/>
      </c>
      <c r="G91" s="822">
        <f>SUM(AX91:BB91)</f>
        <v/>
      </c>
      <c r="H91" s="822">
        <f>SUM(BC91:BD91)</f>
        <v/>
      </c>
      <c r="I91" s="822">
        <f>SUM(V91:Y91)</f>
        <v/>
      </c>
      <c r="J91" s="823">
        <f>SUM(C91:I91)</f>
        <v/>
      </c>
      <c r="K91" s="824" t="n"/>
      <c r="L91" s="825" t="n"/>
      <c r="M91" s="826" t="n"/>
      <c r="N91" s="827" t="n"/>
      <c r="O91" s="828" t="n"/>
      <c r="P91" s="827" t="n"/>
      <c r="Q91" s="827" t="n"/>
      <c r="R91" s="829">
        <f>R90+SUM(N91:Q91)-SUM(J91:M91)</f>
        <v/>
      </c>
      <c r="S91" s="830" t="n"/>
      <c r="T91" s="831" t="n"/>
      <c r="U91" s="832" t="n"/>
      <c r="V91" s="833" t="n"/>
      <c r="W91" s="821" t="n"/>
      <c r="X91" s="821" t="n"/>
      <c r="Y91" s="821" t="n"/>
      <c r="Z91" s="821" t="n"/>
      <c r="AA91" s="834" t="n"/>
      <c r="AB91" s="835" t="n"/>
      <c r="AC91" s="836" t="n"/>
      <c r="AD91" s="837" t="n"/>
      <c r="AE91" s="838" t="n"/>
      <c r="AF91" s="839" t="n"/>
      <c r="AG91" s="839" t="n"/>
      <c r="AH91" s="839" t="n"/>
      <c r="AI91" s="839" t="n"/>
      <c r="AJ91" s="839" t="n"/>
      <c r="AK91" s="840" t="n"/>
      <c r="AL91" s="841" t="n"/>
      <c r="AM91" s="839" t="n"/>
      <c r="AN91" s="839" t="n"/>
      <c r="AO91" s="839" t="n"/>
      <c r="AP91" s="839" t="n"/>
      <c r="AQ91" s="839" t="n"/>
      <c r="AR91" s="839" t="n"/>
      <c r="AS91" s="839" t="n"/>
      <c r="AT91" s="842" t="n"/>
      <c r="AU91" s="838" t="n"/>
      <c r="AV91" s="840" t="n"/>
      <c r="AW91" s="843" t="n"/>
      <c r="AX91" s="844" t="n"/>
      <c r="AY91" s="845" t="n"/>
      <c r="AZ91" s="845" t="n"/>
      <c r="BA91" s="845" t="n"/>
      <c r="BB91" s="846" t="n"/>
      <c r="BC91" s="847" t="n"/>
      <c r="BD91" s="846" t="n"/>
      <c r="BE91" s="847" t="n"/>
      <c r="BF91" s="836" t="n"/>
    </row>
    <row r="92">
      <c r="A92" s="819" t="n"/>
      <c r="B92" s="820" t="n"/>
      <c r="C92" s="821">
        <f>SUM(Z92:AC92)</f>
        <v/>
      </c>
      <c r="D92" s="821">
        <f>SUM(AD92:AK92)</f>
        <v/>
      </c>
      <c r="E92" s="822">
        <f>SUM(AL92:AT92)</f>
        <v/>
      </c>
      <c r="F92" s="822">
        <f>SUM(AU92:AW92)</f>
        <v/>
      </c>
      <c r="G92" s="822">
        <f>SUM(AX92:BB92)</f>
        <v/>
      </c>
      <c r="H92" s="822">
        <f>SUM(BC92:BD92)</f>
        <v/>
      </c>
      <c r="I92" s="822">
        <f>SUM(V92:Y92)</f>
        <v/>
      </c>
      <c r="J92" s="823">
        <f>SUM(C92:I92)</f>
        <v/>
      </c>
      <c r="K92" s="824" t="n"/>
      <c r="L92" s="825" t="n"/>
      <c r="M92" s="826" t="n"/>
      <c r="N92" s="827" t="n"/>
      <c r="O92" s="828" t="n"/>
      <c r="P92" s="827" t="n"/>
      <c r="Q92" s="827" t="n"/>
      <c r="R92" s="829">
        <f>R91+SUM(N92:Q92)-SUM(J92:M92)</f>
        <v/>
      </c>
      <c r="S92" s="830" t="n"/>
      <c r="T92" s="831" t="n"/>
      <c r="U92" s="832" t="n"/>
      <c r="V92" s="833" t="n"/>
      <c r="W92" s="821" t="n"/>
      <c r="X92" s="821" t="n"/>
      <c r="Y92" s="821" t="n"/>
      <c r="Z92" s="821" t="n"/>
      <c r="AA92" s="834" t="n"/>
      <c r="AB92" s="835" t="n"/>
      <c r="AC92" s="836" t="n"/>
      <c r="AD92" s="837" t="n"/>
      <c r="AE92" s="838" t="n"/>
      <c r="AF92" s="839" t="n"/>
      <c r="AG92" s="839" t="n"/>
      <c r="AH92" s="839" t="n"/>
      <c r="AI92" s="839" t="n"/>
      <c r="AJ92" s="839" t="n"/>
      <c r="AK92" s="840" t="n"/>
      <c r="AL92" s="841" t="n"/>
      <c r="AM92" s="839" t="n"/>
      <c r="AN92" s="839" t="n"/>
      <c r="AO92" s="839" t="n"/>
      <c r="AP92" s="839" t="n"/>
      <c r="AQ92" s="839" t="n"/>
      <c r="AR92" s="839" t="n"/>
      <c r="AS92" s="839" t="n"/>
      <c r="AT92" s="842" t="n"/>
      <c r="AU92" s="838" t="n"/>
      <c r="AV92" s="840" t="n"/>
      <c r="AW92" s="843" t="n"/>
      <c r="AX92" s="844" t="n"/>
      <c r="AY92" s="845" t="n"/>
      <c r="AZ92" s="845" t="n"/>
      <c r="BA92" s="845" t="n"/>
      <c r="BB92" s="846" t="n"/>
      <c r="BC92" s="847" t="n"/>
      <c r="BD92" s="846" t="n"/>
      <c r="BE92" s="847" t="n"/>
      <c r="BF92" s="836" t="n"/>
    </row>
    <row r="93">
      <c r="A93" s="819" t="n"/>
      <c r="B93" s="820" t="n"/>
      <c r="C93" s="821">
        <f>SUM(Z93:AC93)</f>
        <v/>
      </c>
      <c r="D93" s="821">
        <f>SUM(AD93:AK93)</f>
        <v/>
      </c>
      <c r="E93" s="822">
        <f>SUM(AL93:AT93)</f>
        <v/>
      </c>
      <c r="F93" s="822">
        <f>SUM(AU93:AW93)</f>
        <v/>
      </c>
      <c r="G93" s="822">
        <f>SUM(AX93:BB93)</f>
        <v/>
      </c>
      <c r="H93" s="822">
        <f>SUM(BC93:BD93)</f>
        <v/>
      </c>
      <c r="I93" s="822">
        <f>SUM(V93:Y93)</f>
        <v/>
      </c>
      <c r="J93" s="823">
        <f>SUM(C93:I93)</f>
        <v/>
      </c>
      <c r="K93" s="824" t="n"/>
      <c r="L93" s="825" t="n"/>
      <c r="M93" s="826" t="n"/>
      <c r="N93" s="827" t="n"/>
      <c r="O93" s="828" t="n"/>
      <c r="P93" s="827" t="n"/>
      <c r="Q93" s="827" t="n"/>
      <c r="R93" s="829">
        <f>R92+SUM(N93:Q93)-SUM(J93:M93)</f>
        <v/>
      </c>
      <c r="S93" s="830" t="n"/>
      <c r="T93" s="831" t="n"/>
      <c r="U93" s="832" t="n"/>
      <c r="V93" s="833" t="n"/>
      <c r="W93" s="821" t="n"/>
      <c r="X93" s="821" t="n"/>
      <c r="Y93" s="821" t="n"/>
      <c r="Z93" s="821" t="n"/>
      <c r="AA93" s="834" t="n"/>
      <c r="AB93" s="835" t="n"/>
      <c r="AC93" s="836" t="n"/>
      <c r="AD93" s="837" t="n"/>
      <c r="AE93" s="838" t="n"/>
      <c r="AF93" s="839" t="n"/>
      <c r="AG93" s="839" t="n"/>
      <c r="AH93" s="839" t="n"/>
      <c r="AI93" s="839" t="n"/>
      <c r="AJ93" s="839" t="n"/>
      <c r="AK93" s="840" t="n"/>
      <c r="AL93" s="841" t="n"/>
      <c r="AM93" s="839" t="n"/>
      <c r="AN93" s="839" t="n"/>
      <c r="AO93" s="839" t="n"/>
      <c r="AP93" s="839" t="n"/>
      <c r="AQ93" s="839" t="n"/>
      <c r="AR93" s="839" t="n"/>
      <c r="AS93" s="839" t="n"/>
      <c r="AT93" s="842" t="n"/>
      <c r="AU93" s="838" t="n"/>
      <c r="AV93" s="840" t="n"/>
      <c r="AW93" s="843" t="n"/>
      <c r="AX93" s="844" t="n"/>
      <c r="AY93" s="845" t="n"/>
      <c r="AZ93" s="845" t="n"/>
      <c r="BA93" s="845" t="n"/>
      <c r="BB93" s="846" t="n"/>
      <c r="BC93" s="847" t="n"/>
      <c r="BD93" s="846" t="n"/>
      <c r="BE93" s="847" t="n"/>
      <c r="BF93" s="836" t="n"/>
    </row>
    <row r="94">
      <c r="A94" s="819" t="n"/>
      <c r="B94" s="820" t="n"/>
      <c r="C94" s="821">
        <f>SUM(Z94:AC94)</f>
        <v/>
      </c>
      <c r="D94" s="821">
        <f>SUM(AD94:AK94)</f>
        <v/>
      </c>
      <c r="E94" s="822">
        <f>SUM(AL94:AT94)</f>
        <v/>
      </c>
      <c r="F94" s="822">
        <f>SUM(AU94:AW94)</f>
        <v/>
      </c>
      <c r="G94" s="822">
        <f>SUM(AX94:BB94)</f>
        <v/>
      </c>
      <c r="H94" s="822">
        <f>SUM(BC94:BD94)</f>
        <v/>
      </c>
      <c r="I94" s="822">
        <f>SUM(V94:Y94)</f>
        <v/>
      </c>
      <c r="J94" s="823">
        <f>SUM(C94:I94)</f>
        <v/>
      </c>
      <c r="K94" s="824" t="n"/>
      <c r="L94" s="825" t="n"/>
      <c r="M94" s="826" t="n"/>
      <c r="N94" s="827" t="n"/>
      <c r="O94" s="828" t="n"/>
      <c r="P94" s="827" t="n"/>
      <c r="Q94" s="827" t="n"/>
      <c r="R94" s="829">
        <f>R93+SUM(N94:Q94)-SUM(J94:M94)</f>
        <v/>
      </c>
      <c r="S94" s="830" t="n"/>
      <c r="T94" s="831" t="n"/>
      <c r="U94" s="832" t="n"/>
      <c r="V94" s="833" t="n"/>
      <c r="W94" s="821" t="n"/>
      <c r="X94" s="821" t="n"/>
      <c r="Y94" s="821" t="n"/>
      <c r="Z94" s="821" t="n"/>
      <c r="AA94" s="834" t="n"/>
      <c r="AB94" s="835" t="n"/>
      <c r="AC94" s="836" t="n"/>
      <c r="AD94" s="837" t="n"/>
      <c r="AE94" s="838" t="n"/>
      <c r="AF94" s="839" t="n"/>
      <c r="AG94" s="839" t="n"/>
      <c r="AH94" s="839" t="n"/>
      <c r="AI94" s="839" t="n"/>
      <c r="AJ94" s="839" t="n"/>
      <c r="AK94" s="840" t="n"/>
      <c r="AL94" s="841" t="n"/>
      <c r="AM94" s="839" t="n"/>
      <c r="AN94" s="839" t="n"/>
      <c r="AO94" s="839" t="n"/>
      <c r="AP94" s="839" t="n"/>
      <c r="AQ94" s="839" t="n"/>
      <c r="AR94" s="839" t="n"/>
      <c r="AS94" s="839" t="n"/>
      <c r="AT94" s="842" t="n"/>
      <c r="AU94" s="838" t="n"/>
      <c r="AV94" s="840" t="n"/>
      <c r="AW94" s="843" t="n"/>
      <c r="AX94" s="844" t="n"/>
      <c r="AY94" s="845" t="n"/>
      <c r="AZ94" s="845" t="n"/>
      <c r="BA94" s="845" t="n"/>
      <c r="BB94" s="846" t="n"/>
      <c r="BC94" s="847" t="n"/>
      <c r="BD94" s="846" t="n"/>
      <c r="BE94" s="847" t="n"/>
      <c r="BF94" s="836" t="n"/>
    </row>
    <row r="95">
      <c r="A95" s="819" t="n"/>
      <c r="B95" s="820" t="n"/>
      <c r="C95" s="821">
        <f>SUM(Z95:AC95)</f>
        <v/>
      </c>
      <c r="D95" s="821">
        <f>SUM(AD95:AK95)</f>
        <v/>
      </c>
      <c r="E95" s="822">
        <f>SUM(AL95:AT95)</f>
        <v/>
      </c>
      <c r="F95" s="822">
        <f>SUM(AU95:AW95)</f>
        <v/>
      </c>
      <c r="G95" s="822">
        <f>SUM(AX95:BB95)</f>
        <v/>
      </c>
      <c r="H95" s="822">
        <f>SUM(BC95:BD95)</f>
        <v/>
      </c>
      <c r="I95" s="822">
        <f>SUM(V95:Y95)</f>
        <v/>
      </c>
      <c r="J95" s="823">
        <f>SUM(C95:I95)</f>
        <v/>
      </c>
      <c r="K95" s="824" t="n"/>
      <c r="L95" s="825" t="n"/>
      <c r="M95" s="826" t="n"/>
      <c r="N95" s="827" t="n"/>
      <c r="O95" s="828" t="n"/>
      <c r="P95" s="827" t="n"/>
      <c r="Q95" s="827" t="n"/>
      <c r="R95" s="829">
        <f>R94+SUM(N95:Q95)-SUM(J95:M95)</f>
        <v/>
      </c>
      <c r="S95" s="830" t="n"/>
      <c r="T95" s="831" t="n"/>
      <c r="U95" s="832" t="n"/>
      <c r="V95" s="833" t="n"/>
      <c r="W95" s="821" t="n"/>
      <c r="X95" s="821" t="n"/>
      <c r="Y95" s="821" t="n"/>
      <c r="Z95" s="821" t="n"/>
      <c r="AA95" s="834" t="n"/>
      <c r="AB95" s="835" t="n"/>
      <c r="AC95" s="836" t="n"/>
      <c r="AD95" s="837" t="n"/>
      <c r="AE95" s="838" t="n"/>
      <c r="AF95" s="839" t="n"/>
      <c r="AG95" s="839" t="n"/>
      <c r="AH95" s="839" t="n"/>
      <c r="AI95" s="839" t="n"/>
      <c r="AJ95" s="839" t="n"/>
      <c r="AK95" s="840" t="n"/>
      <c r="AL95" s="841" t="n"/>
      <c r="AM95" s="839" t="n"/>
      <c r="AN95" s="839" t="n"/>
      <c r="AO95" s="839" t="n"/>
      <c r="AP95" s="839" t="n"/>
      <c r="AQ95" s="839" t="n"/>
      <c r="AR95" s="839" t="n"/>
      <c r="AS95" s="839" t="n"/>
      <c r="AT95" s="842" t="n"/>
      <c r="AU95" s="838" t="n"/>
      <c r="AV95" s="840" t="n"/>
      <c r="AW95" s="843" t="n"/>
      <c r="AX95" s="844" t="n"/>
      <c r="AY95" s="845" t="n"/>
      <c r="AZ95" s="845" t="n"/>
      <c r="BA95" s="845" t="n"/>
      <c r="BB95" s="846" t="n"/>
      <c r="BC95" s="847" t="n"/>
      <c r="BD95" s="846" t="n"/>
      <c r="BE95" s="847" t="n"/>
      <c r="BF95" s="836" t="n"/>
    </row>
    <row r="96">
      <c r="A96" s="819" t="n"/>
      <c r="B96" s="820" t="n"/>
      <c r="C96" s="821">
        <f>SUM(Z96:AC96)</f>
        <v/>
      </c>
      <c r="D96" s="821">
        <f>SUM(AD96:AK96)</f>
        <v/>
      </c>
      <c r="E96" s="822">
        <f>SUM(AL96:AT96)</f>
        <v/>
      </c>
      <c r="F96" s="822">
        <f>SUM(AU96:AW96)</f>
        <v/>
      </c>
      <c r="G96" s="822">
        <f>SUM(AX96:BB96)</f>
        <v/>
      </c>
      <c r="H96" s="822">
        <f>SUM(BC96:BD96)</f>
        <v/>
      </c>
      <c r="I96" s="822">
        <f>SUM(V96:Y96)</f>
        <v/>
      </c>
      <c r="J96" s="823">
        <f>SUM(C96:I96)</f>
        <v/>
      </c>
      <c r="K96" s="824" t="n"/>
      <c r="L96" s="825" t="n"/>
      <c r="M96" s="826" t="n"/>
      <c r="N96" s="827" t="n"/>
      <c r="O96" s="828" t="n"/>
      <c r="P96" s="827" t="n"/>
      <c r="Q96" s="827" t="n"/>
      <c r="R96" s="829">
        <f>R95+SUM(N96:Q96)-SUM(J96:M96)</f>
        <v/>
      </c>
      <c r="S96" s="830" t="n"/>
      <c r="T96" s="831" t="n"/>
      <c r="U96" s="832" t="n"/>
      <c r="V96" s="833" t="n"/>
      <c r="W96" s="821" t="n"/>
      <c r="X96" s="821" t="n"/>
      <c r="Y96" s="821" t="n"/>
      <c r="Z96" s="821" t="n"/>
      <c r="AA96" s="834" t="n"/>
      <c r="AB96" s="835" t="n"/>
      <c r="AC96" s="836" t="n"/>
      <c r="AD96" s="837" t="n"/>
      <c r="AE96" s="838" t="n"/>
      <c r="AF96" s="839" t="n"/>
      <c r="AG96" s="839" t="n"/>
      <c r="AH96" s="839" t="n"/>
      <c r="AI96" s="839" t="n"/>
      <c r="AJ96" s="839" t="n"/>
      <c r="AK96" s="840" t="n"/>
      <c r="AL96" s="841" t="n"/>
      <c r="AM96" s="839" t="n"/>
      <c r="AN96" s="839" t="n"/>
      <c r="AO96" s="839" t="n"/>
      <c r="AP96" s="839" t="n"/>
      <c r="AQ96" s="839" t="n"/>
      <c r="AR96" s="839" t="n"/>
      <c r="AS96" s="839" t="n"/>
      <c r="AT96" s="842" t="n"/>
      <c r="AU96" s="838" t="n"/>
      <c r="AV96" s="840" t="n"/>
      <c r="AW96" s="843" t="n"/>
      <c r="AX96" s="844" t="n"/>
      <c r="AY96" s="845" t="n"/>
      <c r="AZ96" s="845" t="n"/>
      <c r="BA96" s="845" t="n"/>
      <c r="BB96" s="846" t="n"/>
      <c r="BC96" s="847" t="n"/>
      <c r="BD96" s="846" t="n"/>
      <c r="BE96" s="847" t="n"/>
      <c r="BF96" s="836" t="n"/>
    </row>
    <row r="97">
      <c r="A97" s="819" t="n"/>
      <c r="B97" s="820" t="n"/>
      <c r="C97" s="821">
        <f>SUM(Z97:AC97)</f>
        <v/>
      </c>
      <c r="D97" s="821">
        <f>SUM(AD97:AK97)</f>
        <v/>
      </c>
      <c r="E97" s="822">
        <f>SUM(AL97:AT97)</f>
        <v/>
      </c>
      <c r="F97" s="822">
        <f>SUM(AU97:AW97)</f>
        <v/>
      </c>
      <c r="G97" s="822">
        <f>SUM(AX97:BB97)</f>
        <v/>
      </c>
      <c r="H97" s="822">
        <f>SUM(BC97:BD97)</f>
        <v/>
      </c>
      <c r="I97" s="822">
        <f>SUM(V97:Y97)</f>
        <v/>
      </c>
      <c r="J97" s="823">
        <f>SUM(C97:I97)</f>
        <v/>
      </c>
      <c r="K97" s="824" t="n"/>
      <c r="L97" s="825" t="n"/>
      <c r="M97" s="826" t="n"/>
      <c r="N97" s="827" t="n"/>
      <c r="O97" s="828" t="n"/>
      <c r="P97" s="827" t="n"/>
      <c r="Q97" s="827" t="n"/>
      <c r="R97" s="829">
        <f>R96+SUM(N97:Q97)-SUM(J97:M97)</f>
        <v/>
      </c>
      <c r="S97" s="830" t="n"/>
      <c r="T97" s="831" t="n"/>
      <c r="U97" s="832" t="n"/>
      <c r="V97" s="833" t="n"/>
      <c r="W97" s="821" t="n"/>
      <c r="X97" s="821" t="n"/>
      <c r="Y97" s="821" t="n"/>
      <c r="Z97" s="821" t="n"/>
      <c r="AA97" s="834" t="n"/>
      <c r="AB97" s="835" t="n"/>
      <c r="AC97" s="836" t="n"/>
      <c r="AD97" s="837" t="n"/>
      <c r="AE97" s="838" t="n"/>
      <c r="AF97" s="839" t="n"/>
      <c r="AG97" s="839" t="n"/>
      <c r="AH97" s="839" t="n"/>
      <c r="AI97" s="839" t="n"/>
      <c r="AJ97" s="839" t="n"/>
      <c r="AK97" s="840" t="n"/>
      <c r="AL97" s="841" t="n"/>
      <c r="AM97" s="839" t="n"/>
      <c r="AN97" s="839" t="n"/>
      <c r="AO97" s="839" t="n"/>
      <c r="AP97" s="839" t="n"/>
      <c r="AQ97" s="839" t="n"/>
      <c r="AR97" s="839" t="n"/>
      <c r="AS97" s="839" t="n"/>
      <c r="AT97" s="842" t="n"/>
      <c r="AU97" s="838" t="n"/>
      <c r="AV97" s="840" t="n"/>
      <c r="AW97" s="843" t="n"/>
      <c r="AX97" s="844" t="n"/>
      <c r="AY97" s="845" t="n"/>
      <c r="AZ97" s="845" t="n"/>
      <c r="BA97" s="845" t="n"/>
      <c r="BB97" s="846" t="n"/>
      <c r="BC97" s="847" t="n"/>
      <c r="BD97" s="846" t="n"/>
      <c r="BE97" s="847" t="n"/>
      <c r="BF97" s="836" t="n"/>
    </row>
    <row r="98">
      <c r="A98" s="819" t="n"/>
      <c r="B98" s="820" t="n"/>
      <c r="C98" s="821">
        <f>SUM(Z98:AC98)</f>
        <v/>
      </c>
      <c r="D98" s="821">
        <f>SUM(AD98:AK98)</f>
        <v/>
      </c>
      <c r="E98" s="822">
        <f>SUM(AL98:AT98)</f>
        <v/>
      </c>
      <c r="F98" s="822">
        <f>SUM(AU98:AW98)</f>
        <v/>
      </c>
      <c r="G98" s="822">
        <f>SUM(AX98:BB98)</f>
        <v/>
      </c>
      <c r="H98" s="822">
        <f>SUM(BC98:BD98)</f>
        <v/>
      </c>
      <c r="I98" s="822">
        <f>SUM(V98:Y98)</f>
        <v/>
      </c>
      <c r="J98" s="823">
        <f>SUM(C98:I98)</f>
        <v/>
      </c>
      <c r="K98" s="824" t="n"/>
      <c r="L98" s="825" t="n"/>
      <c r="M98" s="826" t="n"/>
      <c r="N98" s="827" t="n"/>
      <c r="O98" s="828" t="n"/>
      <c r="P98" s="827" t="n"/>
      <c r="Q98" s="827" t="n"/>
      <c r="R98" s="829">
        <f>R97+SUM(N98:Q98)-SUM(J98:M98)</f>
        <v/>
      </c>
      <c r="S98" s="830" t="n"/>
      <c r="T98" s="831" t="n"/>
      <c r="U98" s="832" t="n"/>
      <c r="V98" s="833" t="n"/>
      <c r="W98" s="821" t="n"/>
      <c r="X98" s="821" t="n"/>
      <c r="Y98" s="821" t="n"/>
      <c r="Z98" s="821" t="n"/>
      <c r="AA98" s="834" t="n"/>
      <c r="AB98" s="835" t="n"/>
      <c r="AC98" s="836" t="n"/>
      <c r="AD98" s="837" t="n"/>
      <c r="AE98" s="838" t="n"/>
      <c r="AF98" s="839" t="n"/>
      <c r="AG98" s="839" t="n"/>
      <c r="AH98" s="839" t="n"/>
      <c r="AI98" s="839" t="n"/>
      <c r="AJ98" s="839" t="n"/>
      <c r="AK98" s="840" t="n"/>
      <c r="AL98" s="841" t="n"/>
      <c r="AM98" s="839" t="n"/>
      <c r="AN98" s="839" t="n"/>
      <c r="AO98" s="839" t="n"/>
      <c r="AP98" s="839" t="n"/>
      <c r="AQ98" s="839" t="n"/>
      <c r="AR98" s="839" t="n"/>
      <c r="AS98" s="839" t="n"/>
      <c r="AT98" s="842" t="n"/>
      <c r="AU98" s="838" t="n"/>
      <c r="AV98" s="840" t="n"/>
      <c r="AW98" s="843" t="n"/>
      <c r="AX98" s="844" t="n"/>
      <c r="AY98" s="845" t="n"/>
      <c r="AZ98" s="845" t="n"/>
      <c r="BA98" s="845" t="n"/>
      <c r="BB98" s="846" t="n"/>
      <c r="BC98" s="847" t="n"/>
      <c r="BD98" s="846" t="n"/>
      <c r="BE98" s="847" t="n"/>
      <c r="BF98" s="836" t="n"/>
    </row>
    <row r="99">
      <c r="A99" s="819" t="n"/>
      <c r="B99" s="820" t="n"/>
      <c r="C99" s="821">
        <f>SUM(Z99:AC99)</f>
        <v/>
      </c>
      <c r="D99" s="821">
        <f>SUM(AD99:AK99)</f>
        <v/>
      </c>
      <c r="E99" s="822">
        <f>SUM(AL99:AT99)</f>
        <v/>
      </c>
      <c r="F99" s="822">
        <f>SUM(AU99:AW99)</f>
        <v/>
      </c>
      <c r="G99" s="822">
        <f>SUM(AX99:BB99)</f>
        <v/>
      </c>
      <c r="H99" s="822">
        <f>SUM(BC99:BD99)</f>
        <v/>
      </c>
      <c r="I99" s="822">
        <f>SUM(V99:Y99)</f>
        <v/>
      </c>
      <c r="J99" s="823">
        <f>SUM(C99:I99)</f>
        <v/>
      </c>
      <c r="K99" s="824" t="n"/>
      <c r="L99" s="825" t="n"/>
      <c r="M99" s="826" t="n"/>
      <c r="N99" s="827" t="n"/>
      <c r="O99" s="828" t="n"/>
      <c r="P99" s="827" t="n"/>
      <c r="Q99" s="827" t="n"/>
      <c r="R99" s="829">
        <f>R98+SUM(N99:Q99)-SUM(J99:M99)</f>
        <v/>
      </c>
      <c r="S99" s="830" t="n"/>
      <c r="T99" s="831" t="n"/>
      <c r="U99" s="832" t="n"/>
      <c r="V99" s="833" t="n"/>
      <c r="W99" s="821" t="n"/>
      <c r="X99" s="821" t="n"/>
      <c r="Y99" s="821" t="n"/>
      <c r="Z99" s="821" t="n"/>
      <c r="AA99" s="834" t="n"/>
      <c r="AB99" s="835" t="n"/>
      <c r="AC99" s="836" t="n"/>
      <c r="AD99" s="837" t="n"/>
      <c r="AE99" s="838" t="n"/>
      <c r="AF99" s="839" t="n"/>
      <c r="AG99" s="839" t="n"/>
      <c r="AH99" s="839" t="n"/>
      <c r="AI99" s="839" t="n"/>
      <c r="AJ99" s="839" t="n"/>
      <c r="AK99" s="840" t="n"/>
      <c r="AL99" s="841" t="n"/>
      <c r="AM99" s="839" t="n"/>
      <c r="AN99" s="839" t="n"/>
      <c r="AO99" s="839" t="n"/>
      <c r="AP99" s="839" t="n"/>
      <c r="AQ99" s="839" t="n"/>
      <c r="AR99" s="839" t="n"/>
      <c r="AS99" s="839" t="n"/>
      <c r="AT99" s="842" t="n"/>
      <c r="AU99" s="838" t="n"/>
      <c r="AV99" s="840" t="n"/>
      <c r="AW99" s="843" t="n"/>
      <c r="AX99" s="844" t="n"/>
      <c r="AY99" s="845" t="n"/>
      <c r="AZ99" s="845" t="n"/>
      <c r="BA99" s="845" t="n"/>
      <c r="BB99" s="846" t="n"/>
      <c r="BC99" s="847" t="n"/>
      <c r="BD99" s="846" t="n"/>
      <c r="BE99" s="847" t="n"/>
      <c r="BF99" s="836" t="n"/>
    </row>
    <row r="100">
      <c r="A100" s="819" t="n"/>
      <c r="B100" s="820" t="n"/>
      <c r="C100" s="821">
        <f>SUM(Z100:AC100)</f>
        <v/>
      </c>
      <c r="D100" s="821">
        <f>SUM(AD100:AK100)</f>
        <v/>
      </c>
      <c r="E100" s="822">
        <f>SUM(AL100:AT100)</f>
        <v/>
      </c>
      <c r="F100" s="822">
        <f>SUM(AU100:AW100)</f>
        <v/>
      </c>
      <c r="G100" s="822">
        <f>SUM(AX100:BB100)</f>
        <v/>
      </c>
      <c r="H100" s="822">
        <f>SUM(BC100:BD100)</f>
        <v/>
      </c>
      <c r="I100" s="822">
        <f>SUM(V100:Y100)</f>
        <v/>
      </c>
      <c r="J100" s="823">
        <f>SUM(C100:I100)</f>
        <v/>
      </c>
      <c r="K100" s="824" t="n"/>
      <c r="L100" s="825" t="n"/>
      <c r="M100" s="826" t="n"/>
      <c r="N100" s="827" t="n"/>
      <c r="O100" s="828" t="n"/>
      <c r="P100" s="827" t="n"/>
      <c r="Q100" s="827" t="n"/>
      <c r="R100" s="829">
        <f>R99+SUM(N100:Q100)-SUM(J100:M100)</f>
        <v/>
      </c>
      <c r="S100" s="830" t="n"/>
      <c r="T100" s="831" t="n"/>
      <c r="U100" s="832" t="n"/>
      <c r="V100" s="833" t="n"/>
      <c r="W100" s="821" t="n"/>
      <c r="X100" s="821" t="n"/>
      <c r="Y100" s="821" t="n"/>
      <c r="Z100" s="821" t="n"/>
      <c r="AA100" s="834" t="n"/>
      <c r="AB100" s="835" t="n"/>
      <c r="AC100" s="836" t="n"/>
      <c r="AD100" s="837" t="n"/>
      <c r="AE100" s="838" t="n"/>
      <c r="AF100" s="839" t="n"/>
      <c r="AG100" s="839" t="n"/>
      <c r="AH100" s="839" t="n"/>
      <c r="AI100" s="839" t="n"/>
      <c r="AJ100" s="839" t="n"/>
      <c r="AK100" s="840" t="n"/>
      <c r="AL100" s="841" t="n"/>
      <c r="AM100" s="839" t="n"/>
      <c r="AN100" s="839" t="n"/>
      <c r="AO100" s="839" t="n"/>
      <c r="AP100" s="839" t="n"/>
      <c r="AQ100" s="839" t="n"/>
      <c r="AR100" s="839" t="n"/>
      <c r="AS100" s="839" t="n"/>
      <c r="AT100" s="842" t="n"/>
      <c r="AU100" s="838" t="n"/>
      <c r="AV100" s="840" t="n"/>
      <c r="AW100" s="843" t="n"/>
      <c r="AX100" s="844" t="n"/>
      <c r="AY100" s="845" t="n"/>
      <c r="AZ100" s="845" t="n"/>
      <c r="BA100" s="845" t="n"/>
      <c r="BB100" s="846" t="n"/>
      <c r="BC100" s="847" t="n"/>
      <c r="BD100" s="846" t="n"/>
      <c r="BE100" s="847" t="n"/>
      <c r="BF100" s="836" t="n"/>
    </row>
    <row r="101">
      <c r="A101" s="819" t="n"/>
      <c r="B101" s="820" t="n"/>
      <c r="C101" s="821">
        <f>SUM(Z101:AC101)</f>
        <v/>
      </c>
      <c r="D101" s="821">
        <f>SUM(AD101:AK101)</f>
        <v/>
      </c>
      <c r="E101" s="822">
        <f>SUM(AL101:AT101)</f>
        <v/>
      </c>
      <c r="F101" s="822">
        <f>SUM(AU101:AW101)</f>
        <v/>
      </c>
      <c r="G101" s="822">
        <f>SUM(AX101:BB101)</f>
        <v/>
      </c>
      <c r="H101" s="822">
        <f>SUM(BC101:BD101)</f>
        <v/>
      </c>
      <c r="I101" s="822">
        <f>SUM(V101:Y101)</f>
        <v/>
      </c>
      <c r="J101" s="823">
        <f>SUM(C101:I101)</f>
        <v/>
      </c>
      <c r="K101" s="824" t="n"/>
      <c r="L101" s="825" t="n"/>
      <c r="M101" s="826" t="n"/>
      <c r="N101" s="827" t="n"/>
      <c r="O101" s="828" t="n"/>
      <c r="P101" s="827" t="n"/>
      <c r="Q101" s="827" t="n"/>
      <c r="R101" s="829">
        <f>R100+SUM(N101:Q101)-SUM(J101:M101)</f>
        <v/>
      </c>
      <c r="S101" s="830" t="n"/>
      <c r="T101" s="831" t="n"/>
      <c r="U101" s="832" t="n"/>
      <c r="V101" s="833" t="n"/>
      <c r="W101" s="821" t="n"/>
      <c r="X101" s="821" t="n"/>
      <c r="Y101" s="821" t="n"/>
      <c r="Z101" s="821" t="n"/>
      <c r="AA101" s="834" t="n"/>
      <c r="AB101" s="835" t="n"/>
      <c r="AC101" s="836" t="n"/>
      <c r="AD101" s="837" t="n"/>
      <c r="AE101" s="838" t="n"/>
      <c r="AF101" s="839" t="n"/>
      <c r="AG101" s="839" t="n"/>
      <c r="AH101" s="839" t="n"/>
      <c r="AI101" s="839" t="n"/>
      <c r="AJ101" s="839" t="n"/>
      <c r="AK101" s="840" t="n"/>
      <c r="AL101" s="841" t="n"/>
      <c r="AM101" s="839" t="n"/>
      <c r="AN101" s="839" t="n"/>
      <c r="AO101" s="839" t="n"/>
      <c r="AP101" s="839" t="n"/>
      <c r="AQ101" s="839" t="n"/>
      <c r="AR101" s="839" t="n"/>
      <c r="AS101" s="839" t="n"/>
      <c r="AT101" s="842" t="n"/>
      <c r="AU101" s="838" t="n"/>
      <c r="AV101" s="840" t="n"/>
      <c r="AW101" s="843" t="n"/>
      <c r="AX101" s="844" t="n"/>
      <c r="AY101" s="845" t="n"/>
      <c r="AZ101" s="845" t="n"/>
      <c r="BA101" s="845" t="n"/>
      <c r="BB101" s="846" t="n"/>
      <c r="BC101" s="847" t="n"/>
      <c r="BD101" s="846" t="n"/>
      <c r="BE101" s="847" t="n"/>
      <c r="BF101" s="836" t="n"/>
    </row>
    <row r="102">
      <c r="A102" s="819" t="n"/>
      <c r="B102" s="820" t="n"/>
      <c r="C102" s="821">
        <f>SUM(Z102:AC102)</f>
        <v/>
      </c>
      <c r="D102" s="821">
        <f>SUM(AD102:AK102)</f>
        <v/>
      </c>
      <c r="E102" s="822">
        <f>SUM(AL102:AT102)</f>
        <v/>
      </c>
      <c r="F102" s="822">
        <f>SUM(AU102:AW102)</f>
        <v/>
      </c>
      <c r="G102" s="822">
        <f>SUM(AX102:BB102)</f>
        <v/>
      </c>
      <c r="H102" s="822">
        <f>SUM(BC102:BD102)</f>
        <v/>
      </c>
      <c r="I102" s="822">
        <f>SUM(V102:Y102)</f>
        <v/>
      </c>
      <c r="J102" s="823">
        <f>SUM(C102:I102)</f>
        <v/>
      </c>
      <c r="K102" s="824" t="n"/>
      <c r="L102" s="825" t="n"/>
      <c r="M102" s="826" t="n"/>
      <c r="N102" s="827" t="n"/>
      <c r="O102" s="828" t="n"/>
      <c r="P102" s="827" t="n"/>
      <c r="Q102" s="827" t="n"/>
      <c r="R102" s="829">
        <f>R101+SUM(N102:Q102)-SUM(J102:M102)</f>
        <v/>
      </c>
      <c r="S102" s="830" t="n"/>
      <c r="T102" s="831" t="n"/>
      <c r="U102" s="832" t="n"/>
      <c r="V102" s="833" t="n"/>
      <c r="W102" s="821" t="n"/>
      <c r="X102" s="821" t="n"/>
      <c r="Y102" s="821" t="n"/>
      <c r="Z102" s="821" t="n"/>
      <c r="AA102" s="834" t="n"/>
      <c r="AB102" s="835" t="n"/>
      <c r="AC102" s="836" t="n"/>
      <c r="AD102" s="837" t="n"/>
      <c r="AE102" s="838" t="n"/>
      <c r="AF102" s="839" t="n"/>
      <c r="AG102" s="839" t="n"/>
      <c r="AH102" s="839" t="n"/>
      <c r="AI102" s="839" t="n"/>
      <c r="AJ102" s="839" t="n"/>
      <c r="AK102" s="840" t="n"/>
      <c r="AL102" s="841" t="n"/>
      <c r="AM102" s="839" t="n"/>
      <c r="AN102" s="839" t="n"/>
      <c r="AO102" s="839" t="n"/>
      <c r="AP102" s="839" t="n"/>
      <c r="AQ102" s="839" t="n"/>
      <c r="AR102" s="839" t="n"/>
      <c r="AS102" s="839" t="n"/>
      <c r="AT102" s="842" t="n"/>
      <c r="AU102" s="838" t="n"/>
      <c r="AV102" s="840" t="n"/>
      <c r="AW102" s="843" t="n"/>
      <c r="AX102" s="844" t="n"/>
      <c r="AY102" s="845" t="n"/>
      <c r="AZ102" s="845" t="n"/>
      <c r="BA102" s="845" t="n"/>
      <c r="BB102" s="846" t="n"/>
      <c r="BC102" s="847" t="n"/>
      <c r="BD102" s="846" t="n"/>
      <c r="BE102" s="847" t="n"/>
      <c r="BF102" s="836" t="n"/>
    </row>
    <row r="103">
      <c r="A103" s="819" t="n"/>
      <c r="B103" s="820" t="n"/>
      <c r="C103" s="821">
        <f>SUM(Z103:AC103)</f>
        <v/>
      </c>
      <c r="D103" s="821">
        <f>SUM(AD103:AK103)</f>
        <v/>
      </c>
      <c r="E103" s="822">
        <f>SUM(AL103:AT103)</f>
        <v/>
      </c>
      <c r="F103" s="822">
        <f>SUM(AU103:AW103)</f>
        <v/>
      </c>
      <c r="G103" s="822">
        <f>SUM(AX103:BB103)</f>
        <v/>
      </c>
      <c r="H103" s="822">
        <f>SUM(BC103:BD103)</f>
        <v/>
      </c>
      <c r="I103" s="822">
        <f>SUM(V103:Y103)</f>
        <v/>
      </c>
      <c r="J103" s="823">
        <f>SUM(C103:I103)</f>
        <v/>
      </c>
      <c r="K103" s="824" t="n"/>
      <c r="L103" s="825" t="n"/>
      <c r="M103" s="826" t="n"/>
      <c r="N103" s="827" t="n"/>
      <c r="O103" s="828" t="n"/>
      <c r="P103" s="827" t="n"/>
      <c r="Q103" s="827" t="n"/>
      <c r="R103" s="829">
        <f>R102+SUM(N103:Q103)-SUM(J103:M103)</f>
        <v/>
      </c>
      <c r="S103" s="830" t="n"/>
      <c r="T103" s="831" t="n"/>
      <c r="U103" s="832" t="n"/>
      <c r="V103" s="833" t="n"/>
      <c r="W103" s="821" t="n"/>
      <c r="X103" s="821" t="n"/>
      <c r="Y103" s="821" t="n"/>
      <c r="Z103" s="821" t="n"/>
      <c r="AA103" s="834" t="n"/>
      <c r="AB103" s="835" t="n"/>
      <c r="AC103" s="836" t="n"/>
      <c r="AD103" s="837" t="n"/>
      <c r="AE103" s="838" t="n"/>
      <c r="AF103" s="839" t="n"/>
      <c r="AG103" s="839" t="n"/>
      <c r="AH103" s="839" t="n"/>
      <c r="AI103" s="839" t="n"/>
      <c r="AJ103" s="839" t="n"/>
      <c r="AK103" s="840" t="n"/>
      <c r="AL103" s="841" t="n"/>
      <c r="AM103" s="839" t="n"/>
      <c r="AN103" s="839" t="n"/>
      <c r="AO103" s="839" t="n"/>
      <c r="AP103" s="839" t="n"/>
      <c r="AQ103" s="839" t="n"/>
      <c r="AR103" s="839" t="n"/>
      <c r="AS103" s="839" t="n"/>
      <c r="AT103" s="842" t="n"/>
      <c r="AU103" s="838" t="n"/>
      <c r="AV103" s="840" t="n"/>
      <c r="AW103" s="843" t="n"/>
      <c r="AX103" s="844" t="n"/>
      <c r="AY103" s="845" t="n"/>
      <c r="AZ103" s="845" t="n"/>
      <c r="BA103" s="845" t="n"/>
      <c r="BB103" s="846" t="n"/>
      <c r="BC103" s="847" t="n"/>
      <c r="BD103" s="846" t="n"/>
      <c r="BE103" s="847" t="n"/>
      <c r="BF103" s="836" t="n"/>
    </row>
    <row r="104">
      <c r="A104" s="819" t="n"/>
      <c r="B104" s="820" t="n"/>
      <c r="C104" s="821">
        <f>SUM(Z104:AC104)</f>
        <v/>
      </c>
      <c r="D104" s="821">
        <f>SUM(AD104:AK104)</f>
        <v/>
      </c>
      <c r="E104" s="822">
        <f>SUM(AL104:AT104)</f>
        <v/>
      </c>
      <c r="F104" s="822">
        <f>SUM(AU104:AW104)</f>
        <v/>
      </c>
      <c r="G104" s="822">
        <f>SUM(AX104:BB104)</f>
        <v/>
      </c>
      <c r="H104" s="822">
        <f>SUM(BC104:BD104)</f>
        <v/>
      </c>
      <c r="I104" s="822">
        <f>SUM(V104:Y104)</f>
        <v/>
      </c>
      <c r="J104" s="823">
        <f>SUM(C104:I104)</f>
        <v/>
      </c>
      <c r="K104" s="824" t="n"/>
      <c r="L104" s="825" t="n"/>
      <c r="M104" s="826" t="n"/>
      <c r="N104" s="827" t="n"/>
      <c r="O104" s="828" t="n"/>
      <c r="P104" s="827" t="n"/>
      <c r="Q104" s="827" t="n"/>
      <c r="R104" s="829">
        <f>R103+SUM(N104:Q104)-SUM(J104:M104)</f>
        <v/>
      </c>
      <c r="S104" s="830" t="n"/>
      <c r="T104" s="831" t="n"/>
      <c r="U104" s="832" t="n"/>
      <c r="V104" s="833" t="n"/>
      <c r="W104" s="821" t="n"/>
      <c r="X104" s="821" t="n"/>
      <c r="Y104" s="821" t="n"/>
      <c r="Z104" s="821" t="n"/>
      <c r="AA104" s="834" t="n"/>
      <c r="AB104" s="835" t="n"/>
      <c r="AC104" s="836" t="n"/>
      <c r="AD104" s="837" t="n"/>
      <c r="AE104" s="838" t="n"/>
      <c r="AF104" s="839" t="n"/>
      <c r="AG104" s="839" t="n"/>
      <c r="AH104" s="839" t="n"/>
      <c r="AI104" s="839" t="n"/>
      <c r="AJ104" s="839" t="n"/>
      <c r="AK104" s="840" t="n"/>
      <c r="AL104" s="841" t="n"/>
      <c r="AM104" s="839" t="n"/>
      <c r="AN104" s="839" t="n"/>
      <c r="AO104" s="839" t="n"/>
      <c r="AP104" s="839" t="n"/>
      <c r="AQ104" s="839" t="n"/>
      <c r="AR104" s="839" t="n"/>
      <c r="AS104" s="839" t="n"/>
      <c r="AT104" s="842" t="n"/>
      <c r="AU104" s="838" t="n"/>
      <c r="AV104" s="840" t="n"/>
      <c r="AW104" s="843" t="n"/>
      <c r="AX104" s="844" t="n"/>
      <c r="AY104" s="845" t="n"/>
      <c r="AZ104" s="845" t="n"/>
      <c r="BA104" s="845" t="n"/>
      <c r="BB104" s="846" t="n"/>
      <c r="BC104" s="847" t="n"/>
      <c r="BD104" s="846" t="n"/>
      <c r="BE104" s="847" t="n"/>
      <c r="BF104" s="836" t="n"/>
    </row>
    <row r="105">
      <c r="A105" s="819" t="n"/>
      <c r="B105" s="820" t="n"/>
      <c r="C105" s="821">
        <f>SUM(Z105:AC105)</f>
        <v/>
      </c>
      <c r="D105" s="821">
        <f>SUM(AD105:AK105)</f>
        <v/>
      </c>
      <c r="E105" s="822">
        <f>SUM(AL105:AT105)</f>
        <v/>
      </c>
      <c r="F105" s="822">
        <f>SUM(AU105:AW105)</f>
        <v/>
      </c>
      <c r="G105" s="822">
        <f>SUM(AX105:BB105)</f>
        <v/>
      </c>
      <c r="H105" s="822">
        <f>SUM(BC105:BD105)</f>
        <v/>
      </c>
      <c r="I105" s="822">
        <f>SUM(V105:Y105)</f>
        <v/>
      </c>
      <c r="J105" s="823">
        <f>SUM(C105:I105)</f>
        <v/>
      </c>
      <c r="K105" s="824" t="n"/>
      <c r="L105" s="825" t="n"/>
      <c r="M105" s="826" t="n"/>
      <c r="N105" s="827" t="n"/>
      <c r="O105" s="828" t="n"/>
      <c r="P105" s="827" t="n"/>
      <c r="Q105" s="827" t="n"/>
      <c r="R105" s="829">
        <f>R104+SUM(N105:Q105)-SUM(J105:M105)</f>
        <v/>
      </c>
      <c r="S105" s="830" t="n"/>
      <c r="T105" s="831" t="n"/>
      <c r="U105" s="832" t="n"/>
      <c r="V105" s="833" t="n"/>
      <c r="W105" s="821" t="n"/>
      <c r="X105" s="821" t="n"/>
      <c r="Y105" s="821" t="n"/>
      <c r="Z105" s="821" t="n"/>
      <c r="AA105" s="834" t="n"/>
      <c r="AB105" s="835" t="n"/>
      <c r="AC105" s="836" t="n"/>
      <c r="AD105" s="837" t="n"/>
      <c r="AE105" s="838" t="n"/>
      <c r="AF105" s="839" t="n"/>
      <c r="AG105" s="839" t="n"/>
      <c r="AH105" s="839" t="n"/>
      <c r="AI105" s="839" t="n"/>
      <c r="AJ105" s="839" t="n"/>
      <c r="AK105" s="840" t="n"/>
      <c r="AL105" s="841" t="n"/>
      <c r="AM105" s="839" t="n"/>
      <c r="AN105" s="839" t="n"/>
      <c r="AO105" s="839" t="n"/>
      <c r="AP105" s="839" t="n"/>
      <c r="AQ105" s="839" t="n"/>
      <c r="AR105" s="839" t="n"/>
      <c r="AS105" s="839" t="n"/>
      <c r="AT105" s="842" t="n"/>
      <c r="AU105" s="838" t="n"/>
      <c r="AV105" s="840" t="n"/>
      <c r="AW105" s="843" t="n"/>
      <c r="AX105" s="844" t="n"/>
      <c r="AY105" s="845" t="n"/>
      <c r="AZ105" s="845" t="n"/>
      <c r="BA105" s="845" t="n"/>
      <c r="BB105" s="846" t="n"/>
      <c r="BC105" s="847" t="n"/>
      <c r="BD105" s="846" t="n"/>
      <c r="BE105" s="847" t="n"/>
      <c r="BF105" s="836" t="n"/>
    </row>
    <row r="106">
      <c r="A106" s="819" t="n"/>
      <c r="B106" s="820" t="n"/>
      <c r="C106" s="821">
        <f>SUM(Z106:AC106)</f>
        <v/>
      </c>
      <c r="D106" s="821">
        <f>SUM(AD106:AK106)</f>
        <v/>
      </c>
      <c r="E106" s="822">
        <f>SUM(AL106:AT106)</f>
        <v/>
      </c>
      <c r="F106" s="822">
        <f>SUM(AU106:AW106)</f>
        <v/>
      </c>
      <c r="G106" s="822">
        <f>SUM(AX106:BB106)</f>
        <v/>
      </c>
      <c r="H106" s="822">
        <f>SUM(BC106:BD106)</f>
        <v/>
      </c>
      <c r="I106" s="822">
        <f>SUM(V106:Y106)</f>
        <v/>
      </c>
      <c r="J106" s="823">
        <f>SUM(C106:I106)</f>
        <v/>
      </c>
      <c r="K106" s="824" t="n"/>
      <c r="L106" s="825" t="n"/>
      <c r="M106" s="826" t="n"/>
      <c r="N106" s="827" t="n"/>
      <c r="O106" s="828" t="n"/>
      <c r="P106" s="827" t="n"/>
      <c r="Q106" s="827" t="n"/>
      <c r="R106" s="829">
        <f>R105+SUM(N106:Q106)-SUM(J106:M106)</f>
        <v/>
      </c>
      <c r="S106" s="830" t="n"/>
      <c r="T106" s="831" t="n"/>
      <c r="U106" s="832" t="n"/>
      <c r="V106" s="833" t="n"/>
      <c r="W106" s="821" t="n"/>
      <c r="X106" s="821" t="n"/>
      <c r="Y106" s="821" t="n"/>
      <c r="Z106" s="821" t="n"/>
      <c r="AA106" s="834" t="n"/>
      <c r="AB106" s="835" t="n"/>
      <c r="AC106" s="836" t="n"/>
      <c r="AD106" s="837" t="n"/>
      <c r="AE106" s="838" t="n"/>
      <c r="AF106" s="839" t="n"/>
      <c r="AG106" s="839" t="n"/>
      <c r="AH106" s="839" t="n"/>
      <c r="AI106" s="839" t="n"/>
      <c r="AJ106" s="839" t="n"/>
      <c r="AK106" s="840" t="n"/>
      <c r="AL106" s="841" t="n"/>
      <c r="AM106" s="839" t="n"/>
      <c r="AN106" s="839" t="n"/>
      <c r="AO106" s="839" t="n"/>
      <c r="AP106" s="839" t="n"/>
      <c r="AQ106" s="839" t="n"/>
      <c r="AR106" s="839" t="n"/>
      <c r="AS106" s="839" t="n"/>
      <c r="AT106" s="842" t="n"/>
      <c r="AU106" s="838" t="n"/>
      <c r="AV106" s="840" t="n"/>
      <c r="AW106" s="843" t="n"/>
      <c r="AX106" s="844" t="n"/>
      <c r="AY106" s="845" t="n"/>
      <c r="AZ106" s="845" t="n"/>
      <c r="BA106" s="845" t="n"/>
      <c r="BB106" s="846" t="n"/>
      <c r="BC106" s="847" t="n"/>
      <c r="BD106" s="846" t="n"/>
      <c r="BE106" s="847" t="n"/>
      <c r="BF106" s="836" t="n"/>
    </row>
    <row r="107">
      <c r="A107" s="819" t="n"/>
      <c r="B107" s="820" t="n"/>
      <c r="C107" s="821">
        <f>SUM(Z107:AC107)</f>
        <v/>
      </c>
      <c r="D107" s="821">
        <f>SUM(AD107:AK107)</f>
        <v/>
      </c>
      <c r="E107" s="822">
        <f>SUM(AL107:AT107)</f>
        <v/>
      </c>
      <c r="F107" s="822">
        <f>SUM(AU107:AW107)</f>
        <v/>
      </c>
      <c r="G107" s="822">
        <f>SUM(AX107:BB107)</f>
        <v/>
      </c>
      <c r="H107" s="822">
        <f>SUM(BC107:BD107)</f>
        <v/>
      </c>
      <c r="I107" s="822">
        <f>SUM(V107:Y107)</f>
        <v/>
      </c>
      <c r="J107" s="823">
        <f>SUM(C107:I107)</f>
        <v/>
      </c>
      <c r="K107" s="824" t="n"/>
      <c r="L107" s="825" t="n"/>
      <c r="M107" s="826" t="n"/>
      <c r="N107" s="827" t="n"/>
      <c r="O107" s="828" t="n"/>
      <c r="P107" s="827" t="n"/>
      <c r="Q107" s="827" t="n"/>
      <c r="R107" s="829">
        <f>R106+SUM(N107:Q107)-SUM(J107:M107)</f>
        <v/>
      </c>
      <c r="S107" s="830" t="n"/>
      <c r="T107" s="831" t="n"/>
      <c r="U107" s="832" t="n"/>
      <c r="V107" s="833" t="n"/>
      <c r="W107" s="821" t="n"/>
      <c r="X107" s="821" t="n"/>
      <c r="Y107" s="821" t="n"/>
      <c r="Z107" s="821" t="n"/>
      <c r="AA107" s="834" t="n"/>
      <c r="AB107" s="835" t="n"/>
      <c r="AC107" s="836" t="n"/>
      <c r="AD107" s="837" t="n"/>
      <c r="AE107" s="838" t="n"/>
      <c r="AF107" s="839" t="n"/>
      <c r="AG107" s="839" t="n"/>
      <c r="AH107" s="839" t="n"/>
      <c r="AI107" s="839" t="n"/>
      <c r="AJ107" s="839" t="n"/>
      <c r="AK107" s="840" t="n"/>
      <c r="AL107" s="841" t="n"/>
      <c r="AM107" s="839" t="n"/>
      <c r="AN107" s="839" t="n"/>
      <c r="AO107" s="839" t="n"/>
      <c r="AP107" s="839" t="n"/>
      <c r="AQ107" s="839" t="n"/>
      <c r="AR107" s="839" t="n"/>
      <c r="AS107" s="839" t="n"/>
      <c r="AT107" s="842" t="n"/>
      <c r="AU107" s="838" t="n"/>
      <c r="AV107" s="840" t="n"/>
      <c r="AW107" s="843" t="n"/>
      <c r="AX107" s="844" t="n"/>
      <c r="AY107" s="845" t="n"/>
      <c r="AZ107" s="845" t="n"/>
      <c r="BA107" s="845" t="n"/>
      <c r="BB107" s="846" t="n"/>
      <c r="BC107" s="847" t="n"/>
      <c r="BD107" s="846" t="n"/>
      <c r="BE107" s="847" t="n"/>
      <c r="BF107" s="836" t="n"/>
    </row>
    <row r="108">
      <c r="A108" s="819" t="n"/>
      <c r="B108" s="820" t="n"/>
      <c r="C108" s="821">
        <f>SUM(Z108:AC108)</f>
        <v/>
      </c>
      <c r="D108" s="821">
        <f>SUM(AD108:AK108)</f>
        <v/>
      </c>
      <c r="E108" s="822">
        <f>SUM(AL108:AT108)</f>
        <v/>
      </c>
      <c r="F108" s="822">
        <f>SUM(AU108:AW108)</f>
        <v/>
      </c>
      <c r="G108" s="822">
        <f>SUM(AX108:BB108)</f>
        <v/>
      </c>
      <c r="H108" s="822">
        <f>SUM(BC108:BD108)</f>
        <v/>
      </c>
      <c r="I108" s="822">
        <f>SUM(V108:Y108)</f>
        <v/>
      </c>
      <c r="J108" s="823">
        <f>SUM(C108:I108)</f>
        <v/>
      </c>
      <c r="K108" s="824" t="n"/>
      <c r="L108" s="825" t="n"/>
      <c r="M108" s="826" t="n"/>
      <c r="N108" s="827" t="n"/>
      <c r="O108" s="828" t="n"/>
      <c r="P108" s="827" t="n"/>
      <c r="Q108" s="827" t="n"/>
      <c r="R108" s="829">
        <f>R107+SUM(N108:Q108)-SUM(J108:M108)</f>
        <v/>
      </c>
      <c r="S108" s="830" t="n"/>
      <c r="T108" s="831" t="n"/>
      <c r="U108" s="832" t="n"/>
      <c r="V108" s="833" t="n"/>
      <c r="W108" s="821" t="n"/>
      <c r="X108" s="821" t="n"/>
      <c r="Y108" s="821" t="n"/>
      <c r="Z108" s="821" t="n"/>
      <c r="AA108" s="834" t="n"/>
      <c r="AB108" s="835" t="n"/>
      <c r="AC108" s="836" t="n"/>
      <c r="AD108" s="837" t="n"/>
      <c r="AE108" s="838" t="n"/>
      <c r="AF108" s="839" t="n"/>
      <c r="AG108" s="839" t="n"/>
      <c r="AH108" s="839" t="n"/>
      <c r="AI108" s="839" t="n"/>
      <c r="AJ108" s="839" t="n"/>
      <c r="AK108" s="840" t="n"/>
      <c r="AL108" s="841" t="n"/>
      <c r="AM108" s="839" t="n"/>
      <c r="AN108" s="839" t="n"/>
      <c r="AO108" s="839" t="n"/>
      <c r="AP108" s="839" t="n"/>
      <c r="AQ108" s="839" t="n"/>
      <c r="AR108" s="839" t="n"/>
      <c r="AS108" s="839" t="n"/>
      <c r="AT108" s="842" t="n"/>
      <c r="AU108" s="838" t="n"/>
      <c r="AV108" s="840" t="n"/>
      <c r="AW108" s="843" t="n"/>
      <c r="AX108" s="844" t="n"/>
      <c r="AY108" s="845" t="n"/>
      <c r="AZ108" s="845" t="n"/>
      <c r="BA108" s="845" t="n"/>
      <c r="BB108" s="846" t="n"/>
      <c r="BC108" s="847" t="n"/>
      <c r="BD108" s="846" t="n"/>
      <c r="BE108" s="847" t="n"/>
      <c r="BF108" s="836" t="n"/>
    </row>
    <row r="109">
      <c r="A109" s="819" t="n"/>
      <c r="B109" s="820" t="n"/>
      <c r="C109" s="821">
        <f>SUM(Z109:AC109)</f>
        <v/>
      </c>
      <c r="D109" s="821">
        <f>SUM(AD109:AK109)</f>
        <v/>
      </c>
      <c r="E109" s="822">
        <f>SUM(AL109:AT109)</f>
        <v/>
      </c>
      <c r="F109" s="822">
        <f>SUM(AU109:AW109)</f>
        <v/>
      </c>
      <c r="G109" s="822">
        <f>SUM(AX109:BB109)</f>
        <v/>
      </c>
      <c r="H109" s="822">
        <f>SUM(BC109:BD109)</f>
        <v/>
      </c>
      <c r="I109" s="822">
        <f>SUM(V109:Y109)</f>
        <v/>
      </c>
      <c r="J109" s="823">
        <f>SUM(C109:I109)</f>
        <v/>
      </c>
      <c r="K109" s="824" t="n"/>
      <c r="L109" s="825" t="n"/>
      <c r="M109" s="826" t="n"/>
      <c r="N109" s="827" t="n"/>
      <c r="O109" s="828" t="n"/>
      <c r="P109" s="827" t="n"/>
      <c r="Q109" s="827" t="n"/>
      <c r="R109" s="829">
        <f>R108+SUM(N109:Q109)-SUM(J109:M109)</f>
        <v/>
      </c>
      <c r="S109" s="830" t="n"/>
      <c r="T109" s="831" t="n"/>
      <c r="U109" s="832" t="n"/>
      <c r="V109" s="833" t="n"/>
      <c r="W109" s="821" t="n"/>
      <c r="X109" s="821" t="n"/>
      <c r="Y109" s="821" t="n"/>
      <c r="Z109" s="821" t="n"/>
      <c r="AA109" s="834" t="n"/>
      <c r="AB109" s="835" t="n"/>
      <c r="AC109" s="836" t="n"/>
      <c r="AD109" s="837" t="n"/>
      <c r="AE109" s="838" t="n"/>
      <c r="AF109" s="839" t="n"/>
      <c r="AG109" s="839" t="n"/>
      <c r="AH109" s="839" t="n"/>
      <c r="AI109" s="839" t="n"/>
      <c r="AJ109" s="839" t="n"/>
      <c r="AK109" s="840" t="n"/>
      <c r="AL109" s="841" t="n"/>
      <c r="AM109" s="839" t="n"/>
      <c r="AN109" s="839" t="n"/>
      <c r="AO109" s="839" t="n"/>
      <c r="AP109" s="839" t="n"/>
      <c r="AQ109" s="839" t="n"/>
      <c r="AR109" s="839" t="n"/>
      <c r="AS109" s="839" t="n"/>
      <c r="AT109" s="842" t="n"/>
      <c r="AU109" s="838" t="n"/>
      <c r="AV109" s="840" t="n"/>
      <c r="AW109" s="843" t="n"/>
      <c r="AX109" s="844" t="n"/>
      <c r="AY109" s="845" t="n"/>
      <c r="AZ109" s="845" t="n"/>
      <c r="BA109" s="845" t="n"/>
      <c r="BB109" s="846" t="n"/>
      <c r="BC109" s="847" t="n"/>
      <c r="BD109" s="846" t="n"/>
      <c r="BE109" s="847" t="n"/>
      <c r="BF109" s="836" t="n"/>
    </row>
    <row r="110">
      <c r="A110" s="819" t="n"/>
      <c r="B110" s="820" t="n"/>
      <c r="C110" s="821">
        <f>SUM(Z110:AC110)</f>
        <v/>
      </c>
      <c r="D110" s="821">
        <f>SUM(AD110:AK110)</f>
        <v/>
      </c>
      <c r="E110" s="822">
        <f>SUM(AL110:AT110)</f>
        <v/>
      </c>
      <c r="F110" s="822">
        <f>SUM(AU110:AW110)</f>
        <v/>
      </c>
      <c r="G110" s="822">
        <f>SUM(AX110:BB110)</f>
        <v/>
      </c>
      <c r="H110" s="822">
        <f>SUM(BC110:BD110)</f>
        <v/>
      </c>
      <c r="I110" s="822">
        <f>SUM(V110:Y110)</f>
        <v/>
      </c>
      <c r="J110" s="823">
        <f>SUM(C110:I110)</f>
        <v/>
      </c>
      <c r="K110" s="824" t="n"/>
      <c r="L110" s="825" t="n"/>
      <c r="M110" s="826" t="n"/>
      <c r="N110" s="827" t="n"/>
      <c r="O110" s="828" t="n"/>
      <c r="P110" s="827" t="n"/>
      <c r="Q110" s="827" t="n"/>
      <c r="R110" s="829">
        <f>R109+SUM(N110:Q110)-SUM(J110:M110)</f>
        <v/>
      </c>
      <c r="S110" s="830" t="n"/>
      <c r="T110" s="831" t="n"/>
      <c r="U110" s="832" t="n"/>
      <c r="V110" s="833" t="n"/>
      <c r="W110" s="821" t="n"/>
      <c r="X110" s="821" t="n"/>
      <c r="Y110" s="821" t="n"/>
      <c r="Z110" s="821" t="n"/>
      <c r="AA110" s="834" t="n"/>
      <c r="AB110" s="835" t="n"/>
      <c r="AC110" s="836" t="n"/>
      <c r="AD110" s="837" t="n"/>
      <c r="AE110" s="838" t="n"/>
      <c r="AF110" s="839" t="n"/>
      <c r="AG110" s="839" t="n"/>
      <c r="AH110" s="839" t="n"/>
      <c r="AI110" s="839" t="n"/>
      <c r="AJ110" s="839" t="n"/>
      <c r="AK110" s="840" t="n"/>
      <c r="AL110" s="841" t="n"/>
      <c r="AM110" s="839" t="n"/>
      <c r="AN110" s="839" t="n"/>
      <c r="AO110" s="839" t="n"/>
      <c r="AP110" s="839" t="n"/>
      <c r="AQ110" s="839" t="n"/>
      <c r="AR110" s="839" t="n"/>
      <c r="AS110" s="839" t="n"/>
      <c r="AT110" s="842" t="n"/>
      <c r="AU110" s="838" t="n"/>
      <c r="AV110" s="840" t="n"/>
      <c r="AW110" s="843" t="n"/>
      <c r="AX110" s="844" t="n"/>
      <c r="AY110" s="845" t="n"/>
      <c r="AZ110" s="845" t="n"/>
      <c r="BA110" s="845" t="n"/>
      <c r="BB110" s="846" t="n"/>
      <c r="BC110" s="847" t="n"/>
      <c r="BD110" s="846" t="n"/>
      <c r="BE110" s="847" t="n"/>
      <c r="BF110" s="836" t="n"/>
    </row>
    <row r="111">
      <c r="A111" s="819" t="n"/>
      <c r="B111" s="820" t="n"/>
      <c r="C111" s="821">
        <f>SUM(Z111:AC111)</f>
        <v/>
      </c>
      <c r="D111" s="821">
        <f>SUM(AD111:AK111)</f>
        <v/>
      </c>
      <c r="E111" s="822">
        <f>SUM(AL111:AT111)</f>
        <v/>
      </c>
      <c r="F111" s="822">
        <f>SUM(AU111:AW111)</f>
        <v/>
      </c>
      <c r="G111" s="822">
        <f>SUM(AX111:BB111)</f>
        <v/>
      </c>
      <c r="H111" s="822">
        <f>SUM(BC111:BD111)</f>
        <v/>
      </c>
      <c r="I111" s="822">
        <f>SUM(V111:Y111)</f>
        <v/>
      </c>
      <c r="J111" s="823">
        <f>SUM(C111:I111)</f>
        <v/>
      </c>
      <c r="K111" s="824" t="n"/>
      <c r="L111" s="825" t="n"/>
      <c r="M111" s="826" t="n"/>
      <c r="N111" s="827" t="n"/>
      <c r="O111" s="828" t="n"/>
      <c r="P111" s="827" t="n"/>
      <c r="Q111" s="827" t="n"/>
      <c r="R111" s="829">
        <f>R110+SUM(N111:Q111)-SUM(J111:M111)</f>
        <v/>
      </c>
      <c r="S111" s="830" t="n"/>
      <c r="T111" s="831" t="n"/>
      <c r="U111" s="832" t="n"/>
      <c r="V111" s="833" t="n"/>
      <c r="W111" s="821" t="n"/>
      <c r="X111" s="821" t="n"/>
      <c r="Y111" s="821" t="n"/>
      <c r="Z111" s="821" t="n"/>
      <c r="AA111" s="834" t="n"/>
      <c r="AB111" s="835" t="n"/>
      <c r="AC111" s="836" t="n"/>
      <c r="AD111" s="837" t="n"/>
      <c r="AE111" s="838" t="n"/>
      <c r="AF111" s="839" t="n"/>
      <c r="AG111" s="839" t="n"/>
      <c r="AH111" s="839" t="n"/>
      <c r="AI111" s="839" t="n"/>
      <c r="AJ111" s="839" t="n"/>
      <c r="AK111" s="840" t="n"/>
      <c r="AL111" s="841" t="n"/>
      <c r="AM111" s="839" t="n"/>
      <c r="AN111" s="839" t="n"/>
      <c r="AO111" s="839" t="n"/>
      <c r="AP111" s="839" t="n"/>
      <c r="AQ111" s="839" t="n"/>
      <c r="AR111" s="839" t="n"/>
      <c r="AS111" s="839" t="n"/>
      <c r="AT111" s="842" t="n"/>
      <c r="AU111" s="838" t="n"/>
      <c r="AV111" s="840" t="n"/>
      <c r="AW111" s="843" t="n"/>
      <c r="AX111" s="844" t="n"/>
      <c r="AY111" s="845" t="n"/>
      <c r="AZ111" s="845" t="n"/>
      <c r="BA111" s="845" t="n"/>
      <c r="BB111" s="846" t="n"/>
      <c r="BC111" s="847" t="n"/>
      <c r="BD111" s="846" t="n"/>
      <c r="BE111" s="847" t="n"/>
      <c r="BF111" s="836" t="n"/>
    </row>
    <row r="112">
      <c r="A112" s="819" t="n"/>
      <c r="B112" s="820" t="n"/>
      <c r="C112" s="821">
        <f>SUM(Z112:AC112)</f>
        <v/>
      </c>
      <c r="D112" s="821">
        <f>SUM(AD112:AK112)</f>
        <v/>
      </c>
      <c r="E112" s="822">
        <f>SUM(AL112:AT112)</f>
        <v/>
      </c>
      <c r="F112" s="822">
        <f>SUM(AU112:AW112)</f>
        <v/>
      </c>
      <c r="G112" s="822">
        <f>SUM(AX112:BB112)</f>
        <v/>
      </c>
      <c r="H112" s="822">
        <f>SUM(BC112:BD112)</f>
        <v/>
      </c>
      <c r="I112" s="822">
        <f>SUM(V112:Y112)</f>
        <v/>
      </c>
      <c r="J112" s="823">
        <f>SUM(C112:I112)</f>
        <v/>
      </c>
      <c r="K112" s="824" t="n"/>
      <c r="L112" s="825" t="n"/>
      <c r="M112" s="826" t="n"/>
      <c r="N112" s="827" t="n"/>
      <c r="O112" s="828" t="n"/>
      <c r="P112" s="827" t="n"/>
      <c r="Q112" s="827" t="n"/>
      <c r="R112" s="829">
        <f>R111+SUM(N112:Q112)-SUM(J112:M112)</f>
        <v/>
      </c>
      <c r="S112" s="830" t="n"/>
      <c r="T112" s="831" t="n"/>
      <c r="U112" s="832" t="n"/>
      <c r="V112" s="833" t="n"/>
      <c r="W112" s="821" t="n"/>
      <c r="X112" s="821" t="n"/>
      <c r="Y112" s="821" t="n"/>
      <c r="Z112" s="821" t="n"/>
      <c r="AA112" s="834" t="n"/>
      <c r="AB112" s="835" t="n"/>
      <c r="AC112" s="836" t="n"/>
      <c r="AD112" s="837" t="n"/>
      <c r="AE112" s="838" t="n"/>
      <c r="AF112" s="839" t="n"/>
      <c r="AG112" s="839" t="n"/>
      <c r="AH112" s="839" t="n"/>
      <c r="AI112" s="839" t="n"/>
      <c r="AJ112" s="839" t="n"/>
      <c r="AK112" s="840" t="n"/>
      <c r="AL112" s="841" t="n"/>
      <c r="AM112" s="839" t="n"/>
      <c r="AN112" s="839" t="n"/>
      <c r="AO112" s="839" t="n"/>
      <c r="AP112" s="839" t="n"/>
      <c r="AQ112" s="839" t="n"/>
      <c r="AR112" s="839" t="n"/>
      <c r="AS112" s="839" t="n"/>
      <c r="AT112" s="842" t="n"/>
      <c r="AU112" s="838" t="n"/>
      <c r="AV112" s="840" t="n"/>
      <c r="AW112" s="843" t="n"/>
      <c r="AX112" s="844" t="n"/>
      <c r="AY112" s="845" t="n"/>
      <c r="AZ112" s="845" t="n"/>
      <c r="BA112" s="845" t="n"/>
      <c r="BB112" s="846" t="n"/>
      <c r="BC112" s="847" t="n"/>
      <c r="BD112" s="846" t="n"/>
      <c r="BE112" s="847" t="n"/>
      <c r="BF112" s="836" t="n"/>
    </row>
    <row r="113">
      <c r="A113" s="819" t="n"/>
      <c r="B113" s="820" t="n"/>
      <c r="C113" s="821">
        <f>SUM(Z113:AC113)</f>
        <v/>
      </c>
      <c r="D113" s="821">
        <f>SUM(AD113:AK113)</f>
        <v/>
      </c>
      <c r="E113" s="822">
        <f>SUM(AL113:AT113)</f>
        <v/>
      </c>
      <c r="F113" s="822">
        <f>SUM(AU113:AW113)</f>
        <v/>
      </c>
      <c r="G113" s="822">
        <f>SUM(AX113:BB113)</f>
        <v/>
      </c>
      <c r="H113" s="822">
        <f>SUM(BC113:BD113)</f>
        <v/>
      </c>
      <c r="I113" s="822">
        <f>SUM(V113:Y113)</f>
        <v/>
      </c>
      <c r="J113" s="823">
        <f>SUM(C113:I113)</f>
        <v/>
      </c>
      <c r="K113" s="824" t="n"/>
      <c r="L113" s="825" t="n"/>
      <c r="M113" s="826" t="n"/>
      <c r="N113" s="827" t="n"/>
      <c r="O113" s="828" t="n"/>
      <c r="P113" s="827" t="n"/>
      <c r="Q113" s="827" t="n"/>
      <c r="R113" s="829">
        <f>R112+SUM(N113:Q113)-SUM(J113:M113)</f>
        <v/>
      </c>
      <c r="S113" s="830" t="n"/>
      <c r="T113" s="831" t="n"/>
      <c r="U113" s="832" t="n"/>
      <c r="V113" s="833" t="n"/>
      <c r="W113" s="821" t="n"/>
      <c r="X113" s="821" t="n"/>
      <c r="Y113" s="821" t="n"/>
      <c r="Z113" s="821" t="n"/>
      <c r="AA113" s="834" t="n"/>
      <c r="AB113" s="835" t="n"/>
      <c r="AC113" s="836" t="n"/>
      <c r="AD113" s="837" t="n"/>
      <c r="AE113" s="838" t="n"/>
      <c r="AF113" s="839" t="n"/>
      <c r="AG113" s="839" t="n"/>
      <c r="AH113" s="839" t="n"/>
      <c r="AI113" s="839" t="n"/>
      <c r="AJ113" s="839" t="n"/>
      <c r="AK113" s="840" t="n"/>
      <c r="AL113" s="841" t="n"/>
      <c r="AM113" s="839" t="n"/>
      <c r="AN113" s="839" t="n"/>
      <c r="AO113" s="839" t="n"/>
      <c r="AP113" s="839" t="n"/>
      <c r="AQ113" s="839" t="n"/>
      <c r="AR113" s="839" t="n"/>
      <c r="AS113" s="839" t="n"/>
      <c r="AT113" s="842" t="n"/>
      <c r="AU113" s="838" t="n"/>
      <c r="AV113" s="840" t="n"/>
      <c r="AW113" s="843" t="n"/>
      <c r="AX113" s="844" t="n"/>
      <c r="AY113" s="845" t="n"/>
      <c r="AZ113" s="845" t="n"/>
      <c r="BA113" s="845" t="n"/>
      <c r="BB113" s="846" t="n"/>
      <c r="BC113" s="847" t="n"/>
      <c r="BD113" s="846" t="n"/>
      <c r="BE113" s="847" t="n"/>
      <c r="BF113" s="836" t="n"/>
    </row>
    <row r="114">
      <c r="A114" s="819" t="n"/>
      <c r="B114" s="820" t="n"/>
      <c r="C114" s="821">
        <f>SUM(Z114:AC114)</f>
        <v/>
      </c>
      <c r="D114" s="821">
        <f>SUM(AD114:AK114)</f>
        <v/>
      </c>
      <c r="E114" s="822">
        <f>SUM(AL114:AT114)</f>
        <v/>
      </c>
      <c r="F114" s="822">
        <f>SUM(AU114:AW114)</f>
        <v/>
      </c>
      <c r="G114" s="822">
        <f>SUM(AX114:BB114)</f>
        <v/>
      </c>
      <c r="H114" s="822">
        <f>SUM(BC114:BD114)</f>
        <v/>
      </c>
      <c r="I114" s="822">
        <f>SUM(V114:Y114)</f>
        <v/>
      </c>
      <c r="J114" s="823">
        <f>SUM(C114:I114)</f>
        <v/>
      </c>
      <c r="K114" s="824" t="n"/>
      <c r="L114" s="825" t="n"/>
      <c r="M114" s="826" t="n"/>
      <c r="N114" s="827" t="n"/>
      <c r="O114" s="828" t="n"/>
      <c r="P114" s="827" t="n"/>
      <c r="Q114" s="827" t="n"/>
      <c r="R114" s="829">
        <f>R113+SUM(N114:Q114)-SUM(J114:M114)</f>
        <v/>
      </c>
      <c r="S114" s="830" t="n"/>
      <c r="T114" s="831" t="n"/>
      <c r="U114" s="832" t="n"/>
      <c r="V114" s="833" t="n"/>
      <c r="W114" s="821" t="n"/>
      <c r="X114" s="821" t="n"/>
      <c r="Y114" s="821" t="n"/>
      <c r="Z114" s="821" t="n"/>
      <c r="AA114" s="834" t="n"/>
      <c r="AB114" s="835" t="n"/>
      <c r="AC114" s="836" t="n"/>
      <c r="AD114" s="837" t="n"/>
      <c r="AE114" s="838" t="n"/>
      <c r="AF114" s="839" t="n"/>
      <c r="AG114" s="839" t="n"/>
      <c r="AH114" s="839" t="n"/>
      <c r="AI114" s="839" t="n"/>
      <c r="AJ114" s="839" t="n"/>
      <c r="AK114" s="840" t="n"/>
      <c r="AL114" s="841" t="n"/>
      <c r="AM114" s="839" t="n"/>
      <c r="AN114" s="839" t="n"/>
      <c r="AO114" s="839" t="n"/>
      <c r="AP114" s="839" t="n"/>
      <c r="AQ114" s="839" t="n"/>
      <c r="AR114" s="839" t="n"/>
      <c r="AS114" s="839" t="n"/>
      <c r="AT114" s="842" t="n"/>
      <c r="AU114" s="838" t="n"/>
      <c r="AV114" s="840" t="n"/>
      <c r="AW114" s="843" t="n"/>
      <c r="AX114" s="844" t="n"/>
      <c r="AY114" s="845" t="n"/>
      <c r="AZ114" s="845" t="n"/>
      <c r="BA114" s="845" t="n"/>
      <c r="BB114" s="846" t="n"/>
      <c r="BC114" s="847" t="n"/>
      <c r="BD114" s="846" t="n"/>
      <c r="BE114" s="847" t="n"/>
      <c r="BF114" s="836" t="n"/>
    </row>
    <row r="115">
      <c r="A115" s="819" t="n"/>
      <c r="B115" s="820" t="n"/>
      <c r="C115" s="821">
        <f>SUM(Z115:AC115)</f>
        <v/>
      </c>
      <c r="D115" s="821">
        <f>SUM(AD115:AK115)</f>
        <v/>
      </c>
      <c r="E115" s="822">
        <f>SUM(AL115:AT115)</f>
        <v/>
      </c>
      <c r="F115" s="822">
        <f>SUM(AU115:AW115)</f>
        <v/>
      </c>
      <c r="G115" s="822">
        <f>SUM(AX115:BB115)</f>
        <v/>
      </c>
      <c r="H115" s="822">
        <f>SUM(BC115:BD115)</f>
        <v/>
      </c>
      <c r="I115" s="822">
        <f>SUM(V115:Y115)</f>
        <v/>
      </c>
      <c r="J115" s="823">
        <f>SUM(C115:I115)</f>
        <v/>
      </c>
      <c r="K115" s="824" t="n"/>
      <c r="L115" s="825" t="n"/>
      <c r="M115" s="826" t="n"/>
      <c r="N115" s="827" t="n"/>
      <c r="O115" s="828" t="n"/>
      <c r="P115" s="827" t="n"/>
      <c r="Q115" s="827" t="n"/>
      <c r="R115" s="829">
        <f>R114+SUM(N115:Q115)-SUM(J115:M115)</f>
        <v/>
      </c>
      <c r="S115" s="830" t="n"/>
      <c r="T115" s="831" t="n"/>
      <c r="U115" s="832" t="n"/>
      <c r="V115" s="833" t="n"/>
      <c r="W115" s="821" t="n"/>
      <c r="X115" s="821" t="n"/>
      <c r="Y115" s="821" t="n"/>
      <c r="Z115" s="821" t="n"/>
      <c r="AA115" s="834" t="n"/>
      <c r="AB115" s="835" t="n"/>
      <c r="AC115" s="836" t="n"/>
      <c r="AD115" s="837" t="n"/>
      <c r="AE115" s="838" t="n"/>
      <c r="AF115" s="839" t="n"/>
      <c r="AG115" s="839" t="n"/>
      <c r="AH115" s="839" t="n"/>
      <c r="AI115" s="839" t="n"/>
      <c r="AJ115" s="839" t="n"/>
      <c r="AK115" s="840" t="n"/>
      <c r="AL115" s="841" t="n"/>
      <c r="AM115" s="839" t="n"/>
      <c r="AN115" s="839" t="n"/>
      <c r="AO115" s="839" t="n"/>
      <c r="AP115" s="839" t="n"/>
      <c r="AQ115" s="839" t="n"/>
      <c r="AR115" s="839" t="n"/>
      <c r="AS115" s="839" t="n"/>
      <c r="AT115" s="842" t="n"/>
      <c r="AU115" s="838" t="n"/>
      <c r="AV115" s="840" t="n"/>
      <c r="AW115" s="843" t="n"/>
      <c r="AX115" s="844" t="n"/>
      <c r="AY115" s="845" t="n"/>
      <c r="AZ115" s="845" t="n"/>
      <c r="BA115" s="845" t="n"/>
      <c r="BB115" s="846" t="n"/>
      <c r="BC115" s="847" t="n"/>
      <c r="BD115" s="846" t="n"/>
      <c r="BE115" s="847" t="n"/>
      <c r="BF115" s="836" t="n"/>
    </row>
    <row r="116">
      <c r="A116" s="819" t="n"/>
      <c r="B116" s="820" t="n"/>
      <c r="C116" s="821">
        <f>SUM(Z116:AC116)</f>
        <v/>
      </c>
      <c r="D116" s="821">
        <f>SUM(AD116:AK116)</f>
        <v/>
      </c>
      <c r="E116" s="822">
        <f>SUM(AL116:AT116)</f>
        <v/>
      </c>
      <c r="F116" s="822">
        <f>SUM(AU116:AW116)</f>
        <v/>
      </c>
      <c r="G116" s="822">
        <f>SUM(AX116:BB116)</f>
        <v/>
      </c>
      <c r="H116" s="822">
        <f>SUM(BC116:BD116)</f>
        <v/>
      </c>
      <c r="I116" s="822">
        <f>SUM(V116:Y116)</f>
        <v/>
      </c>
      <c r="J116" s="823">
        <f>SUM(C116:I116)</f>
        <v/>
      </c>
      <c r="K116" s="824" t="n"/>
      <c r="L116" s="825" t="n"/>
      <c r="M116" s="826" t="n"/>
      <c r="N116" s="827" t="n"/>
      <c r="O116" s="828" t="n"/>
      <c r="P116" s="827" t="n"/>
      <c r="Q116" s="827" t="n"/>
      <c r="R116" s="829">
        <f>R115+SUM(N116:Q116)-SUM(J116:M116)</f>
        <v/>
      </c>
      <c r="S116" s="830" t="n"/>
      <c r="T116" s="831" t="n"/>
      <c r="U116" s="832" t="n"/>
      <c r="V116" s="833" t="n"/>
      <c r="W116" s="821" t="n"/>
      <c r="X116" s="821" t="n"/>
      <c r="Y116" s="821" t="n"/>
      <c r="Z116" s="821" t="n"/>
      <c r="AA116" s="834" t="n"/>
      <c r="AB116" s="835" t="n"/>
      <c r="AC116" s="836" t="n"/>
      <c r="AD116" s="837" t="n"/>
      <c r="AE116" s="838" t="n"/>
      <c r="AF116" s="839" t="n"/>
      <c r="AG116" s="839" t="n"/>
      <c r="AH116" s="839" t="n"/>
      <c r="AI116" s="839" t="n"/>
      <c r="AJ116" s="839" t="n"/>
      <c r="AK116" s="840" t="n"/>
      <c r="AL116" s="841" t="n"/>
      <c r="AM116" s="839" t="n"/>
      <c r="AN116" s="839" t="n"/>
      <c r="AO116" s="839" t="n"/>
      <c r="AP116" s="839" t="n"/>
      <c r="AQ116" s="839" t="n"/>
      <c r="AR116" s="839" t="n"/>
      <c r="AS116" s="839" t="n"/>
      <c r="AT116" s="842" t="n"/>
      <c r="AU116" s="838" t="n"/>
      <c r="AV116" s="840" t="n"/>
      <c r="AW116" s="843" t="n"/>
      <c r="AX116" s="844" t="n"/>
      <c r="AY116" s="845" t="n"/>
      <c r="AZ116" s="845" t="n"/>
      <c r="BA116" s="845" t="n"/>
      <c r="BB116" s="846" t="n"/>
      <c r="BC116" s="847" t="n"/>
      <c r="BD116" s="846" t="n"/>
      <c r="BE116" s="847" t="n"/>
      <c r="BF116" s="836" t="n"/>
    </row>
    <row r="117">
      <c r="A117" s="819" t="n"/>
      <c r="B117" s="820" t="n"/>
      <c r="C117" s="821">
        <f>SUM(Z117:AC117)</f>
        <v/>
      </c>
      <c r="D117" s="821">
        <f>SUM(AD117:AK117)</f>
        <v/>
      </c>
      <c r="E117" s="822">
        <f>SUM(AL117:AT117)</f>
        <v/>
      </c>
      <c r="F117" s="822">
        <f>SUM(AU117:AW117)</f>
        <v/>
      </c>
      <c r="G117" s="822">
        <f>SUM(AX117:BB117)</f>
        <v/>
      </c>
      <c r="H117" s="822">
        <f>SUM(BC117:BD117)</f>
        <v/>
      </c>
      <c r="I117" s="822">
        <f>SUM(V117:Y117)</f>
        <v/>
      </c>
      <c r="J117" s="823">
        <f>SUM(C117:I117)</f>
        <v/>
      </c>
      <c r="K117" s="824" t="n"/>
      <c r="L117" s="825" t="n"/>
      <c r="M117" s="826" t="n"/>
      <c r="N117" s="827" t="n"/>
      <c r="O117" s="828" t="n"/>
      <c r="P117" s="827" t="n"/>
      <c r="Q117" s="827" t="n"/>
      <c r="R117" s="829">
        <f>R116+SUM(N117:Q117)-SUM(J117:M117)</f>
        <v/>
      </c>
      <c r="S117" s="830" t="n"/>
      <c r="T117" s="831" t="n"/>
      <c r="U117" s="832" t="n"/>
      <c r="V117" s="833" t="n"/>
      <c r="W117" s="821" t="n"/>
      <c r="X117" s="821" t="n"/>
      <c r="Y117" s="821" t="n"/>
      <c r="Z117" s="821" t="n"/>
      <c r="AA117" s="834" t="n"/>
      <c r="AB117" s="835" t="n"/>
      <c r="AC117" s="836" t="n"/>
      <c r="AD117" s="837" t="n"/>
      <c r="AE117" s="838" t="n"/>
      <c r="AF117" s="839" t="n"/>
      <c r="AG117" s="839" t="n"/>
      <c r="AH117" s="839" t="n"/>
      <c r="AI117" s="839" t="n"/>
      <c r="AJ117" s="839" t="n"/>
      <c r="AK117" s="840" t="n"/>
      <c r="AL117" s="841" t="n"/>
      <c r="AM117" s="839" t="n"/>
      <c r="AN117" s="839" t="n"/>
      <c r="AO117" s="839" t="n"/>
      <c r="AP117" s="839" t="n"/>
      <c r="AQ117" s="839" t="n"/>
      <c r="AR117" s="839" t="n"/>
      <c r="AS117" s="839" t="n"/>
      <c r="AT117" s="842" t="n"/>
      <c r="AU117" s="838" t="n"/>
      <c r="AV117" s="840" t="n"/>
      <c r="AW117" s="843" t="n"/>
      <c r="AX117" s="844" t="n"/>
      <c r="AY117" s="845" t="n"/>
      <c r="AZ117" s="845" t="n"/>
      <c r="BA117" s="845" t="n"/>
      <c r="BB117" s="846" t="n"/>
      <c r="BC117" s="847" t="n"/>
      <c r="BD117" s="846" t="n"/>
      <c r="BE117" s="847" t="n"/>
      <c r="BF117" s="836" t="n"/>
    </row>
    <row r="118">
      <c r="A118" s="819" t="n"/>
      <c r="B118" s="820" t="n"/>
      <c r="C118" s="821">
        <f>SUM(Z118:AC118)</f>
        <v/>
      </c>
      <c r="D118" s="821">
        <f>SUM(AD118:AK118)</f>
        <v/>
      </c>
      <c r="E118" s="822">
        <f>SUM(AL118:AT118)</f>
        <v/>
      </c>
      <c r="F118" s="822">
        <f>SUM(AU118:AW118)</f>
        <v/>
      </c>
      <c r="G118" s="822">
        <f>SUM(AX118:BB118)</f>
        <v/>
      </c>
      <c r="H118" s="822">
        <f>SUM(BC118:BD118)</f>
        <v/>
      </c>
      <c r="I118" s="822">
        <f>SUM(V118:Y118)</f>
        <v/>
      </c>
      <c r="J118" s="823">
        <f>SUM(C118:I118)</f>
        <v/>
      </c>
      <c r="K118" s="824" t="n"/>
      <c r="L118" s="825" t="n"/>
      <c r="M118" s="826" t="n"/>
      <c r="N118" s="827" t="n"/>
      <c r="O118" s="828" t="n"/>
      <c r="P118" s="827" t="n"/>
      <c r="Q118" s="827" t="n"/>
      <c r="R118" s="829">
        <f>R117+SUM(N118:Q118)-SUM(J118:M118)</f>
        <v/>
      </c>
      <c r="S118" s="830" t="n"/>
      <c r="T118" s="831" t="n"/>
      <c r="U118" s="832" t="n"/>
      <c r="V118" s="833" t="n"/>
      <c r="W118" s="821" t="n"/>
      <c r="X118" s="821" t="n"/>
      <c r="Y118" s="821" t="n"/>
      <c r="Z118" s="821" t="n"/>
      <c r="AA118" s="834" t="n"/>
      <c r="AB118" s="835" t="n"/>
      <c r="AC118" s="836" t="n"/>
      <c r="AD118" s="837" t="n"/>
      <c r="AE118" s="838" t="n"/>
      <c r="AF118" s="839" t="n"/>
      <c r="AG118" s="839" t="n"/>
      <c r="AH118" s="839" t="n"/>
      <c r="AI118" s="839" t="n"/>
      <c r="AJ118" s="839" t="n"/>
      <c r="AK118" s="840" t="n"/>
      <c r="AL118" s="841" t="n"/>
      <c r="AM118" s="839" t="n"/>
      <c r="AN118" s="839" t="n"/>
      <c r="AO118" s="839" t="n"/>
      <c r="AP118" s="839" t="n"/>
      <c r="AQ118" s="839" t="n"/>
      <c r="AR118" s="839" t="n"/>
      <c r="AS118" s="839" t="n"/>
      <c r="AT118" s="842" t="n"/>
      <c r="AU118" s="838" t="n"/>
      <c r="AV118" s="840" t="n"/>
      <c r="AW118" s="843" t="n"/>
      <c r="AX118" s="844" t="n"/>
      <c r="AY118" s="845" t="n"/>
      <c r="AZ118" s="845" t="n"/>
      <c r="BA118" s="845" t="n"/>
      <c r="BB118" s="846" t="n"/>
      <c r="BC118" s="847" t="n"/>
      <c r="BD118" s="846" t="n"/>
      <c r="BE118" s="847" t="n"/>
      <c r="BF118" s="836" t="n"/>
    </row>
    <row r="119">
      <c r="A119" s="819" t="n"/>
      <c r="B119" s="820" t="n"/>
      <c r="C119" s="821">
        <f>SUM(Z119:AC119)</f>
        <v/>
      </c>
      <c r="D119" s="821">
        <f>SUM(AD119:AK119)</f>
        <v/>
      </c>
      <c r="E119" s="822">
        <f>SUM(AL119:AT119)</f>
        <v/>
      </c>
      <c r="F119" s="822">
        <f>SUM(AU119:AW119)</f>
        <v/>
      </c>
      <c r="G119" s="822">
        <f>SUM(AX119:BB119)</f>
        <v/>
      </c>
      <c r="H119" s="822">
        <f>SUM(BC119:BD119)</f>
        <v/>
      </c>
      <c r="I119" s="822">
        <f>SUM(V119:Y119)</f>
        <v/>
      </c>
      <c r="J119" s="823">
        <f>SUM(C119:I119)</f>
        <v/>
      </c>
      <c r="K119" s="824" t="n"/>
      <c r="L119" s="825" t="n"/>
      <c r="M119" s="826" t="n"/>
      <c r="N119" s="827" t="n"/>
      <c r="O119" s="828" t="n"/>
      <c r="P119" s="827" t="n"/>
      <c r="Q119" s="827" t="n"/>
      <c r="R119" s="829">
        <f>R118+SUM(N119:Q119)-SUM(J119:M119)</f>
        <v/>
      </c>
      <c r="S119" s="830" t="n"/>
      <c r="T119" s="831" t="n"/>
      <c r="U119" s="832" t="n"/>
      <c r="V119" s="833" t="n"/>
      <c r="W119" s="821" t="n"/>
      <c r="X119" s="821" t="n"/>
      <c r="Y119" s="821" t="n"/>
      <c r="Z119" s="821" t="n"/>
      <c r="AA119" s="834" t="n"/>
      <c r="AB119" s="835" t="n"/>
      <c r="AC119" s="836" t="n"/>
      <c r="AD119" s="837" t="n"/>
      <c r="AE119" s="838" t="n"/>
      <c r="AF119" s="839" t="n"/>
      <c r="AG119" s="839" t="n"/>
      <c r="AH119" s="839" t="n"/>
      <c r="AI119" s="839" t="n"/>
      <c r="AJ119" s="839" t="n"/>
      <c r="AK119" s="840" t="n"/>
      <c r="AL119" s="841" t="n"/>
      <c r="AM119" s="839" t="n"/>
      <c r="AN119" s="839" t="n"/>
      <c r="AO119" s="839" t="n"/>
      <c r="AP119" s="839" t="n"/>
      <c r="AQ119" s="839" t="n"/>
      <c r="AR119" s="839" t="n"/>
      <c r="AS119" s="839" t="n"/>
      <c r="AT119" s="842" t="n"/>
      <c r="AU119" s="838" t="n"/>
      <c r="AV119" s="840" t="n"/>
      <c r="AW119" s="843" t="n"/>
      <c r="AX119" s="844" t="n"/>
      <c r="AY119" s="845" t="n"/>
      <c r="AZ119" s="845" t="n"/>
      <c r="BA119" s="845" t="n"/>
      <c r="BB119" s="846" t="n"/>
      <c r="BC119" s="847" t="n"/>
      <c r="BD119" s="846" t="n"/>
      <c r="BE119" s="847" t="n"/>
      <c r="BF119" s="836" t="n"/>
    </row>
    <row r="120">
      <c r="A120" s="819" t="n"/>
      <c r="B120" s="820" t="n"/>
      <c r="C120" s="821">
        <f>SUM(Z120:AC120)</f>
        <v/>
      </c>
      <c r="D120" s="821">
        <f>SUM(AD120:AK120)</f>
        <v/>
      </c>
      <c r="E120" s="822">
        <f>SUM(AL120:AT120)</f>
        <v/>
      </c>
      <c r="F120" s="822">
        <f>SUM(AU120:AW120)</f>
        <v/>
      </c>
      <c r="G120" s="822">
        <f>SUM(AX120:BB120)</f>
        <v/>
      </c>
      <c r="H120" s="822">
        <f>SUM(BC120:BD120)</f>
        <v/>
      </c>
      <c r="I120" s="822">
        <f>SUM(V120:Y120)</f>
        <v/>
      </c>
      <c r="J120" s="823">
        <f>SUM(C120:I120)</f>
        <v/>
      </c>
      <c r="K120" s="824" t="n"/>
      <c r="L120" s="825" t="n"/>
      <c r="M120" s="826" t="n"/>
      <c r="N120" s="827" t="n"/>
      <c r="O120" s="828" t="n"/>
      <c r="P120" s="827" t="n"/>
      <c r="Q120" s="827" t="n"/>
      <c r="R120" s="829">
        <f>R119+SUM(N120:Q120)-SUM(J120:M120)</f>
        <v/>
      </c>
      <c r="S120" s="830" t="n"/>
      <c r="T120" s="831" t="n"/>
      <c r="U120" s="832" t="n"/>
      <c r="V120" s="833" t="n"/>
      <c r="W120" s="821" t="n"/>
      <c r="X120" s="821" t="n"/>
      <c r="Y120" s="821" t="n"/>
      <c r="Z120" s="821" t="n"/>
      <c r="AA120" s="834" t="n"/>
      <c r="AB120" s="835" t="n"/>
      <c r="AC120" s="836" t="n"/>
      <c r="AD120" s="837" t="n"/>
      <c r="AE120" s="838" t="n"/>
      <c r="AF120" s="839" t="n"/>
      <c r="AG120" s="839" t="n"/>
      <c r="AH120" s="839" t="n"/>
      <c r="AI120" s="839" t="n"/>
      <c r="AJ120" s="839" t="n"/>
      <c r="AK120" s="840" t="n"/>
      <c r="AL120" s="841" t="n"/>
      <c r="AM120" s="839" t="n"/>
      <c r="AN120" s="839" t="n"/>
      <c r="AO120" s="839" t="n"/>
      <c r="AP120" s="839" t="n"/>
      <c r="AQ120" s="839" t="n"/>
      <c r="AR120" s="839" t="n"/>
      <c r="AS120" s="839" t="n"/>
      <c r="AT120" s="842" t="n"/>
      <c r="AU120" s="838" t="n"/>
      <c r="AV120" s="840" t="n"/>
      <c r="AW120" s="843" t="n"/>
      <c r="AX120" s="844" t="n"/>
      <c r="AY120" s="845" t="n"/>
      <c r="AZ120" s="845" t="n"/>
      <c r="BA120" s="845" t="n"/>
      <c r="BB120" s="846" t="n"/>
      <c r="BC120" s="847" t="n"/>
      <c r="BD120" s="846" t="n"/>
      <c r="BE120" s="847" t="n"/>
      <c r="BF120" s="836" t="n"/>
    </row>
    <row r="121">
      <c r="A121" s="819" t="n"/>
      <c r="B121" s="820" t="n"/>
      <c r="C121" s="821">
        <f>SUM(Z121:AC121)</f>
        <v/>
      </c>
      <c r="D121" s="821">
        <f>SUM(AD121:AK121)</f>
        <v/>
      </c>
      <c r="E121" s="822">
        <f>SUM(AL121:AT121)</f>
        <v/>
      </c>
      <c r="F121" s="822">
        <f>SUM(AU121:AW121)</f>
        <v/>
      </c>
      <c r="G121" s="822">
        <f>SUM(AX121:BB121)</f>
        <v/>
      </c>
      <c r="H121" s="822">
        <f>SUM(BC121:BD121)</f>
        <v/>
      </c>
      <c r="I121" s="822">
        <f>SUM(V121:Y121)</f>
        <v/>
      </c>
      <c r="J121" s="823">
        <f>SUM(C121:I121)</f>
        <v/>
      </c>
      <c r="K121" s="824" t="n"/>
      <c r="L121" s="825" t="n"/>
      <c r="M121" s="826" t="n"/>
      <c r="N121" s="827" t="n"/>
      <c r="O121" s="828" t="n"/>
      <c r="P121" s="827" t="n"/>
      <c r="Q121" s="827" t="n"/>
      <c r="R121" s="829">
        <f>R120+SUM(N121:Q121)-SUM(J121:M121)</f>
        <v/>
      </c>
      <c r="S121" s="830" t="n"/>
      <c r="T121" s="831" t="n"/>
      <c r="U121" s="832" t="n"/>
      <c r="V121" s="833" t="n"/>
      <c r="W121" s="821" t="n"/>
      <c r="X121" s="821" t="n"/>
      <c r="Y121" s="821" t="n"/>
      <c r="Z121" s="821" t="n"/>
      <c r="AA121" s="834" t="n"/>
      <c r="AB121" s="835" t="n"/>
      <c r="AC121" s="836" t="n"/>
      <c r="AD121" s="837" t="n"/>
      <c r="AE121" s="838" t="n"/>
      <c r="AF121" s="839" t="n"/>
      <c r="AG121" s="839" t="n"/>
      <c r="AH121" s="839" t="n"/>
      <c r="AI121" s="839" t="n"/>
      <c r="AJ121" s="839" t="n"/>
      <c r="AK121" s="840" t="n"/>
      <c r="AL121" s="841" t="n"/>
      <c r="AM121" s="839" t="n"/>
      <c r="AN121" s="839" t="n"/>
      <c r="AO121" s="839" t="n"/>
      <c r="AP121" s="839" t="n"/>
      <c r="AQ121" s="839" t="n"/>
      <c r="AR121" s="839" t="n"/>
      <c r="AS121" s="839" t="n"/>
      <c r="AT121" s="842" t="n"/>
      <c r="AU121" s="838" t="n"/>
      <c r="AV121" s="840" t="n"/>
      <c r="AW121" s="843" t="n"/>
      <c r="AX121" s="844" t="n"/>
      <c r="AY121" s="845" t="n"/>
      <c r="AZ121" s="845" t="n"/>
      <c r="BA121" s="845" t="n"/>
      <c r="BB121" s="846" t="n"/>
      <c r="BC121" s="847" t="n"/>
      <c r="BD121" s="846" t="n"/>
      <c r="BE121" s="847" t="n"/>
      <c r="BF121" s="836" t="n"/>
    </row>
    <row r="122">
      <c r="A122" s="819" t="n"/>
      <c r="B122" s="820" t="n"/>
      <c r="C122" s="821">
        <f>SUM(Z122:AC122)</f>
        <v/>
      </c>
      <c r="D122" s="821">
        <f>SUM(AD122:AK122)</f>
        <v/>
      </c>
      <c r="E122" s="822">
        <f>SUM(AL122:AT122)</f>
        <v/>
      </c>
      <c r="F122" s="822">
        <f>SUM(AU122:AW122)</f>
        <v/>
      </c>
      <c r="G122" s="822">
        <f>SUM(AX122:BB122)</f>
        <v/>
      </c>
      <c r="H122" s="822">
        <f>SUM(BC122:BD122)</f>
        <v/>
      </c>
      <c r="I122" s="822">
        <f>SUM(V122:Y122)</f>
        <v/>
      </c>
      <c r="J122" s="823">
        <f>SUM(C122:I122)</f>
        <v/>
      </c>
      <c r="K122" s="824" t="n"/>
      <c r="L122" s="825" t="n"/>
      <c r="M122" s="826" t="n"/>
      <c r="N122" s="827" t="n"/>
      <c r="O122" s="828" t="n"/>
      <c r="P122" s="827" t="n"/>
      <c r="Q122" s="827" t="n"/>
      <c r="R122" s="829">
        <f>R121+SUM(N122:Q122)-SUM(J122:M122)</f>
        <v/>
      </c>
      <c r="S122" s="830" t="n"/>
      <c r="T122" s="831" t="n"/>
      <c r="U122" s="832" t="n"/>
      <c r="V122" s="833" t="n"/>
      <c r="W122" s="821" t="n"/>
      <c r="X122" s="821" t="n"/>
      <c r="Y122" s="821" t="n"/>
      <c r="Z122" s="821" t="n"/>
      <c r="AA122" s="834" t="n"/>
      <c r="AB122" s="835" t="n"/>
      <c r="AC122" s="836" t="n"/>
      <c r="AD122" s="837" t="n"/>
      <c r="AE122" s="838" t="n"/>
      <c r="AF122" s="839" t="n"/>
      <c r="AG122" s="839" t="n"/>
      <c r="AH122" s="839" t="n"/>
      <c r="AI122" s="839" t="n"/>
      <c r="AJ122" s="839" t="n"/>
      <c r="AK122" s="840" t="n"/>
      <c r="AL122" s="841" t="n"/>
      <c r="AM122" s="839" t="n"/>
      <c r="AN122" s="839" t="n"/>
      <c r="AO122" s="839" t="n"/>
      <c r="AP122" s="839" t="n"/>
      <c r="AQ122" s="839" t="n"/>
      <c r="AR122" s="839" t="n"/>
      <c r="AS122" s="839" t="n"/>
      <c r="AT122" s="842" t="n"/>
      <c r="AU122" s="838" t="n"/>
      <c r="AV122" s="840" t="n"/>
      <c r="AW122" s="843" t="n"/>
      <c r="AX122" s="844" t="n"/>
      <c r="AY122" s="845" t="n"/>
      <c r="AZ122" s="845" t="n"/>
      <c r="BA122" s="845" t="n"/>
      <c r="BB122" s="846" t="n"/>
      <c r="BC122" s="847" t="n"/>
      <c r="BD122" s="846" t="n"/>
      <c r="BE122" s="847" t="n"/>
      <c r="BF122" s="836" t="n"/>
    </row>
    <row r="123">
      <c r="A123" s="819" t="n"/>
      <c r="B123" s="820" t="n"/>
      <c r="C123" s="821">
        <f>SUM(Z123:AC123)</f>
        <v/>
      </c>
      <c r="D123" s="821">
        <f>SUM(AD123:AK123)</f>
        <v/>
      </c>
      <c r="E123" s="822">
        <f>SUM(AL123:AT123)</f>
        <v/>
      </c>
      <c r="F123" s="822">
        <f>SUM(AU123:AW123)</f>
        <v/>
      </c>
      <c r="G123" s="822">
        <f>SUM(AX123:BB123)</f>
        <v/>
      </c>
      <c r="H123" s="822">
        <f>SUM(BC123:BD123)</f>
        <v/>
      </c>
      <c r="I123" s="822">
        <f>SUM(V123:Y123)</f>
        <v/>
      </c>
      <c r="J123" s="823">
        <f>SUM(C123:I123)</f>
        <v/>
      </c>
      <c r="K123" s="824" t="n"/>
      <c r="L123" s="825" t="n"/>
      <c r="M123" s="826" t="n"/>
      <c r="N123" s="827" t="n"/>
      <c r="O123" s="828" t="n"/>
      <c r="P123" s="827" t="n"/>
      <c r="Q123" s="827" t="n"/>
      <c r="R123" s="829">
        <f>R122+SUM(N123:Q123)-SUM(J123:M123)</f>
        <v/>
      </c>
      <c r="S123" s="830" t="n"/>
      <c r="T123" s="831" t="n"/>
      <c r="U123" s="832" t="n"/>
      <c r="V123" s="833" t="n"/>
      <c r="W123" s="821" t="n"/>
      <c r="X123" s="821" t="n"/>
      <c r="Y123" s="821" t="n"/>
      <c r="Z123" s="821" t="n"/>
      <c r="AA123" s="834" t="n"/>
      <c r="AB123" s="835" t="n"/>
      <c r="AC123" s="836" t="n"/>
      <c r="AD123" s="837" t="n"/>
      <c r="AE123" s="838" t="n"/>
      <c r="AF123" s="839" t="n"/>
      <c r="AG123" s="839" t="n"/>
      <c r="AH123" s="839" t="n"/>
      <c r="AI123" s="839" t="n"/>
      <c r="AJ123" s="839" t="n"/>
      <c r="AK123" s="840" t="n"/>
      <c r="AL123" s="841" t="n"/>
      <c r="AM123" s="839" t="n"/>
      <c r="AN123" s="839" t="n"/>
      <c r="AO123" s="839" t="n"/>
      <c r="AP123" s="839" t="n"/>
      <c r="AQ123" s="839" t="n"/>
      <c r="AR123" s="839" t="n"/>
      <c r="AS123" s="839" t="n"/>
      <c r="AT123" s="842" t="n"/>
      <c r="AU123" s="838" t="n"/>
      <c r="AV123" s="840" t="n"/>
      <c r="AW123" s="843" t="n"/>
      <c r="AX123" s="844" t="n"/>
      <c r="AY123" s="845" t="n"/>
      <c r="AZ123" s="845" t="n"/>
      <c r="BA123" s="845" t="n"/>
      <c r="BB123" s="846" t="n"/>
      <c r="BC123" s="847" t="n"/>
      <c r="BD123" s="846" t="n"/>
      <c r="BE123" s="847" t="n"/>
      <c r="BF123" s="836" t="n"/>
    </row>
    <row r="124">
      <c r="A124" s="819" t="n"/>
      <c r="B124" s="820" t="n"/>
      <c r="C124" s="821">
        <f>SUM(Z124:AC124)</f>
        <v/>
      </c>
      <c r="D124" s="821">
        <f>SUM(AD124:AK124)</f>
        <v/>
      </c>
      <c r="E124" s="822">
        <f>SUM(AL124:AT124)</f>
        <v/>
      </c>
      <c r="F124" s="822">
        <f>SUM(AU124:AW124)</f>
        <v/>
      </c>
      <c r="G124" s="822">
        <f>SUM(AX124:BB124)</f>
        <v/>
      </c>
      <c r="H124" s="822">
        <f>SUM(BC124:BD124)</f>
        <v/>
      </c>
      <c r="I124" s="822">
        <f>SUM(V124:Y124)</f>
        <v/>
      </c>
      <c r="J124" s="823">
        <f>SUM(C124:I124)</f>
        <v/>
      </c>
      <c r="K124" s="824" t="n"/>
      <c r="L124" s="825" t="n"/>
      <c r="M124" s="826" t="n"/>
      <c r="N124" s="827" t="n"/>
      <c r="O124" s="828" t="n"/>
      <c r="P124" s="827" t="n"/>
      <c r="Q124" s="827" t="n"/>
      <c r="R124" s="829">
        <f>R123+SUM(N124:Q124)-SUM(J124:M124)</f>
        <v/>
      </c>
      <c r="S124" s="830" t="n"/>
      <c r="T124" s="831" t="n"/>
      <c r="U124" s="832" t="n"/>
      <c r="V124" s="833" t="n"/>
      <c r="W124" s="821" t="n"/>
      <c r="X124" s="821" t="n"/>
      <c r="Y124" s="821" t="n"/>
      <c r="Z124" s="821" t="n"/>
      <c r="AA124" s="834" t="n"/>
      <c r="AB124" s="835" t="n"/>
      <c r="AC124" s="836" t="n"/>
      <c r="AD124" s="837" t="n"/>
      <c r="AE124" s="838" t="n"/>
      <c r="AF124" s="839" t="n"/>
      <c r="AG124" s="839" t="n"/>
      <c r="AH124" s="839" t="n"/>
      <c r="AI124" s="839" t="n"/>
      <c r="AJ124" s="839" t="n"/>
      <c r="AK124" s="840" t="n"/>
      <c r="AL124" s="841" t="n"/>
      <c r="AM124" s="839" t="n"/>
      <c r="AN124" s="839" t="n"/>
      <c r="AO124" s="839" t="n"/>
      <c r="AP124" s="839" t="n"/>
      <c r="AQ124" s="839" t="n"/>
      <c r="AR124" s="839" t="n"/>
      <c r="AS124" s="839" t="n"/>
      <c r="AT124" s="842" t="n"/>
      <c r="AU124" s="838" t="n"/>
      <c r="AV124" s="840" t="n"/>
      <c r="AW124" s="843" t="n"/>
      <c r="AX124" s="844" t="n"/>
      <c r="AY124" s="845" t="n"/>
      <c r="AZ124" s="845" t="n"/>
      <c r="BA124" s="845" t="n"/>
      <c r="BB124" s="846" t="n"/>
      <c r="BC124" s="847" t="n"/>
      <c r="BD124" s="846" t="n"/>
      <c r="BE124" s="847" t="n"/>
      <c r="BF124" s="836" t="n"/>
    </row>
    <row r="125">
      <c r="A125" s="819" t="n"/>
      <c r="B125" s="820" t="n"/>
      <c r="C125" s="821">
        <f>SUM(Z125:AC125)</f>
        <v/>
      </c>
      <c r="D125" s="821">
        <f>SUM(AD125:AK125)</f>
        <v/>
      </c>
      <c r="E125" s="822">
        <f>SUM(AL125:AT125)</f>
        <v/>
      </c>
      <c r="F125" s="822">
        <f>SUM(AU125:AW125)</f>
        <v/>
      </c>
      <c r="G125" s="822">
        <f>SUM(AX125:BB125)</f>
        <v/>
      </c>
      <c r="H125" s="822">
        <f>SUM(BC125:BD125)</f>
        <v/>
      </c>
      <c r="I125" s="822">
        <f>SUM(V125:Y125)</f>
        <v/>
      </c>
      <c r="J125" s="823">
        <f>SUM(C125:I125)</f>
        <v/>
      </c>
      <c r="K125" s="824" t="n"/>
      <c r="L125" s="825" t="n"/>
      <c r="M125" s="826" t="n"/>
      <c r="N125" s="827" t="n"/>
      <c r="O125" s="828" t="n"/>
      <c r="P125" s="827" t="n"/>
      <c r="Q125" s="827" t="n"/>
      <c r="R125" s="829">
        <f>R124+SUM(N125:Q125)-SUM(J125:M125)</f>
        <v/>
      </c>
      <c r="S125" s="830" t="n"/>
      <c r="T125" s="831" t="n"/>
      <c r="U125" s="832" t="n"/>
      <c r="V125" s="833" t="n"/>
      <c r="W125" s="821" t="n"/>
      <c r="X125" s="821" t="n"/>
      <c r="Y125" s="821" t="n"/>
      <c r="Z125" s="821" t="n"/>
      <c r="AA125" s="834" t="n"/>
      <c r="AB125" s="835" t="n"/>
      <c r="AC125" s="836" t="n"/>
      <c r="AD125" s="837" t="n"/>
      <c r="AE125" s="838" t="n"/>
      <c r="AF125" s="839" t="n"/>
      <c r="AG125" s="839" t="n"/>
      <c r="AH125" s="839" t="n"/>
      <c r="AI125" s="839" t="n"/>
      <c r="AJ125" s="839" t="n"/>
      <c r="AK125" s="840" t="n"/>
      <c r="AL125" s="841" t="n"/>
      <c r="AM125" s="839" t="n"/>
      <c r="AN125" s="839" t="n"/>
      <c r="AO125" s="839" t="n"/>
      <c r="AP125" s="839" t="n"/>
      <c r="AQ125" s="839" t="n"/>
      <c r="AR125" s="839" t="n"/>
      <c r="AS125" s="839" t="n"/>
      <c r="AT125" s="842" t="n"/>
      <c r="AU125" s="838" t="n"/>
      <c r="AV125" s="840" t="n"/>
      <c r="AW125" s="843" t="n"/>
      <c r="AX125" s="844" t="n"/>
      <c r="AY125" s="845" t="n"/>
      <c r="AZ125" s="845" t="n"/>
      <c r="BA125" s="845" t="n"/>
      <c r="BB125" s="846" t="n"/>
      <c r="BC125" s="847" t="n"/>
      <c r="BD125" s="846" t="n"/>
      <c r="BE125" s="847" t="n"/>
      <c r="BF125" s="836" t="n"/>
    </row>
    <row r="126">
      <c r="A126" s="819" t="n"/>
      <c r="B126" s="820" t="n"/>
      <c r="C126" s="821">
        <f>SUM(Z126:AC126)</f>
        <v/>
      </c>
      <c r="D126" s="821">
        <f>SUM(AD126:AK126)</f>
        <v/>
      </c>
      <c r="E126" s="822">
        <f>SUM(AL126:AT126)</f>
        <v/>
      </c>
      <c r="F126" s="822">
        <f>SUM(AU126:AW126)</f>
        <v/>
      </c>
      <c r="G126" s="822">
        <f>SUM(AX126:BB126)</f>
        <v/>
      </c>
      <c r="H126" s="822">
        <f>SUM(BC126:BD126)</f>
        <v/>
      </c>
      <c r="I126" s="822">
        <f>SUM(V126:Y126)</f>
        <v/>
      </c>
      <c r="J126" s="823">
        <f>SUM(C126:I126)</f>
        <v/>
      </c>
      <c r="K126" s="824" t="n"/>
      <c r="L126" s="825" t="n"/>
      <c r="M126" s="826" t="n"/>
      <c r="N126" s="827" t="n"/>
      <c r="O126" s="828" t="n"/>
      <c r="P126" s="827" t="n"/>
      <c r="Q126" s="827" t="n"/>
      <c r="R126" s="829">
        <f>R125+SUM(N126:Q126)-SUM(J126:M126)</f>
        <v/>
      </c>
      <c r="S126" s="830" t="n"/>
      <c r="T126" s="831" t="n"/>
      <c r="U126" s="832" t="n"/>
      <c r="V126" s="833" t="n"/>
      <c r="W126" s="821" t="n"/>
      <c r="X126" s="821" t="n"/>
      <c r="Y126" s="821" t="n"/>
      <c r="Z126" s="821" t="n"/>
      <c r="AA126" s="834" t="n"/>
      <c r="AB126" s="835" t="n"/>
      <c r="AC126" s="836" t="n"/>
      <c r="AD126" s="837" t="n"/>
      <c r="AE126" s="838" t="n"/>
      <c r="AF126" s="839" t="n"/>
      <c r="AG126" s="839" t="n"/>
      <c r="AH126" s="839" t="n"/>
      <c r="AI126" s="839" t="n"/>
      <c r="AJ126" s="839" t="n"/>
      <c r="AK126" s="840" t="n"/>
      <c r="AL126" s="841" t="n"/>
      <c r="AM126" s="839" t="n"/>
      <c r="AN126" s="839" t="n"/>
      <c r="AO126" s="839" t="n"/>
      <c r="AP126" s="839" t="n"/>
      <c r="AQ126" s="839" t="n"/>
      <c r="AR126" s="839" t="n"/>
      <c r="AS126" s="839" t="n"/>
      <c r="AT126" s="842" t="n"/>
      <c r="AU126" s="838" t="n"/>
      <c r="AV126" s="840" t="n"/>
      <c r="AW126" s="843" t="n"/>
      <c r="AX126" s="844" t="n"/>
      <c r="AY126" s="845" t="n"/>
      <c r="AZ126" s="845" t="n"/>
      <c r="BA126" s="845" t="n"/>
      <c r="BB126" s="846" t="n"/>
      <c r="BC126" s="847" t="n"/>
      <c r="BD126" s="846" t="n"/>
      <c r="BE126" s="847" t="n"/>
      <c r="BF126" s="836" t="n"/>
    </row>
    <row r="127">
      <c r="A127" s="819" t="n"/>
      <c r="B127" s="820" t="n"/>
      <c r="C127" s="821">
        <f>SUM(Z127:AC127)</f>
        <v/>
      </c>
      <c r="D127" s="821">
        <f>SUM(AD127:AK127)</f>
        <v/>
      </c>
      <c r="E127" s="822">
        <f>SUM(AL127:AT127)</f>
        <v/>
      </c>
      <c r="F127" s="822">
        <f>SUM(AU127:AW127)</f>
        <v/>
      </c>
      <c r="G127" s="822">
        <f>SUM(AX127:BB127)</f>
        <v/>
      </c>
      <c r="H127" s="822">
        <f>SUM(BC127:BD127)</f>
        <v/>
      </c>
      <c r="I127" s="822">
        <f>SUM(V127:Y127)</f>
        <v/>
      </c>
      <c r="J127" s="823">
        <f>SUM(C127:I127)</f>
        <v/>
      </c>
      <c r="K127" s="824" t="n"/>
      <c r="L127" s="825" t="n"/>
      <c r="M127" s="826" t="n"/>
      <c r="N127" s="827" t="n"/>
      <c r="O127" s="828" t="n"/>
      <c r="P127" s="827" t="n"/>
      <c r="Q127" s="827" t="n"/>
      <c r="R127" s="829">
        <f>R126+SUM(N127:Q127)-SUM(J127:M127)</f>
        <v/>
      </c>
      <c r="S127" s="830" t="n"/>
      <c r="T127" s="831" t="n"/>
      <c r="U127" s="832" t="n"/>
      <c r="V127" s="833" t="n"/>
      <c r="W127" s="821" t="n"/>
      <c r="X127" s="821" t="n"/>
      <c r="Y127" s="821" t="n"/>
      <c r="Z127" s="821" t="n"/>
      <c r="AA127" s="834" t="n"/>
      <c r="AB127" s="835" t="n"/>
      <c r="AC127" s="836" t="n"/>
      <c r="AD127" s="837" t="n"/>
      <c r="AE127" s="838" t="n"/>
      <c r="AF127" s="839" t="n"/>
      <c r="AG127" s="839" t="n"/>
      <c r="AH127" s="839" t="n"/>
      <c r="AI127" s="839" t="n"/>
      <c r="AJ127" s="839" t="n"/>
      <c r="AK127" s="840" t="n"/>
      <c r="AL127" s="841" t="n"/>
      <c r="AM127" s="839" t="n"/>
      <c r="AN127" s="839" t="n"/>
      <c r="AO127" s="839" t="n"/>
      <c r="AP127" s="839" t="n"/>
      <c r="AQ127" s="839" t="n"/>
      <c r="AR127" s="839" t="n"/>
      <c r="AS127" s="839" t="n"/>
      <c r="AT127" s="842" t="n"/>
      <c r="AU127" s="838" t="n"/>
      <c r="AV127" s="840" t="n"/>
      <c r="AW127" s="843" t="n"/>
      <c r="AX127" s="844" t="n"/>
      <c r="AY127" s="845" t="n"/>
      <c r="AZ127" s="845" t="n"/>
      <c r="BA127" s="845" t="n"/>
      <c r="BB127" s="846" t="n"/>
      <c r="BC127" s="847" t="n"/>
      <c r="BD127" s="846" t="n"/>
      <c r="BE127" s="847" t="n"/>
      <c r="BF127" s="836" t="n"/>
    </row>
    <row r="128">
      <c r="A128" s="819" t="n"/>
      <c r="B128" s="820" t="n"/>
      <c r="C128" s="821">
        <f>SUM(Z128:AC128)</f>
        <v/>
      </c>
      <c r="D128" s="821">
        <f>SUM(AD128:AK128)</f>
        <v/>
      </c>
      <c r="E128" s="822">
        <f>SUM(AL128:AT128)</f>
        <v/>
      </c>
      <c r="F128" s="822">
        <f>SUM(AU128:AW128)</f>
        <v/>
      </c>
      <c r="G128" s="822">
        <f>SUM(AX128:BB128)</f>
        <v/>
      </c>
      <c r="H128" s="822">
        <f>SUM(BC128:BD128)</f>
        <v/>
      </c>
      <c r="I128" s="822">
        <f>SUM(V128:Y128)</f>
        <v/>
      </c>
      <c r="J128" s="823">
        <f>SUM(C128:I128)</f>
        <v/>
      </c>
      <c r="K128" s="824" t="n"/>
      <c r="L128" s="825" t="n"/>
      <c r="M128" s="826" t="n"/>
      <c r="N128" s="827" t="n"/>
      <c r="O128" s="828" t="n"/>
      <c r="P128" s="827" t="n"/>
      <c r="Q128" s="827" t="n"/>
      <c r="R128" s="829">
        <f>R127+SUM(N128:Q128)-SUM(J128:M128)</f>
        <v/>
      </c>
      <c r="S128" s="830" t="n"/>
      <c r="T128" s="831" t="n"/>
      <c r="U128" s="832" t="n"/>
      <c r="V128" s="833" t="n"/>
      <c r="W128" s="821" t="n"/>
      <c r="X128" s="821" t="n"/>
      <c r="Y128" s="821" t="n"/>
      <c r="Z128" s="821" t="n"/>
      <c r="AA128" s="834" t="n"/>
      <c r="AB128" s="835" t="n"/>
      <c r="AC128" s="836" t="n"/>
      <c r="AD128" s="837" t="n"/>
      <c r="AE128" s="838" t="n"/>
      <c r="AF128" s="839" t="n"/>
      <c r="AG128" s="839" t="n"/>
      <c r="AH128" s="839" t="n"/>
      <c r="AI128" s="839" t="n"/>
      <c r="AJ128" s="839" t="n"/>
      <c r="AK128" s="840" t="n"/>
      <c r="AL128" s="841" t="n"/>
      <c r="AM128" s="839" t="n"/>
      <c r="AN128" s="839" t="n"/>
      <c r="AO128" s="839" t="n"/>
      <c r="AP128" s="839" t="n"/>
      <c r="AQ128" s="839" t="n"/>
      <c r="AR128" s="839" t="n"/>
      <c r="AS128" s="839" t="n"/>
      <c r="AT128" s="842" t="n"/>
      <c r="AU128" s="838" t="n"/>
      <c r="AV128" s="840" t="n"/>
      <c r="AW128" s="843" t="n"/>
      <c r="AX128" s="844" t="n"/>
      <c r="AY128" s="845" t="n"/>
      <c r="AZ128" s="845" t="n"/>
      <c r="BA128" s="845" t="n"/>
      <c r="BB128" s="846" t="n"/>
      <c r="BC128" s="847" t="n"/>
      <c r="BD128" s="846" t="n"/>
      <c r="BE128" s="847" t="n"/>
      <c r="BF128" s="836" t="n"/>
    </row>
    <row r="129">
      <c r="A129" s="819" t="n"/>
      <c r="B129" s="820" t="n"/>
      <c r="C129" s="821">
        <f>SUM(Z129:AC129)</f>
        <v/>
      </c>
      <c r="D129" s="821">
        <f>SUM(AD129:AK129)</f>
        <v/>
      </c>
      <c r="E129" s="822">
        <f>SUM(AL129:AT129)</f>
        <v/>
      </c>
      <c r="F129" s="822">
        <f>SUM(AU129:AW129)</f>
        <v/>
      </c>
      <c r="G129" s="822">
        <f>SUM(AX129:BB129)</f>
        <v/>
      </c>
      <c r="H129" s="822">
        <f>SUM(BC129:BD129)</f>
        <v/>
      </c>
      <c r="I129" s="822">
        <f>SUM(V129:Y129)</f>
        <v/>
      </c>
      <c r="J129" s="823">
        <f>SUM(C129:I129)</f>
        <v/>
      </c>
      <c r="K129" s="824" t="n"/>
      <c r="L129" s="825" t="n"/>
      <c r="M129" s="826" t="n"/>
      <c r="N129" s="827" t="n"/>
      <c r="O129" s="828" t="n"/>
      <c r="P129" s="827" t="n"/>
      <c r="Q129" s="827" t="n"/>
      <c r="R129" s="829">
        <f>R128+SUM(N129:Q129)-SUM(J129:M129)</f>
        <v/>
      </c>
      <c r="S129" s="830" t="n"/>
      <c r="T129" s="831" t="n"/>
      <c r="U129" s="832" t="n"/>
      <c r="V129" s="833" t="n"/>
      <c r="W129" s="821" t="n"/>
      <c r="X129" s="821" t="n"/>
      <c r="Y129" s="821" t="n"/>
      <c r="Z129" s="821" t="n"/>
      <c r="AA129" s="834" t="n"/>
      <c r="AB129" s="835" t="n"/>
      <c r="AC129" s="836" t="n"/>
      <c r="AD129" s="837" t="n"/>
      <c r="AE129" s="838" t="n"/>
      <c r="AF129" s="839" t="n"/>
      <c r="AG129" s="839" t="n"/>
      <c r="AH129" s="839" t="n"/>
      <c r="AI129" s="839" t="n"/>
      <c r="AJ129" s="839" t="n"/>
      <c r="AK129" s="840" t="n"/>
      <c r="AL129" s="841" t="n"/>
      <c r="AM129" s="839" t="n"/>
      <c r="AN129" s="839" t="n"/>
      <c r="AO129" s="839" t="n"/>
      <c r="AP129" s="839" t="n"/>
      <c r="AQ129" s="839" t="n"/>
      <c r="AR129" s="839" t="n"/>
      <c r="AS129" s="839" t="n"/>
      <c r="AT129" s="842" t="n"/>
      <c r="AU129" s="838" t="n"/>
      <c r="AV129" s="840" t="n"/>
      <c r="AW129" s="843" t="n"/>
      <c r="AX129" s="844" t="n"/>
      <c r="AY129" s="845" t="n"/>
      <c r="AZ129" s="845" t="n"/>
      <c r="BA129" s="845" t="n"/>
      <c r="BB129" s="846" t="n"/>
      <c r="BC129" s="847" t="n"/>
      <c r="BD129" s="846" t="n"/>
      <c r="BE129" s="847" t="n"/>
      <c r="BF129" s="836" t="n"/>
    </row>
    <row r="130">
      <c r="A130" s="819" t="n"/>
      <c r="B130" s="820" t="n"/>
      <c r="C130" s="821">
        <f>SUM(Z130:AC130)</f>
        <v/>
      </c>
      <c r="D130" s="821">
        <f>SUM(AD130:AK130)</f>
        <v/>
      </c>
      <c r="E130" s="822">
        <f>SUM(AL130:AT130)</f>
        <v/>
      </c>
      <c r="F130" s="822">
        <f>SUM(AU130:AW130)</f>
        <v/>
      </c>
      <c r="G130" s="822">
        <f>SUM(AX130:BB130)</f>
        <v/>
      </c>
      <c r="H130" s="822">
        <f>SUM(BC130:BD130)</f>
        <v/>
      </c>
      <c r="I130" s="822">
        <f>SUM(V130:Y130)</f>
        <v/>
      </c>
      <c r="J130" s="823">
        <f>SUM(C130:I130)</f>
        <v/>
      </c>
      <c r="K130" s="824" t="n"/>
      <c r="L130" s="825" t="n"/>
      <c r="M130" s="826" t="n"/>
      <c r="N130" s="827" t="n"/>
      <c r="O130" s="828" t="n"/>
      <c r="P130" s="827" t="n"/>
      <c r="Q130" s="827" t="n"/>
      <c r="R130" s="829">
        <f>R129+SUM(N130:Q130)-SUM(J130:M130)</f>
        <v/>
      </c>
      <c r="S130" s="830" t="n"/>
      <c r="T130" s="831" t="n"/>
      <c r="U130" s="832" t="n"/>
      <c r="V130" s="833" t="n"/>
      <c r="W130" s="821" t="n"/>
      <c r="X130" s="821" t="n"/>
      <c r="Y130" s="821" t="n"/>
      <c r="Z130" s="821" t="n"/>
      <c r="AA130" s="834" t="n"/>
      <c r="AB130" s="835" t="n"/>
      <c r="AC130" s="836" t="n"/>
      <c r="AD130" s="837" t="n"/>
      <c r="AE130" s="838" t="n"/>
      <c r="AF130" s="839" t="n"/>
      <c r="AG130" s="839" t="n"/>
      <c r="AH130" s="839" t="n"/>
      <c r="AI130" s="839" t="n"/>
      <c r="AJ130" s="839" t="n"/>
      <c r="AK130" s="840" t="n"/>
      <c r="AL130" s="841" t="n"/>
      <c r="AM130" s="839" t="n"/>
      <c r="AN130" s="839" t="n"/>
      <c r="AO130" s="839" t="n"/>
      <c r="AP130" s="839" t="n"/>
      <c r="AQ130" s="839" t="n"/>
      <c r="AR130" s="839" t="n"/>
      <c r="AS130" s="839" t="n"/>
      <c r="AT130" s="842" t="n"/>
      <c r="AU130" s="838" t="n"/>
      <c r="AV130" s="840" t="n"/>
      <c r="AW130" s="843" t="n"/>
      <c r="AX130" s="844" t="n"/>
      <c r="AY130" s="845" t="n"/>
      <c r="AZ130" s="845" t="n"/>
      <c r="BA130" s="845" t="n"/>
      <c r="BB130" s="846" t="n"/>
      <c r="BC130" s="847" t="n"/>
      <c r="BD130" s="846" t="n"/>
      <c r="BE130" s="847" t="n"/>
      <c r="BF130" s="836" t="n"/>
    </row>
    <row r="131">
      <c r="A131" s="819" t="n"/>
      <c r="B131" s="820" t="n"/>
      <c r="C131" s="821">
        <f>SUM(Z131:AC131)</f>
        <v/>
      </c>
      <c r="D131" s="821">
        <f>SUM(AD131:AK131)</f>
        <v/>
      </c>
      <c r="E131" s="822">
        <f>SUM(AL131:AT131)</f>
        <v/>
      </c>
      <c r="F131" s="822">
        <f>SUM(AU131:AW131)</f>
        <v/>
      </c>
      <c r="G131" s="822">
        <f>SUM(AX131:BB131)</f>
        <v/>
      </c>
      <c r="H131" s="822">
        <f>SUM(BC131:BD131)</f>
        <v/>
      </c>
      <c r="I131" s="822">
        <f>SUM(V131:Y131)</f>
        <v/>
      </c>
      <c r="J131" s="823">
        <f>SUM(C131:I131)</f>
        <v/>
      </c>
      <c r="K131" s="824" t="n"/>
      <c r="L131" s="825" t="n"/>
      <c r="M131" s="826" t="n"/>
      <c r="N131" s="827" t="n"/>
      <c r="O131" s="828" t="n"/>
      <c r="P131" s="827" t="n"/>
      <c r="Q131" s="827" t="n"/>
      <c r="R131" s="829">
        <f>R130+SUM(N131:Q131)-SUM(J131:M131)</f>
        <v/>
      </c>
      <c r="S131" s="830" t="n"/>
      <c r="T131" s="831" t="n"/>
      <c r="U131" s="832" t="n"/>
      <c r="V131" s="833" t="n"/>
      <c r="W131" s="821" t="n"/>
      <c r="X131" s="821" t="n"/>
      <c r="Y131" s="821" t="n"/>
      <c r="Z131" s="821" t="n"/>
      <c r="AA131" s="834" t="n"/>
      <c r="AB131" s="835" t="n"/>
      <c r="AC131" s="836" t="n"/>
      <c r="AD131" s="837" t="n"/>
      <c r="AE131" s="838" t="n"/>
      <c r="AF131" s="839" t="n"/>
      <c r="AG131" s="839" t="n"/>
      <c r="AH131" s="839" t="n"/>
      <c r="AI131" s="839" t="n"/>
      <c r="AJ131" s="839" t="n"/>
      <c r="AK131" s="840" t="n"/>
      <c r="AL131" s="841" t="n"/>
      <c r="AM131" s="839" t="n"/>
      <c r="AN131" s="839" t="n"/>
      <c r="AO131" s="839" t="n"/>
      <c r="AP131" s="839" t="n"/>
      <c r="AQ131" s="839" t="n"/>
      <c r="AR131" s="839" t="n"/>
      <c r="AS131" s="839" t="n"/>
      <c r="AT131" s="842" t="n"/>
      <c r="AU131" s="838" t="n"/>
      <c r="AV131" s="840" t="n"/>
      <c r="AW131" s="843" t="n"/>
      <c r="AX131" s="844" t="n"/>
      <c r="AY131" s="845" t="n"/>
      <c r="AZ131" s="845" t="n"/>
      <c r="BA131" s="845" t="n"/>
      <c r="BB131" s="846" t="n"/>
      <c r="BC131" s="847" t="n"/>
      <c r="BD131" s="846" t="n"/>
      <c r="BE131" s="847" t="n"/>
      <c r="BF131" s="836" t="n"/>
    </row>
    <row r="132">
      <c r="A132" s="819" t="n"/>
      <c r="B132" s="820" t="n"/>
      <c r="C132" s="821">
        <f>SUM(Z132:AC132)</f>
        <v/>
      </c>
      <c r="D132" s="821">
        <f>SUM(AD132:AK132)</f>
        <v/>
      </c>
      <c r="E132" s="822">
        <f>SUM(AL132:AT132)</f>
        <v/>
      </c>
      <c r="F132" s="822">
        <f>SUM(AU132:AW132)</f>
        <v/>
      </c>
      <c r="G132" s="822">
        <f>SUM(AX132:BB132)</f>
        <v/>
      </c>
      <c r="H132" s="822">
        <f>SUM(BC132:BD132)</f>
        <v/>
      </c>
      <c r="I132" s="822">
        <f>SUM(V132:Y132)</f>
        <v/>
      </c>
      <c r="J132" s="823">
        <f>SUM(C132:I132)</f>
        <v/>
      </c>
      <c r="K132" s="824" t="n"/>
      <c r="L132" s="825" t="n"/>
      <c r="M132" s="826" t="n"/>
      <c r="N132" s="827" t="n"/>
      <c r="O132" s="828" t="n"/>
      <c r="P132" s="827" t="n"/>
      <c r="Q132" s="827" t="n"/>
      <c r="R132" s="829">
        <f>R131+SUM(N132:Q132)-SUM(J132:M132)</f>
        <v/>
      </c>
      <c r="S132" s="830" t="n"/>
      <c r="T132" s="831" t="n"/>
      <c r="U132" s="832" t="n"/>
      <c r="V132" s="833" t="n"/>
      <c r="W132" s="821" t="n"/>
      <c r="X132" s="821" t="n"/>
      <c r="Y132" s="821" t="n"/>
      <c r="Z132" s="821" t="n"/>
      <c r="AA132" s="834" t="n"/>
      <c r="AB132" s="835" t="n"/>
      <c r="AC132" s="836" t="n"/>
      <c r="AD132" s="837" t="n"/>
      <c r="AE132" s="838" t="n"/>
      <c r="AF132" s="839" t="n"/>
      <c r="AG132" s="839" t="n"/>
      <c r="AH132" s="839" t="n"/>
      <c r="AI132" s="839" t="n"/>
      <c r="AJ132" s="839" t="n"/>
      <c r="AK132" s="840" t="n"/>
      <c r="AL132" s="841" t="n"/>
      <c r="AM132" s="839" t="n"/>
      <c r="AN132" s="839" t="n"/>
      <c r="AO132" s="839" t="n"/>
      <c r="AP132" s="839" t="n"/>
      <c r="AQ132" s="839" t="n"/>
      <c r="AR132" s="839" t="n"/>
      <c r="AS132" s="839" t="n"/>
      <c r="AT132" s="842" t="n"/>
      <c r="AU132" s="838" t="n"/>
      <c r="AV132" s="840" t="n"/>
      <c r="AW132" s="843" t="n"/>
      <c r="AX132" s="844" t="n"/>
      <c r="AY132" s="845" t="n"/>
      <c r="AZ132" s="845" t="n"/>
      <c r="BA132" s="845" t="n"/>
      <c r="BB132" s="846" t="n"/>
      <c r="BC132" s="847" t="n"/>
      <c r="BD132" s="846" t="n"/>
      <c r="BE132" s="847" t="n"/>
      <c r="BF132" s="836" t="n"/>
    </row>
    <row r="133">
      <c r="A133" s="819" t="n"/>
      <c r="B133" s="820" t="n"/>
      <c r="C133" s="821">
        <f>SUM(Z133:AC133)</f>
        <v/>
      </c>
      <c r="D133" s="821">
        <f>SUM(AD133:AK133)</f>
        <v/>
      </c>
      <c r="E133" s="822">
        <f>SUM(AL133:AT133)</f>
        <v/>
      </c>
      <c r="F133" s="822">
        <f>SUM(AU133:AW133)</f>
        <v/>
      </c>
      <c r="G133" s="822">
        <f>SUM(AX133:BB133)</f>
        <v/>
      </c>
      <c r="H133" s="822">
        <f>SUM(BC133:BD133)</f>
        <v/>
      </c>
      <c r="I133" s="822">
        <f>SUM(V133:Y133)</f>
        <v/>
      </c>
      <c r="J133" s="823">
        <f>SUM(C133:I133)</f>
        <v/>
      </c>
      <c r="K133" s="824" t="n"/>
      <c r="L133" s="825" t="n"/>
      <c r="M133" s="826" t="n"/>
      <c r="N133" s="827" t="n"/>
      <c r="O133" s="828" t="n"/>
      <c r="P133" s="827" t="n"/>
      <c r="Q133" s="827" t="n"/>
      <c r="R133" s="829">
        <f>R132+SUM(N133:Q133)-SUM(J133:M133)</f>
        <v/>
      </c>
      <c r="S133" s="830" t="n"/>
      <c r="T133" s="831" t="n"/>
      <c r="U133" s="832" t="n"/>
      <c r="V133" s="833" t="n"/>
      <c r="W133" s="821" t="n"/>
      <c r="X133" s="821" t="n"/>
      <c r="Y133" s="821" t="n"/>
      <c r="Z133" s="821" t="n"/>
      <c r="AA133" s="834" t="n"/>
      <c r="AB133" s="835" t="n"/>
      <c r="AC133" s="836" t="n"/>
      <c r="AD133" s="837" t="n"/>
      <c r="AE133" s="838" t="n"/>
      <c r="AF133" s="839" t="n"/>
      <c r="AG133" s="839" t="n"/>
      <c r="AH133" s="839" t="n"/>
      <c r="AI133" s="839" t="n"/>
      <c r="AJ133" s="839" t="n"/>
      <c r="AK133" s="840" t="n"/>
      <c r="AL133" s="841" t="n"/>
      <c r="AM133" s="839" t="n"/>
      <c r="AN133" s="839" t="n"/>
      <c r="AO133" s="839" t="n"/>
      <c r="AP133" s="839" t="n"/>
      <c r="AQ133" s="839" t="n"/>
      <c r="AR133" s="839" t="n"/>
      <c r="AS133" s="839" t="n"/>
      <c r="AT133" s="842" t="n"/>
      <c r="AU133" s="838" t="n"/>
      <c r="AV133" s="840" t="n"/>
      <c r="AW133" s="843" t="n"/>
      <c r="AX133" s="844" t="n"/>
      <c r="AY133" s="845" t="n"/>
      <c r="AZ133" s="845" t="n"/>
      <c r="BA133" s="845" t="n"/>
      <c r="BB133" s="846" t="n"/>
      <c r="BC133" s="847" t="n"/>
      <c r="BD133" s="846" t="n"/>
      <c r="BE133" s="847" t="n"/>
      <c r="BF133" s="836" t="n"/>
    </row>
    <row r="134">
      <c r="A134" s="819" t="n"/>
      <c r="B134" s="820" t="n"/>
      <c r="C134" s="821">
        <f>SUM(Z134:AC134)</f>
        <v/>
      </c>
      <c r="D134" s="821">
        <f>SUM(AD134:AK134)</f>
        <v/>
      </c>
      <c r="E134" s="822">
        <f>SUM(AL134:AT134)</f>
        <v/>
      </c>
      <c r="F134" s="822">
        <f>SUM(AU134:AW134)</f>
        <v/>
      </c>
      <c r="G134" s="822">
        <f>SUM(AX134:BB134)</f>
        <v/>
      </c>
      <c r="H134" s="822">
        <f>SUM(BC134:BD134)</f>
        <v/>
      </c>
      <c r="I134" s="822">
        <f>SUM(V134:Y134)</f>
        <v/>
      </c>
      <c r="J134" s="823">
        <f>SUM(C134:I134)</f>
        <v/>
      </c>
      <c r="K134" s="824" t="n"/>
      <c r="L134" s="825" t="n"/>
      <c r="M134" s="826" t="n"/>
      <c r="N134" s="827" t="n"/>
      <c r="O134" s="828" t="n"/>
      <c r="P134" s="827" t="n"/>
      <c r="Q134" s="827" t="n"/>
      <c r="R134" s="829">
        <f>R133+SUM(N134:Q134)-SUM(J134:M134)</f>
        <v/>
      </c>
      <c r="S134" s="830" t="n"/>
      <c r="T134" s="831" t="n"/>
      <c r="U134" s="832" t="n"/>
      <c r="V134" s="833" t="n"/>
      <c r="W134" s="821" t="n"/>
      <c r="X134" s="821" t="n"/>
      <c r="Y134" s="821" t="n"/>
      <c r="Z134" s="821" t="n"/>
      <c r="AA134" s="834" t="n"/>
      <c r="AB134" s="835" t="n"/>
      <c r="AC134" s="836" t="n"/>
      <c r="AD134" s="837" t="n"/>
      <c r="AE134" s="838" t="n"/>
      <c r="AF134" s="839" t="n"/>
      <c r="AG134" s="839" t="n"/>
      <c r="AH134" s="839" t="n"/>
      <c r="AI134" s="839" t="n"/>
      <c r="AJ134" s="839" t="n"/>
      <c r="AK134" s="840" t="n"/>
      <c r="AL134" s="841" t="n"/>
      <c r="AM134" s="839" t="n"/>
      <c r="AN134" s="839" t="n"/>
      <c r="AO134" s="839" t="n"/>
      <c r="AP134" s="839" t="n"/>
      <c r="AQ134" s="839" t="n"/>
      <c r="AR134" s="839" t="n"/>
      <c r="AS134" s="839" t="n"/>
      <c r="AT134" s="842" t="n"/>
      <c r="AU134" s="838" t="n"/>
      <c r="AV134" s="840" t="n"/>
      <c r="AW134" s="843" t="n"/>
      <c r="AX134" s="844" t="n"/>
      <c r="AY134" s="845" t="n"/>
      <c r="AZ134" s="845" t="n"/>
      <c r="BA134" s="845" t="n"/>
      <c r="BB134" s="846" t="n"/>
      <c r="BC134" s="847" t="n"/>
      <c r="BD134" s="846" t="n"/>
      <c r="BE134" s="847" t="n"/>
      <c r="BF134" s="836" t="n"/>
    </row>
    <row r="135">
      <c r="A135" s="819" t="n"/>
      <c r="B135" s="820" t="n"/>
      <c r="C135" s="821">
        <f>SUM(Z135:AC135)</f>
        <v/>
      </c>
      <c r="D135" s="821">
        <f>SUM(AD135:AK135)</f>
        <v/>
      </c>
      <c r="E135" s="822">
        <f>SUM(AL135:AT135)</f>
        <v/>
      </c>
      <c r="F135" s="822">
        <f>SUM(AU135:AW135)</f>
        <v/>
      </c>
      <c r="G135" s="822">
        <f>SUM(AX135:BB135)</f>
        <v/>
      </c>
      <c r="H135" s="822">
        <f>SUM(BC135:BD135)</f>
        <v/>
      </c>
      <c r="I135" s="822">
        <f>SUM(V135:Y135)</f>
        <v/>
      </c>
      <c r="J135" s="823">
        <f>SUM(C135:I135)</f>
        <v/>
      </c>
      <c r="K135" s="824" t="n"/>
      <c r="L135" s="825" t="n"/>
      <c r="M135" s="826" t="n"/>
      <c r="N135" s="827" t="n"/>
      <c r="O135" s="828" t="n"/>
      <c r="P135" s="827" t="n"/>
      <c r="Q135" s="827" t="n"/>
      <c r="R135" s="829">
        <f>R134+SUM(N135:Q135)-SUM(J135:M135)</f>
        <v/>
      </c>
      <c r="S135" s="830" t="n"/>
      <c r="T135" s="831" t="n"/>
      <c r="U135" s="832" t="n"/>
      <c r="V135" s="833" t="n"/>
      <c r="W135" s="821" t="n"/>
      <c r="X135" s="821" t="n"/>
      <c r="Y135" s="821" t="n"/>
      <c r="Z135" s="821" t="n"/>
      <c r="AA135" s="834" t="n"/>
      <c r="AB135" s="835" t="n"/>
      <c r="AC135" s="836" t="n"/>
      <c r="AD135" s="837" t="n"/>
      <c r="AE135" s="838" t="n"/>
      <c r="AF135" s="839" t="n"/>
      <c r="AG135" s="839" t="n"/>
      <c r="AH135" s="839" t="n"/>
      <c r="AI135" s="839" t="n"/>
      <c r="AJ135" s="839" t="n"/>
      <c r="AK135" s="840" t="n"/>
      <c r="AL135" s="841" t="n"/>
      <c r="AM135" s="839" t="n"/>
      <c r="AN135" s="839" t="n"/>
      <c r="AO135" s="839" t="n"/>
      <c r="AP135" s="839" t="n"/>
      <c r="AQ135" s="839" t="n"/>
      <c r="AR135" s="839" t="n"/>
      <c r="AS135" s="839" t="n"/>
      <c r="AT135" s="842" t="n"/>
      <c r="AU135" s="838" t="n"/>
      <c r="AV135" s="840" t="n"/>
      <c r="AW135" s="843" t="n"/>
      <c r="AX135" s="844" t="n"/>
      <c r="AY135" s="845" t="n"/>
      <c r="AZ135" s="845" t="n"/>
      <c r="BA135" s="845" t="n"/>
      <c r="BB135" s="846" t="n"/>
      <c r="BC135" s="847" t="n"/>
      <c r="BD135" s="846" t="n"/>
      <c r="BE135" s="847" t="n"/>
      <c r="BF135" s="836" t="n"/>
    </row>
    <row r="136">
      <c r="A136" s="819" t="n"/>
      <c r="B136" s="820" t="n"/>
      <c r="C136" s="821">
        <f>SUM(Z136:AC136)</f>
        <v/>
      </c>
      <c r="D136" s="821">
        <f>SUM(AD136:AK136)</f>
        <v/>
      </c>
      <c r="E136" s="822">
        <f>SUM(AL136:AT136)</f>
        <v/>
      </c>
      <c r="F136" s="822">
        <f>SUM(AU136:AW136)</f>
        <v/>
      </c>
      <c r="G136" s="822">
        <f>SUM(AX136:BB136)</f>
        <v/>
      </c>
      <c r="H136" s="822">
        <f>SUM(BC136:BD136)</f>
        <v/>
      </c>
      <c r="I136" s="822">
        <f>SUM(V136:Y136)</f>
        <v/>
      </c>
      <c r="J136" s="823">
        <f>SUM(C136:I136)</f>
        <v/>
      </c>
      <c r="K136" s="824" t="n"/>
      <c r="L136" s="825" t="n"/>
      <c r="M136" s="826" t="n"/>
      <c r="N136" s="827" t="n"/>
      <c r="O136" s="828" t="n"/>
      <c r="P136" s="827" t="n"/>
      <c r="Q136" s="827" t="n"/>
      <c r="R136" s="829">
        <f>R135+SUM(N136:Q136)-SUM(J136:M136)</f>
        <v/>
      </c>
      <c r="S136" s="830" t="n"/>
      <c r="T136" s="831" t="n"/>
      <c r="U136" s="832" t="n"/>
      <c r="V136" s="833" t="n"/>
      <c r="W136" s="821" t="n"/>
      <c r="X136" s="821" t="n"/>
      <c r="Y136" s="821" t="n"/>
      <c r="Z136" s="821" t="n"/>
      <c r="AA136" s="834" t="n"/>
      <c r="AB136" s="835" t="n"/>
      <c r="AC136" s="836" t="n"/>
      <c r="AD136" s="837" t="n"/>
      <c r="AE136" s="838" t="n"/>
      <c r="AF136" s="839" t="n"/>
      <c r="AG136" s="839" t="n"/>
      <c r="AH136" s="839" t="n"/>
      <c r="AI136" s="839" t="n"/>
      <c r="AJ136" s="839" t="n"/>
      <c r="AK136" s="840" t="n"/>
      <c r="AL136" s="841" t="n"/>
      <c r="AM136" s="839" t="n"/>
      <c r="AN136" s="839" t="n"/>
      <c r="AO136" s="839" t="n"/>
      <c r="AP136" s="839" t="n"/>
      <c r="AQ136" s="839" t="n"/>
      <c r="AR136" s="839" t="n"/>
      <c r="AS136" s="839" t="n"/>
      <c r="AT136" s="842" t="n"/>
      <c r="AU136" s="838" t="n"/>
      <c r="AV136" s="840" t="n"/>
      <c r="AW136" s="843" t="n"/>
      <c r="AX136" s="844" t="n"/>
      <c r="AY136" s="845" t="n"/>
      <c r="AZ136" s="845" t="n"/>
      <c r="BA136" s="845" t="n"/>
      <c r="BB136" s="846" t="n"/>
      <c r="BC136" s="847" t="n"/>
      <c r="BD136" s="846" t="n"/>
      <c r="BE136" s="847" t="n"/>
      <c r="BF136" s="836" t="n"/>
    </row>
    <row r="137">
      <c r="A137" s="819" t="n"/>
      <c r="B137" s="820" t="n"/>
      <c r="C137" s="821">
        <f>SUM(Z137:AC137)</f>
        <v/>
      </c>
      <c r="D137" s="821">
        <f>SUM(AD137:AK137)</f>
        <v/>
      </c>
      <c r="E137" s="822">
        <f>SUM(AL137:AT137)</f>
        <v/>
      </c>
      <c r="F137" s="822">
        <f>SUM(AU137:AW137)</f>
        <v/>
      </c>
      <c r="G137" s="822">
        <f>SUM(AX137:BB137)</f>
        <v/>
      </c>
      <c r="H137" s="822">
        <f>SUM(BC137:BD137)</f>
        <v/>
      </c>
      <c r="I137" s="822">
        <f>SUM(V137:Y137)</f>
        <v/>
      </c>
      <c r="J137" s="823">
        <f>SUM(C137:I137)</f>
        <v/>
      </c>
      <c r="K137" s="824" t="n"/>
      <c r="L137" s="825" t="n"/>
      <c r="M137" s="826" t="n"/>
      <c r="N137" s="827" t="n"/>
      <c r="O137" s="828" t="n"/>
      <c r="P137" s="827" t="n"/>
      <c r="Q137" s="827" t="n"/>
      <c r="R137" s="829">
        <f>R136+SUM(N137:Q137)-SUM(J137:M137)</f>
        <v/>
      </c>
      <c r="S137" s="830" t="n"/>
      <c r="T137" s="831" t="n"/>
      <c r="U137" s="832" t="n"/>
      <c r="V137" s="833" t="n"/>
      <c r="W137" s="821" t="n"/>
      <c r="X137" s="821" t="n"/>
      <c r="Y137" s="821" t="n"/>
      <c r="Z137" s="821" t="n"/>
      <c r="AA137" s="834" t="n"/>
      <c r="AB137" s="835" t="n"/>
      <c r="AC137" s="836" t="n"/>
      <c r="AD137" s="837" t="n"/>
      <c r="AE137" s="838" t="n"/>
      <c r="AF137" s="839" t="n"/>
      <c r="AG137" s="839" t="n"/>
      <c r="AH137" s="839" t="n"/>
      <c r="AI137" s="839" t="n"/>
      <c r="AJ137" s="839" t="n"/>
      <c r="AK137" s="840" t="n"/>
      <c r="AL137" s="841" t="n"/>
      <c r="AM137" s="839" t="n"/>
      <c r="AN137" s="839" t="n"/>
      <c r="AO137" s="839" t="n"/>
      <c r="AP137" s="839" t="n"/>
      <c r="AQ137" s="839" t="n"/>
      <c r="AR137" s="839" t="n"/>
      <c r="AS137" s="839" t="n"/>
      <c r="AT137" s="842" t="n"/>
      <c r="AU137" s="838" t="n"/>
      <c r="AV137" s="840" t="n"/>
      <c r="AW137" s="843" t="n"/>
      <c r="AX137" s="844" t="n"/>
      <c r="AY137" s="845" t="n"/>
      <c r="AZ137" s="845" t="n"/>
      <c r="BA137" s="845" t="n"/>
      <c r="BB137" s="846" t="n"/>
      <c r="BC137" s="847" t="n"/>
      <c r="BD137" s="846" t="n"/>
      <c r="BE137" s="847" t="n"/>
      <c r="BF137" s="836" t="n"/>
    </row>
    <row r="138">
      <c r="A138" s="819" t="n"/>
      <c r="B138" s="820" t="n"/>
      <c r="C138" s="821">
        <f>SUM(Z138:AC138)</f>
        <v/>
      </c>
      <c r="D138" s="821">
        <f>SUM(AD138:AK138)</f>
        <v/>
      </c>
      <c r="E138" s="822">
        <f>SUM(AL138:AT138)</f>
        <v/>
      </c>
      <c r="F138" s="822">
        <f>SUM(AU138:AW138)</f>
        <v/>
      </c>
      <c r="G138" s="822">
        <f>SUM(AX138:BB138)</f>
        <v/>
      </c>
      <c r="H138" s="822">
        <f>SUM(BC138:BD138)</f>
        <v/>
      </c>
      <c r="I138" s="822">
        <f>SUM(V138:Y138)</f>
        <v/>
      </c>
      <c r="J138" s="823">
        <f>SUM(C138:I138)</f>
        <v/>
      </c>
      <c r="K138" s="824" t="n"/>
      <c r="L138" s="825" t="n"/>
      <c r="M138" s="826" t="n"/>
      <c r="N138" s="827" t="n"/>
      <c r="O138" s="828" t="n"/>
      <c r="P138" s="827" t="n"/>
      <c r="Q138" s="827" t="n"/>
      <c r="R138" s="829">
        <f>R137+SUM(N138:Q138)-SUM(J138:M138)</f>
        <v/>
      </c>
      <c r="S138" s="830" t="n"/>
      <c r="T138" s="831" t="n"/>
      <c r="U138" s="832" t="n"/>
      <c r="V138" s="833" t="n"/>
      <c r="W138" s="821" t="n"/>
      <c r="X138" s="821" t="n"/>
      <c r="Y138" s="821" t="n"/>
      <c r="Z138" s="821" t="n"/>
      <c r="AA138" s="834" t="n"/>
      <c r="AB138" s="835" t="n"/>
      <c r="AC138" s="836" t="n"/>
      <c r="AD138" s="837" t="n"/>
      <c r="AE138" s="838" t="n"/>
      <c r="AF138" s="839" t="n"/>
      <c r="AG138" s="839" t="n"/>
      <c r="AH138" s="839" t="n"/>
      <c r="AI138" s="839" t="n"/>
      <c r="AJ138" s="839" t="n"/>
      <c r="AK138" s="840" t="n"/>
      <c r="AL138" s="841" t="n"/>
      <c r="AM138" s="839" t="n"/>
      <c r="AN138" s="839" t="n"/>
      <c r="AO138" s="839" t="n"/>
      <c r="AP138" s="839" t="n"/>
      <c r="AQ138" s="839" t="n"/>
      <c r="AR138" s="839" t="n"/>
      <c r="AS138" s="839" t="n"/>
      <c r="AT138" s="842" t="n"/>
      <c r="AU138" s="838" t="n"/>
      <c r="AV138" s="840" t="n"/>
      <c r="AW138" s="843" t="n"/>
      <c r="AX138" s="844" t="n"/>
      <c r="AY138" s="845" t="n"/>
      <c r="AZ138" s="845" t="n"/>
      <c r="BA138" s="845" t="n"/>
      <c r="BB138" s="846" t="n"/>
      <c r="BC138" s="847" t="n"/>
      <c r="BD138" s="846" t="n"/>
      <c r="BE138" s="847" t="n"/>
      <c r="BF138" s="836" t="n"/>
    </row>
    <row r="139">
      <c r="A139" s="819" t="n"/>
      <c r="B139" s="820" t="n"/>
      <c r="C139" s="821">
        <f>SUM(Z139:AC139)</f>
        <v/>
      </c>
      <c r="D139" s="821">
        <f>SUM(AD139:AK139)</f>
        <v/>
      </c>
      <c r="E139" s="822">
        <f>SUM(AL139:AT139)</f>
        <v/>
      </c>
      <c r="F139" s="822">
        <f>SUM(AU139:AW139)</f>
        <v/>
      </c>
      <c r="G139" s="822">
        <f>SUM(AX139:BB139)</f>
        <v/>
      </c>
      <c r="H139" s="822">
        <f>SUM(BC139:BD139)</f>
        <v/>
      </c>
      <c r="I139" s="822">
        <f>SUM(V139:Y139)</f>
        <v/>
      </c>
      <c r="J139" s="823">
        <f>SUM(C139:I139)</f>
        <v/>
      </c>
      <c r="K139" s="824" t="n"/>
      <c r="L139" s="825" t="n"/>
      <c r="M139" s="826" t="n"/>
      <c r="N139" s="827" t="n"/>
      <c r="O139" s="828" t="n"/>
      <c r="P139" s="827" t="n"/>
      <c r="Q139" s="827" t="n"/>
      <c r="R139" s="829">
        <f>R138+SUM(N139:Q139)-SUM(J139:M139)</f>
        <v/>
      </c>
      <c r="S139" s="830" t="n"/>
      <c r="T139" s="831" t="n"/>
      <c r="U139" s="832" t="n"/>
      <c r="V139" s="833" t="n"/>
      <c r="W139" s="821" t="n"/>
      <c r="X139" s="821" t="n"/>
      <c r="Y139" s="821" t="n"/>
      <c r="Z139" s="821" t="n"/>
      <c r="AA139" s="834" t="n"/>
      <c r="AB139" s="835" t="n"/>
      <c r="AC139" s="836" t="n"/>
      <c r="AD139" s="837" t="n"/>
      <c r="AE139" s="838" t="n"/>
      <c r="AF139" s="839" t="n"/>
      <c r="AG139" s="839" t="n"/>
      <c r="AH139" s="839" t="n"/>
      <c r="AI139" s="839" t="n"/>
      <c r="AJ139" s="839" t="n"/>
      <c r="AK139" s="840" t="n"/>
      <c r="AL139" s="841" t="n"/>
      <c r="AM139" s="839" t="n"/>
      <c r="AN139" s="839" t="n"/>
      <c r="AO139" s="839" t="n"/>
      <c r="AP139" s="839" t="n"/>
      <c r="AQ139" s="839" t="n"/>
      <c r="AR139" s="839" t="n"/>
      <c r="AS139" s="839" t="n"/>
      <c r="AT139" s="842" t="n"/>
      <c r="AU139" s="838" t="n"/>
      <c r="AV139" s="840" t="n"/>
      <c r="AW139" s="843" t="n"/>
      <c r="AX139" s="844" t="n"/>
      <c r="AY139" s="845" t="n"/>
      <c r="AZ139" s="845" t="n"/>
      <c r="BA139" s="845" t="n"/>
      <c r="BB139" s="846" t="n"/>
      <c r="BC139" s="847" t="n"/>
      <c r="BD139" s="846" t="n"/>
      <c r="BE139" s="847" t="n"/>
      <c r="BF139" s="836" t="n"/>
    </row>
    <row r="140">
      <c r="A140" s="819" t="n"/>
      <c r="B140" s="820" t="n"/>
      <c r="C140" s="821">
        <f>SUM(Z140:AC140)</f>
        <v/>
      </c>
      <c r="D140" s="821">
        <f>SUM(AD140:AK140)</f>
        <v/>
      </c>
      <c r="E140" s="822">
        <f>SUM(AL140:AT140)</f>
        <v/>
      </c>
      <c r="F140" s="822">
        <f>SUM(AU140:AW140)</f>
        <v/>
      </c>
      <c r="G140" s="822">
        <f>SUM(AX140:BB140)</f>
        <v/>
      </c>
      <c r="H140" s="822">
        <f>SUM(BC140:BD140)</f>
        <v/>
      </c>
      <c r="I140" s="822">
        <f>SUM(V140:Y140)</f>
        <v/>
      </c>
      <c r="J140" s="823">
        <f>SUM(C140:I140)</f>
        <v/>
      </c>
      <c r="K140" s="824" t="n"/>
      <c r="L140" s="825" t="n"/>
      <c r="M140" s="826" t="n"/>
      <c r="N140" s="827" t="n"/>
      <c r="O140" s="828" t="n"/>
      <c r="P140" s="827" t="n"/>
      <c r="Q140" s="827" t="n"/>
      <c r="R140" s="829">
        <f>R139+SUM(N140:Q140)-SUM(J140:M140)</f>
        <v/>
      </c>
      <c r="S140" s="830" t="n"/>
      <c r="T140" s="831" t="n"/>
      <c r="U140" s="832" t="n"/>
      <c r="V140" s="833" t="n"/>
      <c r="W140" s="821" t="n"/>
      <c r="X140" s="821" t="n"/>
      <c r="Y140" s="821" t="n"/>
      <c r="Z140" s="821" t="n"/>
      <c r="AA140" s="834" t="n"/>
      <c r="AB140" s="835" t="n"/>
      <c r="AC140" s="836" t="n"/>
      <c r="AD140" s="837" t="n"/>
      <c r="AE140" s="838" t="n"/>
      <c r="AF140" s="839" t="n"/>
      <c r="AG140" s="839" t="n"/>
      <c r="AH140" s="839" t="n"/>
      <c r="AI140" s="839" t="n"/>
      <c r="AJ140" s="839" t="n"/>
      <c r="AK140" s="840" t="n"/>
      <c r="AL140" s="841" t="n"/>
      <c r="AM140" s="839" t="n"/>
      <c r="AN140" s="839" t="n"/>
      <c r="AO140" s="839" t="n"/>
      <c r="AP140" s="839" t="n"/>
      <c r="AQ140" s="839" t="n"/>
      <c r="AR140" s="839" t="n"/>
      <c r="AS140" s="839" t="n"/>
      <c r="AT140" s="842" t="n"/>
      <c r="AU140" s="838" t="n"/>
      <c r="AV140" s="840" t="n"/>
      <c r="AW140" s="843" t="n"/>
      <c r="AX140" s="844" t="n"/>
      <c r="AY140" s="845" t="n"/>
      <c r="AZ140" s="845" t="n"/>
      <c r="BA140" s="845" t="n"/>
      <c r="BB140" s="846" t="n"/>
      <c r="BC140" s="847" t="n"/>
      <c r="BD140" s="846" t="n"/>
      <c r="BE140" s="847" t="n"/>
      <c r="BF140" s="836" t="n"/>
    </row>
    <row r="141">
      <c r="A141" s="819" t="n"/>
      <c r="B141" s="820" t="n"/>
      <c r="C141" s="821">
        <f>SUM(Z141:AC141)</f>
        <v/>
      </c>
      <c r="D141" s="821">
        <f>SUM(AD141:AK141)</f>
        <v/>
      </c>
      <c r="E141" s="822">
        <f>SUM(AL141:AT141)</f>
        <v/>
      </c>
      <c r="F141" s="822">
        <f>SUM(AU141:AW141)</f>
        <v/>
      </c>
      <c r="G141" s="822">
        <f>SUM(AX141:BB141)</f>
        <v/>
      </c>
      <c r="H141" s="822">
        <f>SUM(BC141:BD141)</f>
        <v/>
      </c>
      <c r="I141" s="822">
        <f>SUM(V141:Y141)</f>
        <v/>
      </c>
      <c r="J141" s="823">
        <f>SUM(C141:I141)</f>
        <v/>
      </c>
      <c r="K141" s="824" t="n"/>
      <c r="L141" s="825" t="n"/>
      <c r="M141" s="826" t="n"/>
      <c r="N141" s="827" t="n"/>
      <c r="O141" s="828" t="n"/>
      <c r="P141" s="827" t="n"/>
      <c r="Q141" s="827" t="n"/>
      <c r="R141" s="829">
        <f>R140+SUM(N141:Q141)-SUM(J141:M141)</f>
        <v/>
      </c>
      <c r="S141" s="830" t="n"/>
      <c r="T141" s="831" t="n"/>
      <c r="U141" s="832" t="n"/>
      <c r="V141" s="833" t="n"/>
      <c r="W141" s="821" t="n"/>
      <c r="X141" s="821" t="n"/>
      <c r="Y141" s="821" t="n"/>
      <c r="Z141" s="821" t="n"/>
      <c r="AA141" s="834" t="n"/>
      <c r="AB141" s="835" t="n"/>
      <c r="AC141" s="836" t="n"/>
      <c r="AD141" s="837" t="n"/>
      <c r="AE141" s="838" t="n"/>
      <c r="AF141" s="839" t="n"/>
      <c r="AG141" s="839" t="n"/>
      <c r="AH141" s="839" t="n"/>
      <c r="AI141" s="839" t="n"/>
      <c r="AJ141" s="839" t="n"/>
      <c r="AK141" s="840" t="n"/>
      <c r="AL141" s="841" t="n"/>
      <c r="AM141" s="839" t="n"/>
      <c r="AN141" s="839" t="n"/>
      <c r="AO141" s="839" t="n"/>
      <c r="AP141" s="839" t="n"/>
      <c r="AQ141" s="839" t="n"/>
      <c r="AR141" s="839" t="n"/>
      <c r="AS141" s="839" t="n"/>
      <c r="AT141" s="842" t="n"/>
      <c r="AU141" s="838" t="n"/>
      <c r="AV141" s="840" t="n"/>
      <c r="AW141" s="843" t="n"/>
      <c r="AX141" s="844" t="n"/>
      <c r="AY141" s="845" t="n"/>
      <c r="AZ141" s="845" t="n"/>
      <c r="BA141" s="845" t="n"/>
      <c r="BB141" s="846" t="n"/>
      <c r="BC141" s="847" t="n"/>
      <c r="BD141" s="846" t="n"/>
      <c r="BE141" s="847" t="n"/>
      <c r="BF141" s="836" t="n"/>
    </row>
    <row r="142">
      <c r="A142" s="819" t="n"/>
      <c r="B142" s="820" t="n"/>
      <c r="C142" s="821">
        <f>SUM(Z142:AC142)</f>
        <v/>
      </c>
      <c r="D142" s="821">
        <f>SUM(AD142:AK142)</f>
        <v/>
      </c>
      <c r="E142" s="822">
        <f>SUM(AL142:AT142)</f>
        <v/>
      </c>
      <c r="F142" s="822">
        <f>SUM(AU142:AW142)</f>
        <v/>
      </c>
      <c r="G142" s="822">
        <f>SUM(AX142:BB142)</f>
        <v/>
      </c>
      <c r="H142" s="822">
        <f>SUM(BC142:BD142)</f>
        <v/>
      </c>
      <c r="I142" s="822">
        <f>SUM(V142:Y142)</f>
        <v/>
      </c>
      <c r="J142" s="823">
        <f>SUM(C142:I142)</f>
        <v/>
      </c>
      <c r="K142" s="824" t="n"/>
      <c r="L142" s="825" t="n"/>
      <c r="M142" s="826" t="n"/>
      <c r="N142" s="827" t="n"/>
      <c r="O142" s="828" t="n"/>
      <c r="P142" s="827" t="n"/>
      <c r="Q142" s="827" t="n"/>
      <c r="R142" s="829">
        <f>R141+SUM(N142:Q142)-SUM(J142:M142)</f>
        <v/>
      </c>
      <c r="S142" s="830" t="n"/>
      <c r="T142" s="831" t="n"/>
      <c r="U142" s="832" t="n"/>
      <c r="V142" s="833" t="n"/>
      <c r="W142" s="821" t="n"/>
      <c r="X142" s="821" t="n"/>
      <c r="Y142" s="821" t="n"/>
      <c r="Z142" s="821" t="n"/>
      <c r="AA142" s="834" t="n"/>
      <c r="AB142" s="835" t="n"/>
      <c r="AC142" s="836" t="n"/>
      <c r="AD142" s="837" t="n"/>
      <c r="AE142" s="838" t="n"/>
      <c r="AF142" s="839" t="n"/>
      <c r="AG142" s="839" t="n"/>
      <c r="AH142" s="839" t="n"/>
      <c r="AI142" s="839" t="n"/>
      <c r="AJ142" s="839" t="n"/>
      <c r="AK142" s="840" t="n"/>
      <c r="AL142" s="841" t="n"/>
      <c r="AM142" s="839" t="n"/>
      <c r="AN142" s="839" t="n"/>
      <c r="AO142" s="839" t="n"/>
      <c r="AP142" s="839" t="n"/>
      <c r="AQ142" s="839" t="n"/>
      <c r="AR142" s="839" t="n"/>
      <c r="AS142" s="839" t="n"/>
      <c r="AT142" s="842" t="n"/>
      <c r="AU142" s="838" t="n"/>
      <c r="AV142" s="840" t="n"/>
      <c r="AW142" s="843" t="n"/>
      <c r="AX142" s="844" t="n"/>
      <c r="AY142" s="845" t="n"/>
      <c r="AZ142" s="845" t="n"/>
      <c r="BA142" s="845" t="n"/>
      <c r="BB142" s="846" t="n"/>
      <c r="BC142" s="847" t="n"/>
      <c r="BD142" s="846" t="n"/>
      <c r="BE142" s="847" t="n"/>
      <c r="BF142" s="836" t="n"/>
    </row>
    <row r="143">
      <c r="A143" s="819" t="n"/>
      <c r="B143" s="820" t="n"/>
      <c r="C143" s="821">
        <f>SUM(Z143:AC143)</f>
        <v/>
      </c>
      <c r="D143" s="821">
        <f>SUM(AD143:AK143)</f>
        <v/>
      </c>
      <c r="E143" s="822">
        <f>SUM(AL143:AT143)</f>
        <v/>
      </c>
      <c r="F143" s="822">
        <f>SUM(AU143:AW143)</f>
        <v/>
      </c>
      <c r="G143" s="822">
        <f>SUM(AX143:BB143)</f>
        <v/>
      </c>
      <c r="H143" s="822">
        <f>SUM(BC143:BD143)</f>
        <v/>
      </c>
      <c r="I143" s="822">
        <f>SUM(V143:Y143)</f>
        <v/>
      </c>
      <c r="J143" s="823">
        <f>SUM(C143:I143)</f>
        <v/>
      </c>
      <c r="K143" s="824" t="n"/>
      <c r="L143" s="825" t="n"/>
      <c r="M143" s="826" t="n"/>
      <c r="N143" s="827" t="n"/>
      <c r="O143" s="828" t="n"/>
      <c r="P143" s="827" t="n"/>
      <c r="Q143" s="827" t="n"/>
      <c r="R143" s="829">
        <f>R142+SUM(N143:Q143)-SUM(J143:M143)</f>
        <v/>
      </c>
      <c r="S143" s="830" t="n"/>
      <c r="T143" s="831" t="n"/>
      <c r="U143" s="832" t="n"/>
      <c r="V143" s="833" t="n"/>
      <c r="W143" s="821" t="n"/>
      <c r="X143" s="821" t="n"/>
      <c r="Y143" s="821" t="n"/>
      <c r="Z143" s="821" t="n"/>
      <c r="AA143" s="834" t="n"/>
      <c r="AB143" s="835" t="n"/>
      <c r="AC143" s="836" t="n"/>
      <c r="AD143" s="837" t="n"/>
      <c r="AE143" s="838" t="n"/>
      <c r="AF143" s="839" t="n"/>
      <c r="AG143" s="839" t="n"/>
      <c r="AH143" s="839" t="n"/>
      <c r="AI143" s="839" t="n"/>
      <c r="AJ143" s="839" t="n"/>
      <c r="AK143" s="840" t="n"/>
      <c r="AL143" s="841" t="n"/>
      <c r="AM143" s="839" t="n"/>
      <c r="AN143" s="839" t="n"/>
      <c r="AO143" s="839" t="n"/>
      <c r="AP143" s="839" t="n"/>
      <c r="AQ143" s="839" t="n"/>
      <c r="AR143" s="839" t="n"/>
      <c r="AS143" s="839" t="n"/>
      <c r="AT143" s="842" t="n"/>
      <c r="AU143" s="838" t="n"/>
      <c r="AV143" s="840" t="n"/>
      <c r="AW143" s="843" t="n"/>
      <c r="AX143" s="844" t="n"/>
      <c r="AY143" s="845" t="n"/>
      <c r="AZ143" s="845" t="n"/>
      <c r="BA143" s="845" t="n"/>
      <c r="BB143" s="846" t="n"/>
      <c r="BC143" s="847" t="n"/>
      <c r="BD143" s="846" t="n"/>
      <c r="BE143" s="847" t="n"/>
      <c r="BF143" s="836" t="n"/>
    </row>
    <row r="144">
      <c r="A144" s="819" t="n"/>
      <c r="B144" s="820" t="n"/>
      <c r="C144" s="821">
        <f>SUM(Z144:AC144)</f>
        <v/>
      </c>
      <c r="D144" s="821">
        <f>SUM(AD144:AK144)</f>
        <v/>
      </c>
      <c r="E144" s="822">
        <f>SUM(AL144:AT144)</f>
        <v/>
      </c>
      <c r="F144" s="822">
        <f>SUM(AU144:AW144)</f>
        <v/>
      </c>
      <c r="G144" s="822">
        <f>SUM(AX144:BB144)</f>
        <v/>
      </c>
      <c r="H144" s="822">
        <f>SUM(BC144:BD144)</f>
        <v/>
      </c>
      <c r="I144" s="822">
        <f>SUM(V144:Y144)</f>
        <v/>
      </c>
      <c r="J144" s="823">
        <f>SUM(C144:I144)</f>
        <v/>
      </c>
      <c r="K144" s="824" t="n"/>
      <c r="L144" s="825" t="n"/>
      <c r="M144" s="826" t="n"/>
      <c r="N144" s="827" t="n"/>
      <c r="O144" s="828" t="n"/>
      <c r="P144" s="827" t="n"/>
      <c r="Q144" s="827" t="n"/>
      <c r="R144" s="829">
        <f>R143+SUM(N144:Q144)-SUM(J144:M144)</f>
        <v/>
      </c>
      <c r="S144" s="830" t="n"/>
      <c r="T144" s="831" t="n"/>
      <c r="U144" s="832" t="n"/>
      <c r="V144" s="833" t="n"/>
      <c r="W144" s="821" t="n"/>
      <c r="X144" s="821" t="n"/>
      <c r="Y144" s="821" t="n"/>
      <c r="Z144" s="821" t="n"/>
      <c r="AA144" s="834" t="n"/>
      <c r="AB144" s="835" t="n"/>
      <c r="AC144" s="836" t="n"/>
      <c r="AD144" s="837" t="n"/>
      <c r="AE144" s="838" t="n"/>
      <c r="AF144" s="839" t="n"/>
      <c r="AG144" s="839" t="n"/>
      <c r="AH144" s="839" t="n"/>
      <c r="AI144" s="839" t="n"/>
      <c r="AJ144" s="839" t="n"/>
      <c r="AK144" s="840" t="n"/>
      <c r="AL144" s="841" t="n"/>
      <c r="AM144" s="839" t="n"/>
      <c r="AN144" s="839" t="n"/>
      <c r="AO144" s="839" t="n"/>
      <c r="AP144" s="839" t="n"/>
      <c r="AQ144" s="839" t="n"/>
      <c r="AR144" s="839" t="n"/>
      <c r="AS144" s="839" t="n"/>
      <c r="AT144" s="842" t="n"/>
      <c r="AU144" s="838" t="n"/>
      <c r="AV144" s="840" t="n"/>
      <c r="AW144" s="843" t="n"/>
      <c r="AX144" s="844" t="n"/>
      <c r="AY144" s="845" t="n"/>
      <c r="AZ144" s="845" t="n"/>
      <c r="BA144" s="845" t="n"/>
      <c r="BB144" s="846" t="n"/>
      <c r="BC144" s="847" t="n"/>
      <c r="BD144" s="846" t="n"/>
      <c r="BE144" s="847" t="n"/>
      <c r="BF144" s="836" t="n"/>
    </row>
    <row r="145">
      <c r="A145" s="819" t="n"/>
      <c r="B145" s="820" t="n"/>
      <c r="C145" s="821">
        <f>SUM(Z145:AC145)</f>
        <v/>
      </c>
      <c r="D145" s="821">
        <f>SUM(AD145:AK145)</f>
        <v/>
      </c>
      <c r="E145" s="822">
        <f>SUM(AL145:AT145)</f>
        <v/>
      </c>
      <c r="F145" s="822">
        <f>SUM(AU145:AW145)</f>
        <v/>
      </c>
      <c r="G145" s="822">
        <f>SUM(AX145:BB145)</f>
        <v/>
      </c>
      <c r="H145" s="822">
        <f>SUM(BC145:BD145)</f>
        <v/>
      </c>
      <c r="I145" s="822">
        <f>SUM(V145:Y145)</f>
        <v/>
      </c>
      <c r="J145" s="823">
        <f>SUM(C145:I145)</f>
        <v/>
      </c>
      <c r="K145" s="824" t="n"/>
      <c r="L145" s="825" t="n"/>
      <c r="M145" s="826" t="n"/>
      <c r="N145" s="827" t="n"/>
      <c r="O145" s="828" t="n"/>
      <c r="P145" s="827" t="n"/>
      <c r="Q145" s="827" t="n"/>
      <c r="R145" s="829">
        <f>R144+SUM(N145:Q145)-SUM(J145:M145)</f>
        <v/>
      </c>
      <c r="S145" s="830" t="n"/>
      <c r="T145" s="831" t="n"/>
      <c r="U145" s="832" t="n"/>
      <c r="V145" s="833" t="n"/>
      <c r="W145" s="821" t="n"/>
      <c r="X145" s="821" t="n"/>
      <c r="Y145" s="821" t="n"/>
      <c r="Z145" s="821" t="n"/>
      <c r="AA145" s="834" t="n"/>
      <c r="AB145" s="835" t="n"/>
      <c r="AC145" s="836" t="n"/>
      <c r="AD145" s="837" t="n"/>
      <c r="AE145" s="838" t="n"/>
      <c r="AF145" s="839" t="n"/>
      <c r="AG145" s="839" t="n"/>
      <c r="AH145" s="839" t="n"/>
      <c r="AI145" s="839" t="n"/>
      <c r="AJ145" s="839" t="n"/>
      <c r="AK145" s="840" t="n"/>
      <c r="AL145" s="841" t="n"/>
      <c r="AM145" s="839" t="n"/>
      <c r="AN145" s="839" t="n"/>
      <c r="AO145" s="839" t="n"/>
      <c r="AP145" s="839" t="n"/>
      <c r="AQ145" s="839" t="n"/>
      <c r="AR145" s="839" t="n"/>
      <c r="AS145" s="839" t="n"/>
      <c r="AT145" s="842" t="n"/>
      <c r="AU145" s="838" t="n"/>
      <c r="AV145" s="840" t="n"/>
      <c r="AW145" s="843" t="n"/>
      <c r="AX145" s="844" t="n"/>
      <c r="AY145" s="845" t="n"/>
      <c r="AZ145" s="845" t="n"/>
      <c r="BA145" s="845" t="n"/>
      <c r="BB145" s="846" t="n"/>
      <c r="BC145" s="847" t="n"/>
      <c r="BD145" s="846" t="n"/>
      <c r="BE145" s="847" t="n"/>
      <c r="BF145" s="836" t="n"/>
    </row>
    <row r="146">
      <c r="A146" s="819" t="n"/>
      <c r="B146" s="820" t="n"/>
      <c r="C146" s="821">
        <f>SUM(Z146:AC146)</f>
        <v/>
      </c>
      <c r="D146" s="821">
        <f>SUM(AD146:AK146)</f>
        <v/>
      </c>
      <c r="E146" s="822">
        <f>SUM(AL146:AT146)</f>
        <v/>
      </c>
      <c r="F146" s="822">
        <f>SUM(AU146:AW146)</f>
        <v/>
      </c>
      <c r="G146" s="822">
        <f>SUM(AX146:BB146)</f>
        <v/>
      </c>
      <c r="H146" s="822">
        <f>SUM(BC146:BD146)</f>
        <v/>
      </c>
      <c r="I146" s="822">
        <f>SUM(V146:Y146)</f>
        <v/>
      </c>
      <c r="J146" s="823">
        <f>SUM(C146:I146)</f>
        <v/>
      </c>
      <c r="K146" s="824" t="n"/>
      <c r="L146" s="825" t="n"/>
      <c r="M146" s="826" t="n"/>
      <c r="N146" s="827" t="n"/>
      <c r="O146" s="828" t="n"/>
      <c r="P146" s="827" t="n"/>
      <c r="Q146" s="827" t="n"/>
      <c r="R146" s="829">
        <f>R145+SUM(N146:Q146)-SUM(J146:M146)</f>
        <v/>
      </c>
      <c r="S146" s="830" t="n"/>
      <c r="T146" s="831" t="n"/>
      <c r="U146" s="832" t="n"/>
      <c r="V146" s="833" t="n"/>
      <c r="W146" s="821" t="n"/>
      <c r="X146" s="821" t="n"/>
      <c r="Y146" s="821" t="n"/>
      <c r="Z146" s="821" t="n"/>
      <c r="AA146" s="834" t="n"/>
      <c r="AB146" s="835" t="n"/>
      <c r="AC146" s="836" t="n"/>
      <c r="AD146" s="837" t="n"/>
      <c r="AE146" s="838" t="n"/>
      <c r="AF146" s="839" t="n"/>
      <c r="AG146" s="839" t="n"/>
      <c r="AH146" s="839" t="n"/>
      <c r="AI146" s="839" t="n"/>
      <c r="AJ146" s="839" t="n"/>
      <c r="AK146" s="840" t="n"/>
      <c r="AL146" s="841" t="n"/>
      <c r="AM146" s="839" t="n"/>
      <c r="AN146" s="839" t="n"/>
      <c r="AO146" s="839" t="n"/>
      <c r="AP146" s="839" t="n"/>
      <c r="AQ146" s="839" t="n"/>
      <c r="AR146" s="839" t="n"/>
      <c r="AS146" s="839" t="n"/>
      <c r="AT146" s="842" t="n"/>
      <c r="AU146" s="838" t="n"/>
      <c r="AV146" s="840" t="n"/>
      <c r="AW146" s="843" t="n"/>
      <c r="AX146" s="844" t="n"/>
      <c r="AY146" s="845" t="n"/>
      <c r="AZ146" s="845" t="n"/>
      <c r="BA146" s="845" t="n"/>
      <c r="BB146" s="846" t="n"/>
      <c r="BC146" s="847" t="n"/>
      <c r="BD146" s="846" t="n"/>
      <c r="BE146" s="847" t="n"/>
      <c r="BF146" s="836" t="n"/>
    </row>
    <row r="147">
      <c r="A147" s="819" t="n"/>
      <c r="B147" s="820" t="n"/>
      <c r="C147" s="821">
        <f>SUM(Z147:AC147)</f>
        <v/>
      </c>
      <c r="D147" s="821">
        <f>SUM(AD147:AK147)</f>
        <v/>
      </c>
      <c r="E147" s="822">
        <f>SUM(AL147:AT147)</f>
        <v/>
      </c>
      <c r="F147" s="822">
        <f>SUM(AU147:AW147)</f>
        <v/>
      </c>
      <c r="G147" s="822">
        <f>SUM(AX147:BB147)</f>
        <v/>
      </c>
      <c r="H147" s="822">
        <f>SUM(BC147:BD147)</f>
        <v/>
      </c>
      <c r="I147" s="822">
        <f>SUM(V147:Y147)</f>
        <v/>
      </c>
      <c r="J147" s="823">
        <f>SUM(C147:I147)</f>
        <v/>
      </c>
      <c r="K147" s="824" t="n"/>
      <c r="L147" s="825" t="n"/>
      <c r="M147" s="826" t="n"/>
      <c r="N147" s="827" t="n"/>
      <c r="O147" s="828" t="n"/>
      <c r="P147" s="827" t="n"/>
      <c r="Q147" s="827" t="n"/>
      <c r="R147" s="829">
        <f>R146+SUM(N147:Q147)-SUM(J147:M147)</f>
        <v/>
      </c>
      <c r="S147" s="830" t="n"/>
      <c r="T147" s="831" t="n"/>
      <c r="U147" s="832" t="n"/>
      <c r="V147" s="833" t="n"/>
      <c r="W147" s="821" t="n"/>
      <c r="X147" s="821" t="n"/>
      <c r="Y147" s="821" t="n"/>
      <c r="Z147" s="821" t="n"/>
      <c r="AA147" s="834" t="n"/>
      <c r="AB147" s="835" t="n"/>
      <c r="AC147" s="836" t="n"/>
      <c r="AD147" s="837" t="n"/>
      <c r="AE147" s="838" t="n"/>
      <c r="AF147" s="839" t="n"/>
      <c r="AG147" s="839" t="n"/>
      <c r="AH147" s="839" t="n"/>
      <c r="AI147" s="839" t="n"/>
      <c r="AJ147" s="839" t="n"/>
      <c r="AK147" s="840" t="n"/>
      <c r="AL147" s="841" t="n"/>
      <c r="AM147" s="839" t="n"/>
      <c r="AN147" s="839" t="n"/>
      <c r="AO147" s="839" t="n"/>
      <c r="AP147" s="839" t="n"/>
      <c r="AQ147" s="839" t="n"/>
      <c r="AR147" s="839" t="n"/>
      <c r="AS147" s="839" t="n"/>
      <c r="AT147" s="842" t="n"/>
      <c r="AU147" s="838" t="n"/>
      <c r="AV147" s="840" t="n"/>
      <c r="AW147" s="843" t="n"/>
      <c r="AX147" s="844" t="n"/>
      <c r="AY147" s="845" t="n"/>
      <c r="AZ147" s="845" t="n"/>
      <c r="BA147" s="845" t="n"/>
      <c r="BB147" s="846" t="n"/>
      <c r="BC147" s="847" t="n"/>
      <c r="BD147" s="846" t="n"/>
      <c r="BE147" s="847" t="n"/>
      <c r="BF147" s="836" t="n"/>
    </row>
    <row r="148">
      <c r="A148" s="819" t="n"/>
      <c r="B148" s="820" t="n"/>
      <c r="C148" s="821">
        <f>SUM(Z148:AC148)</f>
        <v/>
      </c>
      <c r="D148" s="821">
        <f>SUM(AD148:AK148)</f>
        <v/>
      </c>
      <c r="E148" s="822">
        <f>SUM(AL148:AT148)</f>
        <v/>
      </c>
      <c r="F148" s="822">
        <f>SUM(AU148:AW148)</f>
        <v/>
      </c>
      <c r="G148" s="822">
        <f>SUM(AX148:BB148)</f>
        <v/>
      </c>
      <c r="H148" s="822">
        <f>SUM(BC148:BD148)</f>
        <v/>
      </c>
      <c r="I148" s="822">
        <f>SUM(V148:Y148)</f>
        <v/>
      </c>
      <c r="J148" s="823">
        <f>SUM(C148:I148)</f>
        <v/>
      </c>
      <c r="K148" s="824" t="n"/>
      <c r="L148" s="825" t="n"/>
      <c r="M148" s="826" t="n"/>
      <c r="N148" s="827" t="n"/>
      <c r="O148" s="828" t="n"/>
      <c r="P148" s="827" t="n"/>
      <c r="Q148" s="827" t="n"/>
      <c r="R148" s="829">
        <f>R147+SUM(N148:Q148)-SUM(J148:M148)</f>
        <v/>
      </c>
      <c r="S148" s="830" t="n"/>
      <c r="T148" s="831" t="n"/>
      <c r="U148" s="832" t="n"/>
      <c r="V148" s="833" t="n"/>
      <c r="W148" s="821" t="n"/>
      <c r="X148" s="821" t="n"/>
      <c r="Y148" s="821" t="n"/>
      <c r="Z148" s="821" t="n"/>
      <c r="AA148" s="834" t="n"/>
      <c r="AB148" s="835" t="n"/>
      <c r="AC148" s="836" t="n"/>
      <c r="AD148" s="837" t="n"/>
      <c r="AE148" s="838" t="n"/>
      <c r="AF148" s="839" t="n"/>
      <c r="AG148" s="839" t="n"/>
      <c r="AH148" s="839" t="n"/>
      <c r="AI148" s="839" t="n"/>
      <c r="AJ148" s="839" t="n"/>
      <c r="AK148" s="840" t="n"/>
      <c r="AL148" s="841" t="n"/>
      <c r="AM148" s="839" t="n"/>
      <c r="AN148" s="839" t="n"/>
      <c r="AO148" s="839" t="n"/>
      <c r="AP148" s="839" t="n"/>
      <c r="AQ148" s="839" t="n"/>
      <c r="AR148" s="839" t="n"/>
      <c r="AS148" s="839" t="n"/>
      <c r="AT148" s="842" t="n"/>
      <c r="AU148" s="838" t="n"/>
      <c r="AV148" s="840" t="n"/>
      <c r="AW148" s="843" t="n"/>
      <c r="AX148" s="844" t="n"/>
      <c r="AY148" s="845" t="n"/>
      <c r="AZ148" s="845" t="n"/>
      <c r="BA148" s="845" t="n"/>
      <c r="BB148" s="846" t="n"/>
      <c r="BC148" s="847" t="n"/>
      <c r="BD148" s="846" t="n"/>
      <c r="BE148" s="847" t="n"/>
      <c r="BF148" s="836" t="n"/>
    </row>
    <row r="149">
      <c r="A149" s="819" t="n"/>
      <c r="B149" s="820" t="n"/>
      <c r="C149" s="821">
        <f>SUM(Z149:AC149)</f>
        <v/>
      </c>
      <c r="D149" s="821">
        <f>SUM(AD149:AK149)</f>
        <v/>
      </c>
      <c r="E149" s="822">
        <f>SUM(AL149:AT149)</f>
        <v/>
      </c>
      <c r="F149" s="822">
        <f>SUM(AU149:AW149)</f>
        <v/>
      </c>
      <c r="G149" s="822">
        <f>SUM(AX149:BB149)</f>
        <v/>
      </c>
      <c r="H149" s="822">
        <f>SUM(BC149:BD149)</f>
        <v/>
      </c>
      <c r="I149" s="822">
        <f>SUM(V149:Y149)</f>
        <v/>
      </c>
      <c r="J149" s="823">
        <f>SUM(C149:I149)</f>
        <v/>
      </c>
      <c r="K149" s="824" t="n"/>
      <c r="L149" s="825" t="n"/>
      <c r="M149" s="826" t="n"/>
      <c r="N149" s="827" t="n"/>
      <c r="O149" s="828" t="n"/>
      <c r="P149" s="827" t="n"/>
      <c r="Q149" s="827" t="n"/>
      <c r="R149" s="829">
        <f>R148+SUM(N149:Q149)-SUM(J149:M149)</f>
        <v/>
      </c>
      <c r="S149" s="830" t="n"/>
      <c r="T149" s="831" t="n"/>
      <c r="U149" s="832" t="n"/>
      <c r="V149" s="833" t="n"/>
      <c r="W149" s="821" t="n"/>
      <c r="X149" s="821" t="n"/>
      <c r="Y149" s="821" t="n"/>
      <c r="Z149" s="821" t="n"/>
      <c r="AA149" s="834" t="n"/>
      <c r="AB149" s="835" t="n"/>
      <c r="AC149" s="836" t="n"/>
      <c r="AD149" s="837" t="n"/>
      <c r="AE149" s="838" t="n"/>
      <c r="AF149" s="839" t="n"/>
      <c r="AG149" s="839" t="n"/>
      <c r="AH149" s="839" t="n"/>
      <c r="AI149" s="839" t="n"/>
      <c r="AJ149" s="839" t="n"/>
      <c r="AK149" s="840" t="n"/>
      <c r="AL149" s="841" t="n"/>
      <c r="AM149" s="839" t="n"/>
      <c r="AN149" s="839" t="n"/>
      <c r="AO149" s="839" t="n"/>
      <c r="AP149" s="839" t="n"/>
      <c r="AQ149" s="839" t="n"/>
      <c r="AR149" s="839" t="n"/>
      <c r="AS149" s="839" t="n"/>
      <c r="AT149" s="842" t="n"/>
      <c r="AU149" s="838" t="n"/>
      <c r="AV149" s="840" t="n"/>
      <c r="AW149" s="843" t="n"/>
      <c r="AX149" s="844" t="n"/>
      <c r="AY149" s="845" t="n"/>
      <c r="AZ149" s="845" t="n"/>
      <c r="BA149" s="845" t="n"/>
      <c r="BB149" s="846" t="n"/>
      <c r="BC149" s="847" t="n"/>
      <c r="BD149" s="846" t="n"/>
      <c r="BE149" s="847" t="n"/>
      <c r="BF149" s="836" t="n"/>
    </row>
    <row r="150">
      <c r="A150" s="819" t="n"/>
      <c r="B150" s="820" t="n"/>
      <c r="C150" s="821">
        <f>SUM(Z150:AC150)</f>
        <v/>
      </c>
      <c r="D150" s="821">
        <f>SUM(AD150:AK150)</f>
        <v/>
      </c>
      <c r="E150" s="822">
        <f>SUM(AL150:AT150)</f>
        <v/>
      </c>
      <c r="F150" s="822">
        <f>SUM(AU150:AW150)</f>
        <v/>
      </c>
      <c r="G150" s="822">
        <f>SUM(AX150:BB150)</f>
        <v/>
      </c>
      <c r="H150" s="822">
        <f>SUM(BC150:BD150)</f>
        <v/>
      </c>
      <c r="I150" s="822">
        <f>SUM(V150:Y150)</f>
        <v/>
      </c>
      <c r="J150" s="823">
        <f>SUM(C150:I150)</f>
        <v/>
      </c>
      <c r="K150" s="824" t="n"/>
      <c r="L150" s="825" t="n"/>
      <c r="M150" s="826" t="n"/>
      <c r="N150" s="827" t="n"/>
      <c r="O150" s="828" t="n"/>
      <c r="P150" s="827" t="n"/>
      <c r="Q150" s="827" t="n"/>
      <c r="R150" s="829">
        <f>R149+SUM(N150:Q150)-SUM(J150:M150)</f>
        <v/>
      </c>
      <c r="S150" s="830" t="n"/>
      <c r="T150" s="831" t="n"/>
      <c r="U150" s="832" t="n"/>
      <c r="V150" s="833" t="n"/>
      <c r="W150" s="821" t="n"/>
      <c r="X150" s="821" t="n"/>
      <c r="Y150" s="821" t="n"/>
      <c r="Z150" s="821" t="n"/>
      <c r="AA150" s="834" t="n"/>
      <c r="AB150" s="835" t="n"/>
      <c r="AC150" s="836" t="n"/>
      <c r="AD150" s="837" t="n"/>
      <c r="AE150" s="838" t="n"/>
      <c r="AF150" s="839" t="n"/>
      <c r="AG150" s="839" t="n"/>
      <c r="AH150" s="839" t="n"/>
      <c r="AI150" s="839" t="n"/>
      <c r="AJ150" s="839" t="n"/>
      <c r="AK150" s="840" t="n"/>
      <c r="AL150" s="841" t="n"/>
      <c r="AM150" s="839" t="n"/>
      <c r="AN150" s="839" t="n"/>
      <c r="AO150" s="839" t="n"/>
      <c r="AP150" s="839" t="n"/>
      <c r="AQ150" s="839" t="n"/>
      <c r="AR150" s="839" t="n"/>
      <c r="AS150" s="839" t="n"/>
      <c r="AT150" s="842" t="n"/>
      <c r="AU150" s="838" t="n"/>
      <c r="AV150" s="840" t="n"/>
      <c r="AW150" s="843" t="n"/>
      <c r="AX150" s="844" t="n"/>
      <c r="AY150" s="845" t="n"/>
      <c r="AZ150" s="845" t="n"/>
      <c r="BA150" s="845" t="n"/>
      <c r="BB150" s="846" t="n"/>
      <c r="BC150" s="847" t="n"/>
      <c r="BD150" s="846" t="n"/>
      <c r="BE150" s="847" t="n"/>
      <c r="BF150" s="836" t="n"/>
    </row>
    <row r="151">
      <c r="A151" s="819" t="n"/>
      <c r="B151" s="820" t="n"/>
      <c r="C151" s="821">
        <f>SUM(Z151:AC151)</f>
        <v/>
      </c>
      <c r="D151" s="821">
        <f>SUM(AD151:AK151)</f>
        <v/>
      </c>
      <c r="E151" s="822">
        <f>SUM(AL151:AT151)</f>
        <v/>
      </c>
      <c r="F151" s="822">
        <f>SUM(AU151:AW151)</f>
        <v/>
      </c>
      <c r="G151" s="822">
        <f>SUM(AX151:BB151)</f>
        <v/>
      </c>
      <c r="H151" s="822">
        <f>SUM(BC151:BD151)</f>
        <v/>
      </c>
      <c r="I151" s="822">
        <f>SUM(V151:Y151)</f>
        <v/>
      </c>
      <c r="J151" s="823">
        <f>SUM(C151:I151)</f>
        <v/>
      </c>
      <c r="K151" s="824" t="n"/>
      <c r="L151" s="825" t="n"/>
      <c r="M151" s="826" t="n"/>
      <c r="N151" s="827" t="n"/>
      <c r="O151" s="828" t="n"/>
      <c r="P151" s="827" t="n"/>
      <c r="Q151" s="827" t="n"/>
      <c r="R151" s="829">
        <f>R150+SUM(N151:Q151)-SUM(J151:M151)</f>
        <v/>
      </c>
      <c r="S151" s="830" t="n"/>
      <c r="T151" s="831" t="n"/>
      <c r="U151" s="832" t="n"/>
      <c r="V151" s="833" t="n"/>
      <c r="W151" s="821" t="n"/>
      <c r="X151" s="821" t="n"/>
      <c r="Y151" s="821" t="n"/>
      <c r="Z151" s="821" t="n"/>
      <c r="AA151" s="834" t="n"/>
      <c r="AB151" s="835" t="n"/>
      <c r="AC151" s="836" t="n"/>
      <c r="AD151" s="837" t="n"/>
      <c r="AE151" s="838" t="n"/>
      <c r="AF151" s="839" t="n"/>
      <c r="AG151" s="839" t="n"/>
      <c r="AH151" s="839" t="n"/>
      <c r="AI151" s="839" t="n"/>
      <c r="AJ151" s="839" t="n"/>
      <c r="AK151" s="840" t="n"/>
      <c r="AL151" s="841" t="n"/>
      <c r="AM151" s="839" t="n"/>
      <c r="AN151" s="839" t="n"/>
      <c r="AO151" s="839" t="n"/>
      <c r="AP151" s="839" t="n"/>
      <c r="AQ151" s="839" t="n"/>
      <c r="AR151" s="839" t="n"/>
      <c r="AS151" s="839" t="n"/>
      <c r="AT151" s="842" t="n"/>
      <c r="AU151" s="838" t="n"/>
      <c r="AV151" s="840" t="n"/>
      <c r="AW151" s="843" t="n"/>
      <c r="AX151" s="844" t="n"/>
      <c r="AY151" s="845" t="n"/>
      <c r="AZ151" s="845" t="n"/>
      <c r="BA151" s="845" t="n"/>
      <c r="BB151" s="846" t="n"/>
      <c r="BC151" s="847" t="n"/>
      <c r="BD151" s="846" t="n"/>
      <c r="BE151" s="847" t="n"/>
      <c r="BF151" s="836" t="n"/>
    </row>
    <row r="152">
      <c r="A152" s="819" t="n"/>
      <c r="B152" s="820" t="n"/>
      <c r="C152" s="821">
        <f>SUM(Z152:AC152)</f>
        <v/>
      </c>
      <c r="D152" s="821">
        <f>SUM(AD152:AK152)</f>
        <v/>
      </c>
      <c r="E152" s="822">
        <f>SUM(AL152:AT152)</f>
        <v/>
      </c>
      <c r="F152" s="822">
        <f>SUM(AU152:AW152)</f>
        <v/>
      </c>
      <c r="G152" s="822">
        <f>SUM(AX152:BB152)</f>
        <v/>
      </c>
      <c r="H152" s="822">
        <f>SUM(BC152:BD152)</f>
        <v/>
      </c>
      <c r="I152" s="822">
        <f>SUM(V152:Y152)</f>
        <v/>
      </c>
      <c r="J152" s="823">
        <f>SUM(C152:I152)</f>
        <v/>
      </c>
      <c r="K152" s="824" t="n"/>
      <c r="L152" s="825" t="n"/>
      <c r="M152" s="826" t="n"/>
      <c r="N152" s="827" t="n"/>
      <c r="O152" s="828" t="n"/>
      <c r="P152" s="827" t="n"/>
      <c r="Q152" s="827" t="n"/>
      <c r="R152" s="829">
        <f>R151+SUM(N152:Q152)-SUM(J152:M152)</f>
        <v/>
      </c>
      <c r="S152" s="830" t="n"/>
      <c r="T152" s="831" t="n"/>
      <c r="U152" s="832" t="n"/>
      <c r="V152" s="833" t="n"/>
      <c r="W152" s="821" t="n"/>
      <c r="X152" s="821" t="n"/>
      <c r="Y152" s="821" t="n"/>
      <c r="Z152" s="821" t="n"/>
      <c r="AA152" s="834" t="n"/>
      <c r="AB152" s="835" t="n"/>
      <c r="AC152" s="836" t="n"/>
      <c r="AD152" s="837" t="n"/>
      <c r="AE152" s="838" t="n"/>
      <c r="AF152" s="839" t="n"/>
      <c r="AG152" s="839" t="n"/>
      <c r="AH152" s="839" t="n"/>
      <c r="AI152" s="839" t="n"/>
      <c r="AJ152" s="839" t="n"/>
      <c r="AK152" s="840" t="n"/>
      <c r="AL152" s="841" t="n"/>
      <c r="AM152" s="839" t="n"/>
      <c r="AN152" s="839" t="n"/>
      <c r="AO152" s="839" t="n"/>
      <c r="AP152" s="839" t="n"/>
      <c r="AQ152" s="839" t="n"/>
      <c r="AR152" s="839" t="n"/>
      <c r="AS152" s="839" t="n"/>
      <c r="AT152" s="842" t="n"/>
      <c r="AU152" s="838" t="n"/>
      <c r="AV152" s="840" t="n"/>
      <c r="AW152" s="843" t="n"/>
      <c r="AX152" s="844" t="n"/>
      <c r="AY152" s="845" t="n"/>
      <c r="AZ152" s="845" t="n"/>
      <c r="BA152" s="845" t="n"/>
      <c r="BB152" s="846" t="n"/>
      <c r="BC152" s="847" t="n"/>
      <c r="BD152" s="846" t="n"/>
      <c r="BE152" s="847" t="n"/>
      <c r="BF152" s="836" t="n"/>
    </row>
    <row r="153">
      <c r="A153" s="819" t="n"/>
      <c r="B153" s="820" t="n"/>
      <c r="C153" s="821">
        <f>SUM(Z153:AC153)</f>
        <v/>
      </c>
      <c r="D153" s="821">
        <f>SUM(AD153:AK153)</f>
        <v/>
      </c>
      <c r="E153" s="822">
        <f>SUM(AL153:AT153)</f>
        <v/>
      </c>
      <c r="F153" s="822">
        <f>SUM(AU153:AW153)</f>
        <v/>
      </c>
      <c r="G153" s="822">
        <f>SUM(AX153:BB153)</f>
        <v/>
      </c>
      <c r="H153" s="822">
        <f>SUM(BC153:BD153)</f>
        <v/>
      </c>
      <c r="I153" s="822">
        <f>SUM(V153:Y153)</f>
        <v/>
      </c>
      <c r="J153" s="823">
        <f>SUM(C153:I153)</f>
        <v/>
      </c>
      <c r="K153" s="824" t="n"/>
      <c r="L153" s="825" t="n"/>
      <c r="M153" s="826" t="n"/>
      <c r="N153" s="827" t="n"/>
      <c r="O153" s="828" t="n"/>
      <c r="P153" s="827" t="n"/>
      <c r="Q153" s="827" t="n"/>
      <c r="R153" s="829">
        <f>R152+SUM(N153:Q153)-SUM(J153:M153)</f>
        <v/>
      </c>
      <c r="S153" s="830" t="n"/>
      <c r="T153" s="831" t="n"/>
      <c r="U153" s="832" t="n"/>
      <c r="V153" s="833" t="n"/>
      <c r="W153" s="821" t="n"/>
      <c r="X153" s="821" t="n"/>
      <c r="Y153" s="821" t="n"/>
      <c r="Z153" s="821" t="n"/>
      <c r="AA153" s="834" t="n"/>
      <c r="AB153" s="835" t="n"/>
      <c r="AC153" s="836" t="n"/>
      <c r="AD153" s="837" t="n"/>
      <c r="AE153" s="838" t="n"/>
      <c r="AF153" s="839" t="n"/>
      <c r="AG153" s="839" t="n"/>
      <c r="AH153" s="839" t="n"/>
      <c r="AI153" s="839" t="n"/>
      <c r="AJ153" s="839" t="n"/>
      <c r="AK153" s="840" t="n"/>
      <c r="AL153" s="841" t="n"/>
      <c r="AM153" s="839" t="n"/>
      <c r="AN153" s="839" t="n"/>
      <c r="AO153" s="839" t="n"/>
      <c r="AP153" s="839" t="n"/>
      <c r="AQ153" s="839" t="n"/>
      <c r="AR153" s="839" t="n"/>
      <c r="AS153" s="839" t="n"/>
      <c r="AT153" s="842" t="n"/>
      <c r="AU153" s="838" t="n"/>
      <c r="AV153" s="840" t="n"/>
      <c r="AW153" s="843" t="n"/>
      <c r="AX153" s="844" t="n"/>
      <c r="AY153" s="845" t="n"/>
      <c r="AZ153" s="845" t="n"/>
      <c r="BA153" s="845" t="n"/>
      <c r="BB153" s="846" t="n"/>
      <c r="BC153" s="847" t="n"/>
      <c r="BD153" s="846" t="n"/>
      <c r="BE153" s="847" t="n"/>
      <c r="BF153" s="836" t="n"/>
    </row>
    <row r="154">
      <c r="A154" s="819" t="n"/>
      <c r="B154" s="820" t="n"/>
      <c r="C154" s="821">
        <f>SUM(Z154:AC154)</f>
        <v/>
      </c>
      <c r="D154" s="821">
        <f>SUM(AD154:AK154)</f>
        <v/>
      </c>
      <c r="E154" s="822">
        <f>SUM(AL154:AT154)</f>
        <v/>
      </c>
      <c r="F154" s="822">
        <f>SUM(AU154:AW154)</f>
        <v/>
      </c>
      <c r="G154" s="822">
        <f>SUM(AX154:BB154)</f>
        <v/>
      </c>
      <c r="H154" s="822">
        <f>SUM(BC154:BD154)</f>
        <v/>
      </c>
      <c r="I154" s="822">
        <f>SUM(V154:Y154)</f>
        <v/>
      </c>
      <c r="J154" s="823">
        <f>SUM(C154:I154)</f>
        <v/>
      </c>
      <c r="K154" s="824" t="n"/>
      <c r="L154" s="825" t="n"/>
      <c r="M154" s="826" t="n"/>
      <c r="N154" s="827" t="n"/>
      <c r="O154" s="828" t="n"/>
      <c r="P154" s="827" t="n"/>
      <c r="Q154" s="827" t="n"/>
      <c r="R154" s="829">
        <f>R153+SUM(N154:Q154)-SUM(J154:M154)</f>
        <v/>
      </c>
      <c r="S154" s="830" t="n"/>
      <c r="T154" s="831" t="n"/>
      <c r="U154" s="832" t="n"/>
      <c r="V154" s="833" t="n"/>
      <c r="W154" s="821" t="n"/>
      <c r="X154" s="821" t="n"/>
      <c r="Y154" s="821" t="n"/>
      <c r="Z154" s="821" t="n"/>
      <c r="AA154" s="834" t="n"/>
      <c r="AB154" s="835" t="n"/>
      <c r="AC154" s="836" t="n"/>
      <c r="AD154" s="837" t="n"/>
      <c r="AE154" s="838" t="n"/>
      <c r="AF154" s="839" t="n"/>
      <c r="AG154" s="839" t="n"/>
      <c r="AH154" s="839" t="n"/>
      <c r="AI154" s="839" t="n"/>
      <c r="AJ154" s="839" t="n"/>
      <c r="AK154" s="840" t="n"/>
      <c r="AL154" s="841" t="n"/>
      <c r="AM154" s="839" t="n"/>
      <c r="AN154" s="839" t="n"/>
      <c r="AO154" s="839" t="n"/>
      <c r="AP154" s="839" t="n"/>
      <c r="AQ154" s="839" t="n"/>
      <c r="AR154" s="839" t="n"/>
      <c r="AS154" s="839" t="n"/>
      <c r="AT154" s="842" t="n"/>
      <c r="AU154" s="838" t="n"/>
      <c r="AV154" s="840" t="n"/>
      <c r="AW154" s="843" t="n"/>
      <c r="AX154" s="844" t="n"/>
      <c r="AY154" s="845" t="n"/>
      <c r="AZ154" s="845" t="n"/>
      <c r="BA154" s="845" t="n"/>
      <c r="BB154" s="846" t="n"/>
      <c r="BC154" s="847" t="n"/>
      <c r="BD154" s="846" t="n"/>
      <c r="BE154" s="847" t="n"/>
      <c r="BF154" s="836" t="n"/>
    </row>
    <row r="155">
      <c r="A155" s="819" t="n"/>
      <c r="B155" s="820" t="n"/>
      <c r="C155" s="821">
        <f>SUM(Z155:AC155)</f>
        <v/>
      </c>
      <c r="D155" s="821">
        <f>SUM(AD155:AK155)</f>
        <v/>
      </c>
      <c r="E155" s="822">
        <f>SUM(AL155:AT155)</f>
        <v/>
      </c>
      <c r="F155" s="822">
        <f>SUM(AU155:AW155)</f>
        <v/>
      </c>
      <c r="G155" s="822">
        <f>SUM(AX155:BB155)</f>
        <v/>
      </c>
      <c r="H155" s="822">
        <f>SUM(BC155:BD155)</f>
        <v/>
      </c>
      <c r="I155" s="822">
        <f>SUM(V155:Y155)</f>
        <v/>
      </c>
      <c r="J155" s="823">
        <f>SUM(C155:I155)</f>
        <v/>
      </c>
      <c r="K155" s="824" t="n"/>
      <c r="L155" s="825" t="n"/>
      <c r="M155" s="826" t="n"/>
      <c r="N155" s="827" t="n"/>
      <c r="O155" s="828" t="n"/>
      <c r="P155" s="827" t="n"/>
      <c r="Q155" s="827" t="n"/>
      <c r="R155" s="829">
        <f>R154+SUM(N155:Q155)-SUM(J155:M155)</f>
        <v/>
      </c>
      <c r="S155" s="830" t="n"/>
      <c r="T155" s="831" t="n"/>
      <c r="U155" s="832" t="n"/>
      <c r="V155" s="833" t="n"/>
      <c r="W155" s="821" t="n"/>
      <c r="X155" s="821" t="n"/>
      <c r="Y155" s="821" t="n"/>
      <c r="Z155" s="821" t="n"/>
      <c r="AA155" s="834" t="n"/>
      <c r="AB155" s="835" t="n"/>
      <c r="AC155" s="836" t="n"/>
      <c r="AD155" s="837" t="n"/>
      <c r="AE155" s="838" t="n"/>
      <c r="AF155" s="839" t="n"/>
      <c r="AG155" s="839" t="n"/>
      <c r="AH155" s="839" t="n"/>
      <c r="AI155" s="839" t="n"/>
      <c r="AJ155" s="839" t="n"/>
      <c r="AK155" s="840" t="n"/>
      <c r="AL155" s="841" t="n"/>
      <c r="AM155" s="839" t="n"/>
      <c r="AN155" s="839" t="n"/>
      <c r="AO155" s="839" t="n"/>
      <c r="AP155" s="839" t="n"/>
      <c r="AQ155" s="839" t="n"/>
      <c r="AR155" s="839" t="n"/>
      <c r="AS155" s="839" t="n"/>
      <c r="AT155" s="842" t="n"/>
      <c r="AU155" s="838" t="n"/>
      <c r="AV155" s="840" t="n"/>
      <c r="AW155" s="843" t="n"/>
      <c r="AX155" s="844" t="n"/>
      <c r="AY155" s="845" t="n"/>
      <c r="AZ155" s="845" t="n"/>
      <c r="BA155" s="845" t="n"/>
      <c r="BB155" s="846" t="n"/>
      <c r="BC155" s="847" t="n"/>
      <c r="BD155" s="846" t="n"/>
      <c r="BE155" s="847" t="n"/>
      <c r="BF155" s="836" t="n"/>
    </row>
    <row r="156">
      <c r="A156" s="819" t="n"/>
      <c r="B156" s="820" t="n"/>
      <c r="C156" s="821">
        <f>SUM(Z156:AC156)</f>
        <v/>
      </c>
      <c r="D156" s="821">
        <f>SUM(AD156:AK156)</f>
        <v/>
      </c>
      <c r="E156" s="822">
        <f>SUM(AL156:AT156)</f>
        <v/>
      </c>
      <c r="F156" s="822">
        <f>SUM(AU156:AW156)</f>
        <v/>
      </c>
      <c r="G156" s="822">
        <f>SUM(AX156:BB156)</f>
        <v/>
      </c>
      <c r="H156" s="822">
        <f>SUM(BC156:BD156)</f>
        <v/>
      </c>
      <c r="I156" s="822">
        <f>SUM(V156:Y156)</f>
        <v/>
      </c>
      <c r="J156" s="823">
        <f>SUM(C156:I156)</f>
        <v/>
      </c>
      <c r="K156" s="824" t="n"/>
      <c r="L156" s="825" t="n"/>
      <c r="M156" s="826" t="n"/>
      <c r="N156" s="827" t="n"/>
      <c r="O156" s="828" t="n"/>
      <c r="P156" s="827" t="n"/>
      <c r="Q156" s="827" t="n"/>
      <c r="R156" s="829">
        <f>R155+SUM(N156:Q156)-SUM(J156:M156)</f>
        <v/>
      </c>
      <c r="S156" s="830" t="n"/>
      <c r="T156" s="831" t="n"/>
      <c r="U156" s="832" t="n"/>
      <c r="V156" s="833" t="n"/>
      <c r="W156" s="821" t="n"/>
      <c r="X156" s="821" t="n"/>
      <c r="Y156" s="821" t="n"/>
      <c r="Z156" s="821" t="n"/>
      <c r="AA156" s="834" t="n"/>
      <c r="AB156" s="835" t="n"/>
      <c r="AC156" s="836" t="n"/>
      <c r="AD156" s="837" t="n"/>
      <c r="AE156" s="838" t="n"/>
      <c r="AF156" s="839" t="n"/>
      <c r="AG156" s="839" t="n"/>
      <c r="AH156" s="839" t="n"/>
      <c r="AI156" s="839" t="n"/>
      <c r="AJ156" s="839" t="n"/>
      <c r="AK156" s="840" t="n"/>
      <c r="AL156" s="841" t="n"/>
      <c r="AM156" s="839" t="n"/>
      <c r="AN156" s="839" t="n"/>
      <c r="AO156" s="839" t="n"/>
      <c r="AP156" s="839" t="n"/>
      <c r="AQ156" s="839" t="n"/>
      <c r="AR156" s="839" t="n"/>
      <c r="AS156" s="839" t="n"/>
      <c r="AT156" s="842" t="n"/>
      <c r="AU156" s="838" t="n"/>
      <c r="AV156" s="840" t="n"/>
      <c r="AW156" s="843" t="n"/>
      <c r="AX156" s="844" t="n"/>
      <c r="AY156" s="845" t="n"/>
      <c r="AZ156" s="845" t="n"/>
      <c r="BA156" s="845" t="n"/>
      <c r="BB156" s="846" t="n"/>
      <c r="BC156" s="847" t="n"/>
      <c r="BD156" s="846" t="n"/>
      <c r="BE156" s="847" t="n"/>
      <c r="BF156" s="836" t="n"/>
    </row>
    <row r="157">
      <c r="A157" s="819" t="n"/>
      <c r="B157" s="820" t="n"/>
      <c r="C157" s="821">
        <f>SUM(Z157:AC157)</f>
        <v/>
      </c>
      <c r="D157" s="821">
        <f>SUM(AD157:AK157)</f>
        <v/>
      </c>
      <c r="E157" s="822">
        <f>SUM(AL157:AT157)</f>
        <v/>
      </c>
      <c r="F157" s="822">
        <f>SUM(AU157:AW157)</f>
        <v/>
      </c>
      <c r="G157" s="822">
        <f>SUM(AX157:BB157)</f>
        <v/>
      </c>
      <c r="H157" s="822">
        <f>SUM(BC157:BD157)</f>
        <v/>
      </c>
      <c r="I157" s="822">
        <f>SUM(V157:Y157)</f>
        <v/>
      </c>
      <c r="J157" s="823">
        <f>SUM(C157:I157)</f>
        <v/>
      </c>
      <c r="K157" s="824" t="n"/>
      <c r="L157" s="825" t="n"/>
      <c r="M157" s="826" t="n"/>
      <c r="N157" s="827" t="n"/>
      <c r="O157" s="828" t="n"/>
      <c r="P157" s="827" t="n"/>
      <c r="Q157" s="827" t="n"/>
      <c r="R157" s="829">
        <f>R156+SUM(N157:Q157)-SUM(J157:M157)</f>
        <v/>
      </c>
      <c r="S157" s="830" t="n"/>
      <c r="T157" s="831" t="n"/>
      <c r="U157" s="832" t="n"/>
      <c r="V157" s="833" t="n"/>
      <c r="W157" s="821" t="n"/>
      <c r="X157" s="821" t="n"/>
      <c r="Y157" s="821" t="n"/>
      <c r="Z157" s="821" t="n"/>
      <c r="AA157" s="834" t="n"/>
      <c r="AB157" s="835" t="n"/>
      <c r="AC157" s="836" t="n"/>
      <c r="AD157" s="837" t="n"/>
      <c r="AE157" s="838" t="n"/>
      <c r="AF157" s="839" t="n"/>
      <c r="AG157" s="839" t="n"/>
      <c r="AH157" s="839" t="n"/>
      <c r="AI157" s="839" t="n"/>
      <c r="AJ157" s="839" t="n"/>
      <c r="AK157" s="840" t="n"/>
      <c r="AL157" s="841" t="n"/>
      <c r="AM157" s="839" t="n"/>
      <c r="AN157" s="839" t="n"/>
      <c r="AO157" s="839" t="n"/>
      <c r="AP157" s="839" t="n"/>
      <c r="AQ157" s="839" t="n"/>
      <c r="AR157" s="839" t="n"/>
      <c r="AS157" s="839" t="n"/>
      <c r="AT157" s="842" t="n"/>
      <c r="AU157" s="838" t="n"/>
      <c r="AV157" s="840" t="n"/>
      <c r="AW157" s="843" t="n"/>
      <c r="AX157" s="844" t="n"/>
      <c r="AY157" s="845" t="n"/>
      <c r="AZ157" s="845" t="n"/>
      <c r="BA157" s="845" t="n"/>
      <c r="BB157" s="846" t="n"/>
      <c r="BC157" s="847" t="n"/>
      <c r="BD157" s="846" t="n"/>
      <c r="BE157" s="847" t="n"/>
      <c r="BF157" s="836" t="n"/>
    </row>
    <row r="158">
      <c r="A158" s="819" t="n"/>
      <c r="B158" s="820" t="n"/>
      <c r="C158" s="821">
        <f>SUM(Z158:AC158)</f>
        <v/>
      </c>
      <c r="D158" s="821">
        <f>SUM(AD158:AK158)</f>
        <v/>
      </c>
      <c r="E158" s="822">
        <f>SUM(AL158:AT158)</f>
        <v/>
      </c>
      <c r="F158" s="822">
        <f>SUM(AU158:AW158)</f>
        <v/>
      </c>
      <c r="G158" s="822">
        <f>SUM(AX158:BB158)</f>
        <v/>
      </c>
      <c r="H158" s="822">
        <f>SUM(BC158:BD158)</f>
        <v/>
      </c>
      <c r="I158" s="822">
        <f>SUM(V158:Y158)</f>
        <v/>
      </c>
      <c r="J158" s="823">
        <f>SUM(C158:I158)</f>
        <v/>
      </c>
      <c r="K158" s="824" t="n"/>
      <c r="L158" s="825" t="n"/>
      <c r="M158" s="826" t="n"/>
      <c r="N158" s="827" t="n"/>
      <c r="O158" s="828" t="n"/>
      <c r="P158" s="827" t="n"/>
      <c r="Q158" s="827" t="n"/>
      <c r="R158" s="829">
        <f>R157+SUM(N158:Q158)-SUM(J158:M158)</f>
        <v/>
      </c>
      <c r="S158" s="830" t="n"/>
      <c r="T158" s="831" t="n"/>
      <c r="U158" s="832" t="n"/>
      <c r="V158" s="833" t="n"/>
      <c r="W158" s="821" t="n"/>
      <c r="X158" s="821" t="n"/>
      <c r="Y158" s="821" t="n"/>
      <c r="Z158" s="821" t="n"/>
      <c r="AA158" s="834" t="n"/>
      <c r="AB158" s="835" t="n"/>
      <c r="AC158" s="836" t="n"/>
      <c r="AD158" s="837" t="n"/>
      <c r="AE158" s="838" t="n"/>
      <c r="AF158" s="839" t="n"/>
      <c r="AG158" s="839" t="n"/>
      <c r="AH158" s="839" t="n"/>
      <c r="AI158" s="839" t="n"/>
      <c r="AJ158" s="839" t="n"/>
      <c r="AK158" s="840" t="n"/>
      <c r="AL158" s="841" t="n"/>
      <c r="AM158" s="839" t="n"/>
      <c r="AN158" s="839" t="n"/>
      <c r="AO158" s="839" t="n"/>
      <c r="AP158" s="839" t="n"/>
      <c r="AQ158" s="839" t="n"/>
      <c r="AR158" s="839" t="n"/>
      <c r="AS158" s="839" t="n"/>
      <c r="AT158" s="842" t="n"/>
      <c r="AU158" s="838" t="n"/>
      <c r="AV158" s="840" t="n"/>
      <c r="AW158" s="843" t="n"/>
      <c r="AX158" s="844" t="n"/>
      <c r="AY158" s="845" t="n"/>
      <c r="AZ158" s="845" t="n"/>
      <c r="BA158" s="845" t="n"/>
      <c r="BB158" s="846" t="n"/>
      <c r="BC158" s="847" t="n"/>
      <c r="BD158" s="846" t="n"/>
      <c r="BE158" s="847" t="n"/>
      <c r="BF158" s="836" t="n"/>
    </row>
    <row r="159">
      <c r="A159" s="819" t="n"/>
      <c r="B159" s="820" t="n"/>
      <c r="C159" s="821">
        <f>SUM(Z159:AC159)</f>
        <v/>
      </c>
      <c r="D159" s="821">
        <f>SUM(AD159:AK159)</f>
        <v/>
      </c>
      <c r="E159" s="822">
        <f>SUM(AL159:AT159)</f>
        <v/>
      </c>
      <c r="F159" s="822">
        <f>SUM(AU159:AW159)</f>
        <v/>
      </c>
      <c r="G159" s="822">
        <f>SUM(AX159:BB159)</f>
        <v/>
      </c>
      <c r="H159" s="822">
        <f>SUM(BC159:BD159)</f>
        <v/>
      </c>
      <c r="I159" s="822">
        <f>SUM(V159:Y159)</f>
        <v/>
      </c>
      <c r="J159" s="823">
        <f>SUM(C159:I159)</f>
        <v/>
      </c>
      <c r="K159" s="824" t="n"/>
      <c r="L159" s="825" t="n"/>
      <c r="M159" s="826" t="n"/>
      <c r="N159" s="827" t="n"/>
      <c r="O159" s="828" t="n"/>
      <c r="P159" s="827" t="n"/>
      <c r="Q159" s="827" t="n"/>
      <c r="R159" s="829">
        <f>R158+SUM(N159:Q159)-SUM(J159:M159)</f>
        <v/>
      </c>
      <c r="S159" s="830" t="n"/>
      <c r="T159" s="831" t="n"/>
      <c r="U159" s="832" t="n"/>
      <c r="V159" s="833" t="n"/>
      <c r="W159" s="821" t="n"/>
      <c r="X159" s="821" t="n"/>
      <c r="Y159" s="821" t="n"/>
      <c r="Z159" s="821" t="n"/>
      <c r="AA159" s="834" t="n"/>
      <c r="AB159" s="835" t="n"/>
      <c r="AC159" s="836" t="n"/>
      <c r="AD159" s="837" t="n"/>
      <c r="AE159" s="838" t="n"/>
      <c r="AF159" s="839" t="n"/>
      <c r="AG159" s="839" t="n"/>
      <c r="AH159" s="839" t="n"/>
      <c r="AI159" s="839" t="n"/>
      <c r="AJ159" s="839" t="n"/>
      <c r="AK159" s="840" t="n"/>
      <c r="AL159" s="841" t="n"/>
      <c r="AM159" s="839" t="n"/>
      <c r="AN159" s="839" t="n"/>
      <c r="AO159" s="839" t="n"/>
      <c r="AP159" s="839" t="n"/>
      <c r="AQ159" s="839" t="n"/>
      <c r="AR159" s="839" t="n"/>
      <c r="AS159" s="839" t="n"/>
      <c r="AT159" s="842" t="n"/>
      <c r="AU159" s="838" t="n"/>
      <c r="AV159" s="840" t="n"/>
      <c r="AW159" s="843" t="n"/>
      <c r="AX159" s="844" t="n"/>
      <c r="AY159" s="845" t="n"/>
      <c r="AZ159" s="845" t="n"/>
      <c r="BA159" s="845" t="n"/>
      <c r="BB159" s="846" t="n"/>
      <c r="BC159" s="847" t="n"/>
      <c r="BD159" s="846" t="n"/>
      <c r="BE159" s="847" t="n"/>
      <c r="BF159" s="836" t="n"/>
    </row>
    <row r="160">
      <c r="A160" s="819" t="n"/>
      <c r="B160" s="820" t="n"/>
      <c r="C160" s="821">
        <f>SUM(Z160:AC160)</f>
        <v/>
      </c>
      <c r="D160" s="821">
        <f>SUM(AD160:AK160)</f>
        <v/>
      </c>
      <c r="E160" s="822">
        <f>SUM(AL160:AT160)</f>
        <v/>
      </c>
      <c r="F160" s="822">
        <f>SUM(AU160:AW160)</f>
        <v/>
      </c>
      <c r="G160" s="822">
        <f>SUM(AX160:BB160)</f>
        <v/>
      </c>
      <c r="H160" s="822">
        <f>SUM(BC160:BD160)</f>
        <v/>
      </c>
      <c r="I160" s="822">
        <f>SUM(V160:Y160)</f>
        <v/>
      </c>
      <c r="J160" s="823">
        <f>SUM(C160:I160)</f>
        <v/>
      </c>
      <c r="K160" s="824" t="n"/>
      <c r="L160" s="825" t="n"/>
      <c r="M160" s="826" t="n"/>
      <c r="N160" s="827" t="n"/>
      <c r="O160" s="828" t="n"/>
      <c r="P160" s="827" t="n"/>
      <c r="Q160" s="827" t="n"/>
      <c r="R160" s="829">
        <f>R159+SUM(N160:Q160)-SUM(J160:M160)</f>
        <v/>
      </c>
      <c r="S160" s="830" t="n"/>
      <c r="T160" s="831" t="n"/>
      <c r="U160" s="832" t="n"/>
      <c r="V160" s="833" t="n"/>
      <c r="W160" s="821" t="n"/>
      <c r="X160" s="821" t="n"/>
      <c r="Y160" s="821" t="n"/>
      <c r="Z160" s="821" t="n"/>
      <c r="AA160" s="834" t="n"/>
      <c r="AB160" s="835" t="n"/>
      <c r="AC160" s="836" t="n"/>
      <c r="AD160" s="837" t="n"/>
      <c r="AE160" s="838" t="n"/>
      <c r="AF160" s="839" t="n"/>
      <c r="AG160" s="839" t="n"/>
      <c r="AH160" s="839" t="n"/>
      <c r="AI160" s="839" t="n"/>
      <c r="AJ160" s="839" t="n"/>
      <c r="AK160" s="840" t="n"/>
      <c r="AL160" s="841" t="n"/>
      <c r="AM160" s="839" t="n"/>
      <c r="AN160" s="839" t="n"/>
      <c r="AO160" s="839" t="n"/>
      <c r="AP160" s="839" t="n"/>
      <c r="AQ160" s="839" t="n"/>
      <c r="AR160" s="839" t="n"/>
      <c r="AS160" s="839" t="n"/>
      <c r="AT160" s="842" t="n"/>
      <c r="AU160" s="838" t="n"/>
      <c r="AV160" s="840" t="n"/>
      <c r="AW160" s="843" t="n"/>
      <c r="AX160" s="844" t="n"/>
      <c r="AY160" s="845" t="n"/>
      <c r="AZ160" s="845" t="n"/>
      <c r="BA160" s="845" t="n"/>
      <c r="BB160" s="846" t="n"/>
      <c r="BC160" s="847" t="n"/>
      <c r="BD160" s="846" t="n"/>
      <c r="BE160" s="847" t="n"/>
      <c r="BF160" s="836" t="n"/>
    </row>
    <row r="161">
      <c r="A161" s="819" t="n"/>
      <c r="B161" s="820" t="n"/>
      <c r="C161" s="821">
        <f>SUM(Z161:AC161)</f>
        <v/>
      </c>
      <c r="D161" s="821">
        <f>SUM(AD161:AK161)</f>
        <v/>
      </c>
      <c r="E161" s="822">
        <f>SUM(AL161:AT161)</f>
        <v/>
      </c>
      <c r="F161" s="822">
        <f>SUM(AU161:AW161)</f>
        <v/>
      </c>
      <c r="G161" s="822">
        <f>SUM(AX161:BB161)</f>
        <v/>
      </c>
      <c r="H161" s="822">
        <f>SUM(BC161:BD161)</f>
        <v/>
      </c>
      <c r="I161" s="822">
        <f>SUM(V161:Y161)</f>
        <v/>
      </c>
      <c r="J161" s="823">
        <f>SUM(C161:I161)</f>
        <v/>
      </c>
      <c r="K161" s="824" t="n"/>
      <c r="L161" s="825" t="n"/>
      <c r="M161" s="826" t="n"/>
      <c r="N161" s="827" t="n"/>
      <c r="O161" s="828" t="n"/>
      <c r="P161" s="827" t="n"/>
      <c r="Q161" s="827" t="n"/>
      <c r="R161" s="829">
        <f>R160+SUM(N161:Q161)-SUM(J161:M161)</f>
        <v/>
      </c>
      <c r="S161" s="830" t="n"/>
      <c r="T161" s="831" t="n"/>
      <c r="U161" s="832" t="n"/>
      <c r="V161" s="833" t="n"/>
      <c r="W161" s="821" t="n"/>
      <c r="X161" s="821" t="n"/>
      <c r="Y161" s="821" t="n"/>
      <c r="Z161" s="821" t="n"/>
      <c r="AA161" s="834" t="n"/>
      <c r="AB161" s="835" t="n"/>
      <c r="AC161" s="836" t="n"/>
      <c r="AD161" s="837" t="n"/>
      <c r="AE161" s="838" t="n"/>
      <c r="AF161" s="839" t="n"/>
      <c r="AG161" s="839" t="n"/>
      <c r="AH161" s="839" t="n"/>
      <c r="AI161" s="839" t="n"/>
      <c r="AJ161" s="839" t="n"/>
      <c r="AK161" s="840" t="n"/>
      <c r="AL161" s="841" t="n"/>
      <c r="AM161" s="839" t="n"/>
      <c r="AN161" s="839" t="n"/>
      <c r="AO161" s="839" t="n"/>
      <c r="AP161" s="839" t="n"/>
      <c r="AQ161" s="839" t="n"/>
      <c r="AR161" s="839" t="n"/>
      <c r="AS161" s="839" t="n"/>
      <c r="AT161" s="842" t="n"/>
      <c r="AU161" s="838" t="n"/>
      <c r="AV161" s="840" t="n"/>
      <c r="AW161" s="843" t="n"/>
      <c r="AX161" s="844" t="n"/>
      <c r="AY161" s="845" t="n"/>
      <c r="AZ161" s="845" t="n"/>
      <c r="BA161" s="845" t="n"/>
      <c r="BB161" s="846" t="n"/>
      <c r="BC161" s="847" t="n"/>
      <c r="BD161" s="846" t="n"/>
      <c r="BE161" s="847" t="n"/>
      <c r="BF161" s="836" t="n"/>
    </row>
    <row r="162">
      <c r="A162" s="819" t="n"/>
      <c r="B162" s="820" t="n"/>
      <c r="C162" s="821">
        <f>SUM(Z162:AC162)</f>
        <v/>
      </c>
      <c r="D162" s="821">
        <f>SUM(AD162:AK162)</f>
        <v/>
      </c>
      <c r="E162" s="822">
        <f>SUM(AL162:AT162)</f>
        <v/>
      </c>
      <c r="F162" s="822">
        <f>SUM(AU162:AW162)</f>
        <v/>
      </c>
      <c r="G162" s="822">
        <f>SUM(AX162:BB162)</f>
        <v/>
      </c>
      <c r="H162" s="822">
        <f>SUM(BC162:BD162)</f>
        <v/>
      </c>
      <c r="I162" s="822">
        <f>SUM(V162:Y162)</f>
        <v/>
      </c>
      <c r="J162" s="823">
        <f>SUM(C162:I162)</f>
        <v/>
      </c>
      <c r="K162" s="824" t="n"/>
      <c r="L162" s="825" t="n"/>
      <c r="M162" s="826" t="n"/>
      <c r="N162" s="827" t="n"/>
      <c r="O162" s="828" t="n"/>
      <c r="P162" s="827" t="n"/>
      <c r="Q162" s="827" t="n"/>
      <c r="R162" s="829">
        <f>R161+SUM(N162:Q162)-SUM(J162:M162)</f>
        <v/>
      </c>
      <c r="S162" s="830" t="n"/>
      <c r="T162" s="831" t="n"/>
      <c r="U162" s="832" t="n"/>
      <c r="V162" s="833" t="n"/>
      <c r="W162" s="821" t="n"/>
      <c r="X162" s="821" t="n"/>
      <c r="Y162" s="821" t="n"/>
      <c r="Z162" s="821" t="n"/>
      <c r="AA162" s="834" t="n"/>
      <c r="AB162" s="835" t="n"/>
      <c r="AC162" s="836" t="n"/>
      <c r="AD162" s="837" t="n"/>
      <c r="AE162" s="838" t="n"/>
      <c r="AF162" s="839" t="n"/>
      <c r="AG162" s="839" t="n"/>
      <c r="AH162" s="839" t="n"/>
      <c r="AI162" s="839" t="n"/>
      <c r="AJ162" s="839" t="n"/>
      <c r="AK162" s="840" t="n"/>
      <c r="AL162" s="841" t="n"/>
      <c r="AM162" s="839" t="n"/>
      <c r="AN162" s="839" t="n"/>
      <c r="AO162" s="839" t="n"/>
      <c r="AP162" s="839" t="n"/>
      <c r="AQ162" s="839" t="n"/>
      <c r="AR162" s="839" t="n"/>
      <c r="AS162" s="839" t="n"/>
      <c r="AT162" s="842" t="n"/>
      <c r="AU162" s="838" t="n"/>
      <c r="AV162" s="840" t="n"/>
      <c r="AW162" s="843" t="n"/>
      <c r="AX162" s="844" t="n"/>
      <c r="AY162" s="845" t="n"/>
      <c r="AZ162" s="845" t="n"/>
      <c r="BA162" s="845" t="n"/>
      <c r="BB162" s="846" t="n"/>
      <c r="BC162" s="847" t="n"/>
      <c r="BD162" s="846" t="n"/>
      <c r="BE162" s="847" t="n"/>
      <c r="BF162" s="836" t="n"/>
    </row>
    <row r="163">
      <c r="A163" s="819" t="n"/>
      <c r="B163" s="820" t="n"/>
      <c r="C163" s="821">
        <f>SUM(Z163:AC163)</f>
        <v/>
      </c>
      <c r="D163" s="821">
        <f>SUM(AD163:AK163)</f>
        <v/>
      </c>
      <c r="E163" s="822">
        <f>SUM(AL163:AT163)</f>
        <v/>
      </c>
      <c r="F163" s="822">
        <f>SUM(AU163:AW163)</f>
        <v/>
      </c>
      <c r="G163" s="822">
        <f>SUM(AX163:BB163)</f>
        <v/>
      </c>
      <c r="H163" s="822">
        <f>SUM(BC163:BD163)</f>
        <v/>
      </c>
      <c r="I163" s="822">
        <f>SUM(V163:Y163)</f>
        <v/>
      </c>
      <c r="J163" s="823">
        <f>SUM(C163:I163)</f>
        <v/>
      </c>
      <c r="K163" s="824" t="n"/>
      <c r="L163" s="825" t="n"/>
      <c r="M163" s="826" t="n"/>
      <c r="N163" s="827" t="n"/>
      <c r="O163" s="828" t="n"/>
      <c r="P163" s="827" t="n"/>
      <c r="Q163" s="827" t="n"/>
      <c r="R163" s="829">
        <f>R162+SUM(N163:Q163)-SUM(J163:M163)</f>
        <v/>
      </c>
      <c r="S163" s="830" t="n"/>
      <c r="T163" s="831" t="n"/>
      <c r="U163" s="832" t="n"/>
      <c r="V163" s="833" t="n"/>
      <c r="W163" s="821" t="n"/>
      <c r="X163" s="821" t="n"/>
      <c r="Y163" s="821" t="n"/>
      <c r="Z163" s="821" t="n"/>
      <c r="AA163" s="834" t="n"/>
      <c r="AB163" s="835" t="n"/>
      <c r="AC163" s="836" t="n"/>
      <c r="AD163" s="837" t="n"/>
      <c r="AE163" s="838" t="n"/>
      <c r="AF163" s="839" t="n"/>
      <c r="AG163" s="839" t="n"/>
      <c r="AH163" s="839" t="n"/>
      <c r="AI163" s="839" t="n"/>
      <c r="AJ163" s="839" t="n"/>
      <c r="AK163" s="840" t="n"/>
      <c r="AL163" s="841" t="n"/>
      <c r="AM163" s="839" t="n"/>
      <c r="AN163" s="839" t="n"/>
      <c r="AO163" s="839" t="n"/>
      <c r="AP163" s="839" t="n"/>
      <c r="AQ163" s="839" t="n"/>
      <c r="AR163" s="839" t="n"/>
      <c r="AS163" s="839" t="n"/>
      <c r="AT163" s="842" t="n"/>
      <c r="AU163" s="838" t="n"/>
      <c r="AV163" s="840" t="n"/>
      <c r="AW163" s="843" t="n"/>
      <c r="AX163" s="844" t="n"/>
      <c r="AY163" s="845" t="n"/>
      <c r="AZ163" s="845" t="n"/>
      <c r="BA163" s="845" t="n"/>
      <c r="BB163" s="846" t="n"/>
      <c r="BC163" s="847" t="n"/>
      <c r="BD163" s="846" t="n"/>
      <c r="BE163" s="847" t="n"/>
      <c r="BF163" s="836" t="n"/>
    </row>
    <row r="164">
      <c r="A164" s="819" t="n"/>
      <c r="B164" s="820" t="n"/>
      <c r="C164" s="821">
        <f>SUM(Z164:AC164)</f>
        <v/>
      </c>
      <c r="D164" s="821">
        <f>SUM(AD164:AK164)</f>
        <v/>
      </c>
      <c r="E164" s="822">
        <f>SUM(AL164:AT164)</f>
        <v/>
      </c>
      <c r="F164" s="822">
        <f>SUM(AU164:AW164)</f>
        <v/>
      </c>
      <c r="G164" s="822">
        <f>SUM(AX164:BB164)</f>
        <v/>
      </c>
      <c r="H164" s="822">
        <f>SUM(BC164:BD164)</f>
        <v/>
      </c>
      <c r="I164" s="822">
        <f>SUM(V164:Y164)</f>
        <v/>
      </c>
      <c r="J164" s="823">
        <f>SUM(C164:I164)</f>
        <v/>
      </c>
      <c r="K164" s="824" t="n"/>
      <c r="L164" s="825" t="n"/>
      <c r="M164" s="826" t="n"/>
      <c r="N164" s="827" t="n"/>
      <c r="O164" s="828" t="n"/>
      <c r="P164" s="827" t="n"/>
      <c r="Q164" s="827" t="n"/>
      <c r="R164" s="829">
        <f>R163+SUM(N164:Q164)-SUM(J164:M164)</f>
        <v/>
      </c>
      <c r="S164" s="830" t="n"/>
      <c r="T164" s="831" t="n"/>
      <c r="U164" s="832" t="n"/>
      <c r="V164" s="833" t="n"/>
      <c r="W164" s="821" t="n"/>
      <c r="X164" s="821" t="n"/>
      <c r="Y164" s="821" t="n"/>
      <c r="Z164" s="821" t="n"/>
      <c r="AA164" s="834" t="n"/>
      <c r="AB164" s="835" t="n"/>
      <c r="AC164" s="836" t="n"/>
      <c r="AD164" s="837" t="n"/>
      <c r="AE164" s="838" t="n"/>
      <c r="AF164" s="839" t="n"/>
      <c r="AG164" s="839" t="n"/>
      <c r="AH164" s="839" t="n"/>
      <c r="AI164" s="839" t="n"/>
      <c r="AJ164" s="839" t="n"/>
      <c r="AK164" s="840" t="n"/>
      <c r="AL164" s="841" t="n"/>
      <c r="AM164" s="839" t="n"/>
      <c r="AN164" s="839" t="n"/>
      <c r="AO164" s="839" t="n"/>
      <c r="AP164" s="839" t="n"/>
      <c r="AQ164" s="839" t="n"/>
      <c r="AR164" s="839" t="n"/>
      <c r="AS164" s="839" t="n"/>
      <c r="AT164" s="842" t="n"/>
      <c r="AU164" s="838" t="n"/>
      <c r="AV164" s="840" t="n"/>
      <c r="AW164" s="843" t="n"/>
      <c r="AX164" s="844" t="n"/>
      <c r="AY164" s="845" t="n"/>
      <c r="AZ164" s="845" t="n"/>
      <c r="BA164" s="845" t="n"/>
      <c r="BB164" s="846" t="n"/>
      <c r="BC164" s="847" t="n"/>
      <c r="BD164" s="846" t="n"/>
      <c r="BE164" s="847" t="n"/>
      <c r="BF164" s="836" t="n"/>
    </row>
    <row r="165">
      <c r="A165" s="819" t="n"/>
      <c r="B165" s="820" t="n"/>
      <c r="C165" s="821">
        <f>SUM(Z165:AC165)</f>
        <v/>
      </c>
      <c r="D165" s="821">
        <f>SUM(AD165:AK165)</f>
        <v/>
      </c>
      <c r="E165" s="822">
        <f>SUM(AL165:AT165)</f>
        <v/>
      </c>
      <c r="F165" s="822">
        <f>SUM(AU165:AW165)</f>
        <v/>
      </c>
      <c r="G165" s="822">
        <f>SUM(AX165:BB165)</f>
        <v/>
      </c>
      <c r="H165" s="822">
        <f>SUM(BC165:BD165)</f>
        <v/>
      </c>
      <c r="I165" s="822">
        <f>SUM(V165:Y165)</f>
        <v/>
      </c>
      <c r="J165" s="823">
        <f>SUM(C165:I165)</f>
        <v/>
      </c>
      <c r="K165" s="824" t="n"/>
      <c r="L165" s="825" t="n"/>
      <c r="M165" s="826" t="n"/>
      <c r="N165" s="827" t="n"/>
      <c r="O165" s="828" t="n"/>
      <c r="P165" s="827" t="n"/>
      <c r="Q165" s="827" t="n"/>
      <c r="R165" s="829">
        <f>R164+SUM(N165:Q165)-SUM(J165:M165)</f>
        <v/>
      </c>
      <c r="S165" s="830" t="n"/>
      <c r="T165" s="831" t="n"/>
      <c r="U165" s="832" t="n"/>
      <c r="V165" s="833" t="n"/>
      <c r="W165" s="821" t="n"/>
      <c r="X165" s="821" t="n"/>
      <c r="Y165" s="821" t="n"/>
      <c r="Z165" s="821" t="n"/>
      <c r="AA165" s="834" t="n"/>
      <c r="AB165" s="835" t="n"/>
      <c r="AC165" s="836" t="n"/>
      <c r="AD165" s="837" t="n"/>
      <c r="AE165" s="838" t="n"/>
      <c r="AF165" s="839" t="n"/>
      <c r="AG165" s="839" t="n"/>
      <c r="AH165" s="839" t="n"/>
      <c r="AI165" s="839" t="n"/>
      <c r="AJ165" s="839" t="n"/>
      <c r="AK165" s="840" t="n"/>
      <c r="AL165" s="841" t="n"/>
      <c r="AM165" s="839" t="n"/>
      <c r="AN165" s="839" t="n"/>
      <c r="AO165" s="839" t="n"/>
      <c r="AP165" s="839" t="n"/>
      <c r="AQ165" s="839" t="n"/>
      <c r="AR165" s="839" t="n"/>
      <c r="AS165" s="839" t="n"/>
      <c r="AT165" s="842" t="n"/>
      <c r="AU165" s="838" t="n"/>
      <c r="AV165" s="840" t="n"/>
      <c r="AW165" s="843" t="n"/>
      <c r="AX165" s="844" t="n"/>
      <c r="AY165" s="845" t="n"/>
      <c r="AZ165" s="845" t="n"/>
      <c r="BA165" s="845" t="n"/>
      <c r="BB165" s="846" t="n"/>
      <c r="BC165" s="847" t="n"/>
      <c r="BD165" s="846" t="n"/>
      <c r="BE165" s="847" t="n"/>
      <c r="BF165" s="836" t="n"/>
    </row>
    <row r="166">
      <c r="A166" s="819" t="n"/>
      <c r="B166" s="820" t="n"/>
      <c r="C166" s="821">
        <f>SUM(Z166:AC166)</f>
        <v/>
      </c>
      <c r="D166" s="821">
        <f>SUM(AD166:AK166)</f>
        <v/>
      </c>
      <c r="E166" s="822">
        <f>SUM(AL166:AT166)</f>
        <v/>
      </c>
      <c r="F166" s="822">
        <f>SUM(AU166:AW166)</f>
        <v/>
      </c>
      <c r="G166" s="822">
        <f>SUM(AX166:BB166)</f>
        <v/>
      </c>
      <c r="H166" s="822">
        <f>SUM(BC166:BD166)</f>
        <v/>
      </c>
      <c r="I166" s="822">
        <f>SUM(V166:Y166)</f>
        <v/>
      </c>
      <c r="J166" s="823">
        <f>SUM(C166:I166)</f>
        <v/>
      </c>
      <c r="K166" s="824" t="n"/>
      <c r="L166" s="825" t="n"/>
      <c r="M166" s="826" t="n"/>
      <c r="N166" s="827" t="n"/>
      <c r="O166" s="828" t="n"/>
      <c r="P166" s="827" t="n"/>
      <c r="Q166" s="827" t="n"/>
      <c r="R166" s="829">
        <f>R165+SUM(N166:Q166)-SUM(J166:M166)</f>
        <v/>
      </c>
      <c r="S166" s="830" t="n"/>
      <c r="T166" s="831" t="n"/>
      <c r="U166" s="832" t="n"/>
      <c r="V166" s="833" t="n"/>
      <c r="W166" s="821" t="n"/>
      <c r="X166" s="821" t="n"/>
      <c r="Y166" s="821" t="n"/>
      <c r="Z166" s="821" t="n"/>
      <c r="AA166" s="834" t="n"/>
      <c r="AB166" s="835" t="n"/>
      <c r="AC166" s="836" t="n"/>
      <c r="AD166" s="837" t="n"/>
      <c r="AE166" s="838" t="n"/>
      <c r="AF166" s="839" t="n"/>
      <c r="AG166" s="839" t="n"/>
      <c r="AH166" s="839" t="n"/>
      <c r="AI166" s="839" t="n"/>
      <c r="AJ166" s="839" t="n"/>
      <c r="AK166" s="840" t="n"/>
      <c r="AL166" s="841" t="n"/>
      <c r="AM166" s="839" t="n"/>
      <c r="AN166" s="839" t="n"/>
      <c r="AO166" s="839" t="n"/>
      <c r="AP166" s="839" t="n"/>
      <c r="AQ166" s="839" t="n"/>
      <c r="AR166" s="839" t="n"/>
      <c r="AS166" s="839" t="n"/>
      <c r="AT166" s="842" t="n"/>
      <c r="AU166" s="838" t="n"/>
      <c r="AV166" s="840" t="n"/>
      <c r="AW166" s="843" t="n"/>
      <c r="AX166" s="844" t="n"/>
      <c r="AY166" s="845" t="n"/>
      <c r="AZ166" s="845" t="n"/>
      <c r="BA166" s="845" t="n"/>
      <c r="BB166" s="846" t="n"/>
      <c r="BC166" s="847" t="n"/>
      <c r="BD166" s="846" t="n"/>
      <c r="BE166" s="847" t="n"/>
      <c r="BF166" s="836" t="n"/>
    </row>
    <row r="167">
      <c r="A167" s="819" t="n"/>
      <c r="B167" s="820" t="n"/>
      <c r="C167" s="821">
        <f>SUM(Z167:AC167)</f>
        <v/>
      </c>
      <c r="D167" s="821">
        <f>SUM(AD167:AK167)</f>
        <v/>
      </c>
      <c r="E167" s="822">
        <f>SUM(AL167:AT167)</f>
        <v/>
      </c>
      <c r="F167" s="822">
        <f>SUM(AU167:AW167)</f>
        <v/>
      </c>
      <c r="G167" s="822">
        <f>SUM(AX167:BB167)</f>
        <v/>
      </c>
      <c r="H167" s="822">
        <f>SUM(BC167:BD167)</f>
        <v/>
      </c>
      <c r="I167" s="822">
        <f>SUM(V167:Y167)</f>
        <v/>
      </c>
      <c r="J167" s="823">
        <f>SUM(C167:I167)</f>
        <v/>
      </c>
      <c r="K167" s="824" t="n"/>
      <c r="L167" s="825" t="n"/>
      <c r="M167" s="826" t="n"/>
      <c r="N167" s="827" t="n"/>
      <c r="O167" s="828" t="n"/>
      <c r="P167" s="827" t="n"/>
      <c r="Q167" s="827" t="n"/>
      <c r="R167" s="829">
        <f>R166+SUM(N167:Q167)-SUM(J167:M167)</f>
        <v/>
      </c>
      <c r="S167" s="830" t="n"/>
      <c r="T167" s="831" t="n"/>
      <c r="U167" s="832" t="n"/>
      <c r="V167" s="833" t="n"/>
      <c r="W167" s="821" t="n"/>
      <c r="X167" s="821" t="n"/>
      <c r="Y167" s="821" t="n"/>
      <c r="Z167" s="821" t="n"/>
      <c r="AA167" s="834" t="n"/>
      <c r="AB167" s="835" t="n"/>
      <c r="AC167" s="836" t="n"/>
      <c r="AD167" s="837" t="n"/>
      <c r="AE167" s="838" t="n"/>
      <c r="AF167" s="839" t="n"/>
      <c r="AG167" s="839" t="n"/>
      <c r="AH167" s="839" t="n"/>
      <c r="AI167" s="839" t="n"/>
      <c r="AJ167" s="839" t="n"/>
      <c r="AK167" s="840" t="n"/>
      <c r="AL167" s="841" t="n"/>
      <c r="AM167" s="839" t="n"/>
      <c r="AN167" s="839" t="n"/>
      <c r="AO167" s="839" t="n"/>
      <c r="AP167" s="839" t="n"/>
      <c r="AQ167" s="839" t="n"/>
      <c r="AR167" s="839" t="n"/>
      <c r="AS167" s="839" t="n"/>
      <c r="AT167" s="842" t="n"/>
      <c r="AU167" s="838" t="n"/>
      <c r="AV167" s="840" t="n"/>
      <c r="AW167" s="843" t="n"/>
      <c r="AX167" s="844" t="n"/>
      <c r="AY167" s="845" t="n"/>
      <c r="AZ167" s="845" t="n"/>
      <c r="BA167" s="845" t="n"/>
      <c r="BB167" s="846" t="n"/>
      <c r="BC167" s="847" t="n"/>
      <c r="BD167" s="846" t="n"/>
      <c r="BE167" s="847" t="n"/>
      <c r="BF167" s="836" t="n"/>
    </row>
    <row r="168">
      <c r="A168" s="819" t="n"/>
      <c r="B168" s="820" t="n"/>
      <c r="C168" s="821">
        <f>SUM(Z168:AC168)</f>
        <v/>
      </c>
      <c r="D168" s="821">
        <f>SUM(AD168:AK168)</f>
        <v/>
      </c>
      <c r="E168" s="822">
        <f>SUM(AL168:AT168)</f>
        <v/>
      </c>
      <c r="F168" s="822">
        <f>SUM(AU168:AW168)</f>
        <v/>
      </c>
      <c r="G168" s="822">
        <f>SUM(AX168:BB168)</f>
        <v/>
      </c>
      <c r="H168" s="822">
        <f>SUM(BC168:BD168)</f>
        <v/>
      </c>
      <c r="I168" s="822">
        <f>SUM(V168:Y168)</f>
        <v/>
      </c>
      <c r="J168" s="823">
        <f>SUM(C168:I168)</f>
        <v/>
      </c>
      <c r="K168" s="824" t="n"/>
      <c r="L168" s="825" t="n"/>
      <c r="M168" s="826" t="n"/>
      <c r="N168" s="827" t="n"/>
      <c r="O168" s="828" t="n"/>
      <c r="P168" s="827" t="n"/>
      <c r="Q168" s="827" t="n"/>
      <c r="R168" s="829">
        <f>R167+SUM(N168:Q168)-SUM(J168:M168)</f>
        <v/>
      </c>
      <c r="S168" s="830" t="n"/>
      <c r="T168" s="831" t="n"/>
      <c r="U168" s="832" t="n"/>
      <c r="V168" s="833" t="n"/>
      <c r="W168" s="821" t="n"/>
      <c r="X168" s="821" t="n"/>
      <c r="Y168" s="821" t="n"/>
      <c r="Z168" s="821" t="n"/>
      <c r="AA168" s="834" t="n"/>
      <c r="AB168" s="835" t="n"/>
      <c r="AC168" s="836" t="n"/>
      <c r="AD168" s="837" t="n"/>
      <c r="AE168" s="838" t="n"/>
      <c r="AF168" s="839" t="n"/>
      <c r="AG168" s="839" t="n"/>
      <c r="AH168" s="839" t="n"/>
      <c r="AI168" s="839" t="n"/>
      <c r="AJ168" s="839" t="n"/>
      <c r="AK168" s="840" t="n"/>
      <c r="AL168" s="841" t="n"/>
      <c r="AM168" s="839" t="n"/>
      <c r="AN168" s="839" t="n"/>
      <c r="AO168" s="839" t="n"/>
      <c r="AP168" s="839" t="n"/>
      <c r="AQ168" s="839" t="n"/>
      <c r="AR168" s="839" t="n"/>
      <c r="AS168" s="839" t="n"/>
      <c r="AT168" s="842" t="n"/>
      <c r="AU168" s="838" t="n"/>
      <c r="AV168" s="840" t="n"/>
      <c r="AW168" s="843" t="n"/>
      <c r="AX168" s="844" t="n"/>
      <c r="AY168" s="845" t="n"/>
      <c r="AZ168" s="845" t="n"/>
      <c r="BA168" s="845" t="n"/>
      <c r="BB168" s="846" t="n"/>
      <c r="BC168" s="847" t="n"/>
      <c r="BD168" s="846" t="n"/>
      <c r="BE168" s="847" t="n"/>
      <c r="BF168" s="836" t="n"/>
    </row>
    <row r="169">
      <c r="A169" s="819" t="n"/>
      <c r="B169" s="820" t="n"/>
      <c r="C169" s="821">
        <f>SUM(Z169:AC169)</f>
        <v/>
      </c>
      <c r="D169" s="821">
        <f>SUM(AD169:AK169)</f>
        <v/>
      </c>
      <c r="E169" s="822">
        <f>SUM(AL169:AT169)</f>
        <v/>
      </c>
      <c r="F169" s="822">
        <f>SUM(AU169:AW169)</f>
        <v/>
      </c>
      <c r="G169" s="822">
        <f>SUM(AX169:BB169)</f>
        <v/>
      </c>
      <c r="H169" s="822">
        <f>SUM(BC169:BD169)</f>
        <v/>
      </c>
      <c r="I169" s="822">
        <f>SUM(V169:Y169)</f>
        <v/>
      </c>
      <c r="J169" s="823">
        <f>SUM(C169:I169)</f>
        <v/>
      </c>
      <c r="K169" s="824" t="n"/>
      <c r="L169" s="825" t="n"/>
      <c r="M169" s="826" t="n"/>
      <c r="N169" s="827" t="n"/>
      <c r="O169" s="828" t="n"/>
      <c r="P169" s="827" t="n"/>
      <c r="Q169" s="827" t="n"/>
      <c r="R169" s="829">
        <f>R168+SUM(N169:Q169)-SUM(J169:M169)</f>
        <v/>
      </c>
      <c r="S169" s="830" t="n"/>
      <c r="T169" s="831" t="n"/>
      <c r="U169" s="832" t="n"/>
      <c r="V169" s="833" t="n"/>
      <c r="W169" s="821" t="n"/>
      <c r="X169" s="821" t="n"/>
      <c r="Y169" s="821" t="n"/>
      <c r="Z169" s="821" t="n"/>
      <c r="AA169" s="834" t="n"/>
      <c r="AB169" s="835" t="n"/>
      <c r="AC169" s="836" t="n"/>
      <c r="AD169" s="837" t="n"/>
      <c r="AE169" s="838" t="n"/>
      <c r="AF169" s="839" t="n"/>
      <c r="AG169" s="839" t="n"/>
      <c r="AH169" s="839" t="n"/>
      <c r="AI169" s="839" t="n"/>
      <c r="AJ169" s="839" t="n"/>
      <c r="AK169" s="840" t="n"/>
      <c r="AL169" s="841" t="n"/>
      <c r="AM169" s="839" t="n"/>
      <c r="AN169" s="839" t="n"/>
      <c r="AO169" s="839" t="n"/>
      <c r="AP169" s="839" t="n"/>
      <c r="AQ169" s="839" t="n"/>
      <c r="AR169" s="839" t="n"/>
      <c r="AS169" s="839" t="n"/>
      <c r="AT169" s="842" t="n"/>
      <c r="AU169" s="838" t="n"/>
      <c r="AV169" s="840" t="n"/>
      <c r="AW169" s="843" t="n"/>
      <c r="AX169" s="844" t="n"/>
      <c r="AY169" s="845" t="n"/>
      <c r="AZ169" s="845" t="n"/>
      <c r="BA169" s="845" t="n"/>
      <c r="BB169" s="846" t="n"/>
      <c r="BC169" s="847" t="n"/>
      <c r="BD169" s="846" t="n"/>
      <c r="BE169" s="847" t="n"/>
      <c r="BF169" s="836" t="n"/>
    </row>
    <row r="170">
      <c r="A170" s="819" t="n"/>
      <c r="B170" s="820" t="n"/>
      <c r="C170" s="821">
        <f>SUM(Z170:AC170)</f>
        <v/>
      </c>
      <c r="D170" s="821">
        <f>SUM(AD170:AK170)</f>
        <v/>
      </c>
      <c r="E170" s="822">
        <f>SUM(AL170:AT170)</f>
        <v/>
      </c>
      <c r="F170" s="822">
        <f>SUM(AU170:AW170)</f>
        <v/>
      </c>
      <c r="G170" s="822">
        <f>SUM(AX170:BB170)</f>
        <v/>
      </c>
      <c r="H170" s="822">
        <f>SUM(BC170:BD170)</f>
        <v/>
      </c>
      <c r="I170" s="822">
        <f>SUM(V170:Y170)</f>
        <v/>
      </c>
      <c r="J170" s="823">
        <f>SUM(C170:I170)</f>
        <v/>
      </c>
      <c r="K170" s="824" t="n"/>
      <c r="L170" s="825" t="n"/>
      <c r="M170" s="826" t="n"/>
      <c r="N170" s="827" t="n"/>
      <c r="O170" s="828" t="n"/>
      <c r="P170" s="827" t="n"/>
      <c r="Q170" s="827" t="n"/>
      <c r="R170" s="829">
        <f>R169+SUM(N170:Q170)-SUM(J170:M170)</f>
        <v/>
      </c>
      <c r="S170" s="830" t="n"/>
      <c r="T170" s="831" t="n"/>
      <c r="U170" s="832" t="n"/>
      <c r="V170" s="833" t="n"/>
      <c r="W170" s="821" t="n"/>
      <c r="X170" s="821" t="n"/>
      <c r="Y170" s="821" t="n"/>
      <c r="Z170" s="821" t="n"/>
      <c r="AA170" s="834" t="n"/>
      <c r="AB170" s="835" t="n"/>
      <c r="AC170" s="836" t="n"/>
      <c r="AD170" s="837" t="n"/>
      <c r="AE170" s="838" t="n"/>
      <c r="AF170" s="839" t="n"/>
      <c r="AG170" s="839" t="n"/>
      <c r="AH170" s="839" t="n"/>
      <c r="AI170" s="839" t="n"/>
      <c r="AJ170" s="839" t="n"/>
      <c r="AK170" s="840" t="n"/>
      <c r="AL170" s="841" t="n"/>
      <c r="AM170" s="839" t="n"/>
      <c r="AN170" s="839" t="n"/>
      <c r="AO170" s="839" t="n"/>
      <c r="AP170" s="839" t="n"/>
      <c r="AQ170" s="839" t="n"/>
      <c r="AR170" s="839" t="n"/>
      <c r="AS170" s="839" t="n"/>
      <c r="AT170" s="842" t="n"/>
      <c r="AU170" s="838" t="n"/>
      <c r="AV170" s="840" t="n"/>
      <c r="AW170" s="843" t="n"/>
      <c r="AX170" s="844" t="n"/>
      <c r="AY170" s="845" t="n"/>
      <c r="AZ170" s="845" t="n"/>
      <c r="BA170" s="845" t="n"/>
      <c r="BB170" s="846" t="n"/>
      <c r="BC170" s="847" t="n"/>
      <c r="BD170" s="846" t="n"/>
      <c r="BE170" s="847" t="n"/>
      <c r="BF170" s="836" t="n"/>
    </row>
    <row r="171">
      <c r="A171" s="819" t="n"/>
      <c r="B171" s="820" t="n"/>
      <c r="C171" s="821">
        <f>SUM(Z171:AC171)</f>
        <v/>
      </c>
      <c r="D171" s="821">
        <f>SUM(AD171:AK171)</f>
        <v/>
      </c>
      <c r="E171" s="822">
        <f>SUM(AL171:AT171)</f>
        <v/>
      </c>
      <c r="F171" s="822">
        <f>SUM(AU171:AW171)</f>
        <v/>
      </c>
      <c r="G171" s="822">
        <f>SUM(AX171:BB171)</f>
        <v/>
      </c>
      <c r="H171" s="822">
        <f>SUM(BC171:BD171)</f>
        <v/>
      </c>
      <c r="I171" s="822">
        <f>SUM(V171:Y171)</f>
        <v/>
      </c>
      <c r="J171" s="823">
        <f>SUM(C171:I171)</f>
        <v/>
      </c>
      <c r="K171" s="824" t="n"/>
      <c r="L171" s="825" t="n"/>
      <c r="M171" s="826" t="n"/>
      <c r="N171" s="827" t="n"/>
      <c r="O171" s="828" t="n"/>
      <c r="P171" s="827" t="n"/>
      <c r="Q171" s="827" t="n"/>
      <c r="R171" s="829">
        <f>R170+SUM(N171:Q171)-SUM(J171:M171)</f>
        <v/>
      </c>
      <c r="S171" s="830" t="n"/>
      <c r="T171" s="831" t="n"/>
      <c r="U171" s="832" t="n"/>
      <c r="V171" s="833" t="n"/>
      <c r="W171" s="821" t="n"/>
      <c r="X171" s="821" t="n"/>
      <c r="Y171" s="821" t="n"/>
      <c r="Z171" s="821" t="n"/>
      <c r="AA171" s="834" t="n"/>
      <c r="AB171" s="835" t="n"/>
      <c r="AC171" s="836" t="n"/>
      <c r="AD171" s="837" t="n"/>
      <c r="AE171" s="838" t="n"/>
      <c r="AF171" s="839" t="n"/>
      <c r="AG171" s="839" t="n"/>
      <c r="AH171" s="839" t="n"/>
      <c r="AI171" s="839" t="n"/>
      <c r="AJ171" s="839" t="n"/>
      <c r="AK171" s="840" t="n"/>
      <c r="AL171" s="841" t="n"/>
      <c r="AM171" s="839" t="n"/>
      <c r="AN171" s="839" t="n"/>
      <c r="AO171" s="839" t="n"/>
      <c r="AP171" s="839" t="n"/>
      <c r="AQ171" s="839" t="n"/>
      <c r="AR171" s="839" t="n"/>
      <c r="AS171" s="839" t="n"/>
      <c r="AT171" s="842" t="n"/>
      <c r="AU171" s="838" t="n"/>
      <c r="AV171" s="840" t="n"/>
      <c r="AW171" s="843" t="n"/>
      <c r="AX171" s="844" t="n"/>
      <c r="AY171" s="845" t="n"/>
      <c r="AZ171" s="845" t="n"/>
      <c r="BA171" s="845" t="n"/>
      <c r="BB171" s="846" t="n"/>
      <c r="BC171" s="847" t="n"/>
      <c r="BD171" s="846" t="n"/>
      <c r="BE171" s="847" t="n"/>
      <c r="BF171" s="836" t="n"/>
    </row>
    <row r="172">
      <c r="A172" s="819" t="n"/>
      <c r="B172" s="820" t="n"/>
      <c r="C172" s="821">
        <f>SUM(Z172:AC172)</f>
        <v/>
      </c>
      <c r="D172" s="821">
        <f>SUM(AD172:AK172)</f>
        <v/>
      </c>
      <c r="E172" s="822">
        <f>SUM(AL172:AT172)</f>
        <v/>
      </c>
      <c r="F172" s="822">
        <f>SUM(AU172:AW172)</f>
        <v/>
      </c>
      <c r="G172" s="822">
        <f>SUM(AX172:BB172)</f>
        <v/>
      </c>
      <c r="H172" s="822">
        <f>SUM(BC172:BD172)</f>
        <v/>
      </c>
      <c r="I172" s="822">
        <f>SUM(V172:Y172)</f>
        <v/>
      </c>
      <c r="J172" s="823">
        <f>SUM(C172:I172)</f>
        <v/>
      </c>
      <c r="K172" s="824" t="n"/>
      <c r="L172" s="825" t="n"/>
      <c r="M172" s="826" t="n"/>
      <c r="N172" s="827" t="n"/>
      <c r="O172" s="828" t="n"/>
      <c r="P172" s="827" t="n"/>
      <c r="Q172" s="827" t="n"/>
      <c r="R172" s="829">
        <f>R171+SUM(N172:Q172)-SUM(J172:M172)</f>
        <v/>
      </c>
      <c r="S172" s="830" t="n"/>
      <c r="T172" s="831" t="n"/>
      <c r="U172" s="832" t="n"/>
      <c r="V172" s="833" t="n"/>
      <c r="W172" s="821" t="n"/>
      <c r="X172" s="821" t="n"/>
      <c r="Y172" s="821" t="n"/>
      <c r="Z172" s="821" t="n"/>
      <c r="AA172" s="834" t="n"/>
      <c r="AB172" s="835" t="n"/>
      <c r="AC172" s="836" t="n"/>
      <c r="AD172" s="837" t="n"/>
      <c r="AE172" s="838" t="n"/>
      <c r="AF172" s="839" t="n"/>
      <c r="AG172" s="839" t="n"/>
      <c r="AH172" s="839" t="n"/>
      <c r="AI172" s="839" t="n"/>
      <c r="AJ172" s="839" t="n"/>
      <c r="AK172" s="840" t="n"/>
      <c r="AL172" s="841" t="n"/>
      <c r="AM172" s="839" t="n"/>
      <c r="AN172" s="839" t="n"/>
      <c r="AO172" s="839" t="n"/>
      <c r="AP172" s="839" t="n"/>
      <c r="AQ172" s="839" t="n"/>
      <c r="AR172" s="839" t="n"/>
      <c r="AS172" s="839" t="n"/>
      <c r="AT172" s="842" t="n"/>
      <c r="AU172" s="838" t="n"/>
      <c r="AV172" s="840" t="n"/>
      <c r="AW172" s="843" t="n"/>
      <c r="AX172" s="844" t="n"/>
      <c r="AY172" s="845" t="n"/>
      <c r="AZ172" s="845" t="n"/>
      <c r="BA172" s="845" t="n"/>
      <c r="BB172" s="846" t="n"/>
      <c r="BC172" s="847" t="n"/>
      <c r="BD172" s="846" t="n"/>
      <c r="BE172" s="847" t="n"/>
      <c r="BF172" s="836" t="n"/>
    </row>
    <row r="173">
      <c r="A173" s="819" t="n"/>
      <c r="B173" s="820" t="n"/>
      <c r="C173" s="821">
        <f>SUM(Z173:AC173)</f>
        <v/>
      </c>
      <c r="D173" s="821">
        <f>SUM(AD173:AK173)</f>
        <v/>
      </c>
      <c r="E173" s="822">
        <f>SUM(AL173:AT173)</f>
        <v/>
      </c>
      <c r="F173" s="822">
        <f>SUM(AU173:AW173)</f>
        <v/>
      </c>
      <c r="G173" s="822">
        <f>SUM(AX173:BB173)</f>
        <v/>
      </c>
      <c r="H173" s="822">
        <f>SUM(BC173:BD173)</f>
        <v/>
      </c>
      <c r="I173" s="822">
        <f>SUM(V173:Y173)</f>
        <v/>
      </c>
      <c r="J173" s="823">
        <f>SUM(C173:I173)</f>
        <v/>
      </c>
      <c r="K173" s="824" t="n"/>
      <c r="L173" s="825" t="n"/>
      <c r="M173" s="826" t="n"/>
      <c r="N173" s="827" t="n"/>
      <c r="O173" s="828" t="n"/>
      <c r="P173" s="827" t="n"/>
      <c r="Q173" s="827" t="n"/>
      <c r="R173" s="829">
        <f>R172+SUM(N173:Q173)-SUM(J173:M173)</f>
        <v/>
      </c>
      <c r="S173" s="830" t="n"/>
      <c r="T173" s="831" t="n"/>
      <c r="U173" s="832" t="n"/>
      <c r="V173" s="833" t="n"/>
      <c r="W173" s="821" t="n"/>
      <c r="X173" s="821" t="n"/>
      <c r="Y173" s="821" t="n"/>
      <c r="Z173" s="821" t="n"/>
      <c r="AA173" s="834" t="n"/>
      <c r="AB173" s="835" t="n"/>
      <c r="AC173" s="836" t="n"/>
      <c r="AD173" s="837" t="n"/>
      <c r="AE173" s="838" t="n"/>
      <c r="AF173" s="839" t="n"/>
      <c r="AG173" s="839" t="n"/>
      <c r="AH173" s="839" t="n"/>
      <c r="AI173" s="839" t="n"/>
      <c r="AJ173" s="839" t="n"/>
      <c r="AK173" s="840" t="n"/>
      <c r="AL173" s="841" t="n"/>
      <c r="AM173" s="839" t="n"/>
      <c r="AN173" s="839" t="n"/>
      <c r="AO173" s="839" t="n"/>
      <c r="AP173" s="839" t="n"/>
      <c r="AQ173" s="839" t="n"/>
      <c r="AR173" s="839" t="n"/>
      <c r="AS173" s="839" t="n"/>
      <c r="AT173" s="842" t="n"/>
      <c r="AU173" s="838" t="n"/>
      <c r="AV173" s="840" t="n"/>
      <c r="AW173" s="843" t="n"/>
      <c r="AX173" s="844" t="n"/>
      <c r="AY173" s="845" t="n"/>
      <c r="AZ173" s="845" t="n"/>
      <c r="BA173" s="845" t="n"/>
      <c r="BB173" s="846" t="n"/>
      <c r="BC173" s="847" t="n"/>
      <c r="BD173" s="846" t="n"/>
      <c r="BE173" s="847" t="n"/>
      <c r="BF173" s="836" t="n"/>
    </row>
    <row r="174">
      <c r="A174" s="819" t="n"/>
      <c r="B174" s="820" t="n"/>
      <c r="C174" s="821">
        <f>SUM(Z174:AC174)</f>
        <v/>
      </c>
      <c r="D174" s="821">
        <f>SUM(AD174:AK174)</f>
        <v/>
      </c>
      <c r="E174" s="822">
        <f>SUM(AL174:AT174)</f>
        <v/>
      </c>
      <c r="F174" s="822">
        <f>SUM(AU174:AW174)</f>
        <v/>
      </c>
      <c r="G174" s="822">
        <f>SUM(AX174:BB174)</f>
        <v/>
      </c>
      <c r="H174" s="822">
        <f>SUM(BC174:BD174)</f>
        <v/>
      </c>
      <c r="I174" s="822">
        <f>SUM(V174:Y174)</f>
        <v/>
      </c>
      <c r="J174" s="823">
        <f>SUM(C174:I174)</f>
        <v/>
      </c>
      <c r="K174" s="824" t="n"/>
      <c r="L174" s="825" t="n"/>
      <c r="M174" s="826" t="n"/>
      <c r="N174" s="827" t="n"/>
      <c r="O174" s="828" t="n"/>
      <c r="P174" s="827" t="n"/>
      <c r="Q174" s="827" t="n"/>
      <c r="R174" s="829">
        <f>R173+SUM(N174:Q174)-SUM(J174:M174)</f>
        <v/>
      </c>
      <c r="S174" s="830" t="n"/>
      <c r="T174" s="831" t="n"/>
      <c r="U174" s="832" t="n"/>
      <c r="V174" s="833" t="n"/>
      <c r="W174" s="821" t="n"/>
      <c r="X174" s="821" t="n"/>
      <c r="Y174" s="821" t="n"/>
      <c r="Z174" s="821" t="n"/>
      <c r="AA174" s="834" t="n"/>
      <c r="AB174" s="835" t="n"/>
      <c r="AC174" s="836" t="n"/>
      <c r="AD174" s="837" t="n"/>
      <c r="AE174" s="838" t="n"/>
      <c r="AF174" s="839" t="n"/>
      <c r="AG174" s="839" t="n"/>
      <c r="AH174" s="839" t="n"/>
      <c r="AI174" s="839" t="n"/>
      <c r="AJ174" s="839" t="n"/>
      <c r="AK174" s="840" t="n"/>
      <c r="AL174" s="841" t="n"/>
      <c r="AM174" s="839" t="n"/>
      <c r="AN174" s="839" t="n"/>
      <c r="AO174" s="839" t="n"/>
      <c r="AP174" s="839" t="n"/>
      <c r="AQ174" s="839" t="n"/>
      <c r="AR174" s="839" t="n"/>
      <c r="AS174" s="839" t="n"/>
      <c r="AT174" s="842" t="n"/>
      <c r="AU174" s="838" t="n"/>
      <c r="AV174" s="840" t="n"/>
      <c r="AW174" s="843" t="n"/>
      <c r="AX174" s="844" t="n"/>
      <c r="AY174" s="845" t="n"/>
      <c r="AZ174" s="845" t="n"/>
      <c r="BA174" s="845" t="n"/>
      <c r="BB174" s="846" t="n"/>
      <c r="BC174" s="847" t="n"/>
      <c r="BD174" s="846" t="n"/>
      <c r="BE174" s="847" t="n"/>
      <c r="BF174" s="836" t="n"/>
    </row>
    <row r="175">
      <c r="A175" s="819" t="n"/>
      <c r="B175" s="820" t="n"/>
      <c r="C175" s="821">
        <f>SUM(Z175:AC175)</f>
        <v/>
      </c>
      <c r="D175" s="821">
        <f>SUM(AD175:AK175)</f>
        <v/>
      </c>
      <c r="E175" s="822">
        <f>SUM(AL175:AT175)</f>
        <v/>
      </c>
      <c r="F175" s="822">
        <f>SUM(AU175:AW175)</f>
        <v/>
      </c>
      <c r="G175" s="822">
        <f>SUM(AX175:BB175)</f>
        <v/>
      </c>
      <c r="H175" s="822">
        <f>SUM(BC175:BD175)</f>
        <v/>
      </c>
      <c r="I175" s="822">
        <f>SUM(V175:Y175)</f>
        <v/>
      </c>
      <c r="J175" s="823">
        <f>SUM(C175:I175)</f>
        <v/>
      </c>
      <c r="K175" s="824" t="n"/>
      <c r="L175" s="825" t="n"/>
      <c r="M175" s="826" t="n"/>
      <c r="N175" s="827" t="n"/>
      <c r="O175" s="828" t="n"/>
      <c r="P175" s="827" t="n"/>
      <c r="Q175" s="827" t="n"/>
      <c r="R175" s="829">
        <f>R174+SUM(N175:Q175)-SUM(J175:M175)</f>
        <v/>
      </c>
      <c r="S175" s="830" t="n"/>
      <c r="T175" s="831" t="n"/>
      <c r="U175" s="832" t="n"/>
      <c r="V175" s="833" t="n"/>
      <c r="W175" s="821" t="n"/>
      <c r="X175" s="821" t="n"/>
      <c r="Y175" s="821" t="n"/>
      <c r="Z175" s="821" t="n"/>
      <c r="AA175" s="834" t="n"/>
      <c r="AB175" s="835" t="n"/>
      <c r="AC175" s="836" t="n"/>
      <c r="AD175" s="837" t="n"/>
      <c r="AE175" s="838" t="n"/>
      <c r="AF175" s="839" t="n"/>
      <c r="AG175" s="839" t="n"/>
      <c r="AH175" s="839" t="n"/>
      <c r="AI175" s="839" t="n"/>
      <c r="AJ175" s="839" t="n"/>
      <c r="AK175" s="840" t="n"/>
      <c r="AL175" s="841" t="n"/>
      <c r="AM175" s="839" t="n"/>
      <c r="AN175" s="839" t="n"/>
      <c r="AO175" s="839" t="n"/>
      <c r="AP175" s="839" t="n"/>
      <c r="AQ175" s="839" t="n"/>
      <c r="AR175" s="839" t="n"/>
      <c r="AS175" s="839" t="n"/>
      <c r="AT175" s="842" t="n"/>
      <c r="AU175" s="838" t="n"/>
      <c r="AV175" s="840" t="n"/>
      <c r="AW175" s="843" t="n"/>
      <c r="AX175" s="844" t="n"/>
      <c r="AY175" s="845" t="n"/>
      <c r="AZ175" s="845" t="n"/>
      <c r="BA175" s="845" t="n"/>
      <c r="BB175" s="846" t="n"/>
      <c r="BC175" s="847" t="n"/>
      <c r="BD175" s="846" t="n"/>
      <c r="BE175" s="847" t="n"/>
      <c r="BF175" s="836" t="n"/>
    </row>
    <row r="176">
      <c r="A176" s="819" t="n"/>
      <c r="B176" s="820" t="n"/>
      <c r="C176" s="821">
        <f>SUM(Z176:AC176)</f>
        <v/>
      </c>
      <c r="D176" s="821">
        <f>SUM(AD176:AK176)</f>
        <v/>
      </c>
      <c r="E176" s="822">
        <f>SUM(AL176:AT176)</f>
        <v/>
      </c>
      <c r="F176" s="822">
        <f>SUM(AU176:AW176)</f>
        <v/>
      </c>
      <c r="G176" s="822">
        <f>SUM(AX176:BB176)</f>
        <v/>
      </c>
      <c r="H176" s="822">
        <f>SUM(BC176:BD176)</f>
        <v/>
      </c>
      <c r="I176" s="822">
        <f>SUM(V176:Y176)</f>
        <v/>
      </c>
      <c r="J176" s="823">
        <f>SUM(C176:I176)</f>
        <v/>
      </c>
      <c r="K176" s="824" t="n"/>
      <c r="L176" s="825" t="n"/>
      <c r="M176" s="826" t="n"/>
      <c r="N176" s="827" t="n"/>
      <c r="O176" s="828" t="n"/>
      <c r="P176" s="827" t="n"/>
      <c r="Q176" s="827" t="n"/>
      <c r="R176" s="829">
        <f>R175+SUM(N176:Q176)-SUM(J176:M176)</f>
        <v/>
      </c>
      <c r="S176" s="830" t="n"/>
      <c r="T176" s="831" t="n"/>
      <c r="U176" s="832" t="n"/>
      <c r="V176" s="833" t="n"/>
      <c r="W176" s="821" t="n"/>
      <c r="X176" s="821" t="n"/>
      <c r="Y176" s="821" t="n"/>
      <c r="Z176" s="821" t="n"/>
      <c r="AA176" s="834" t="n"/>
      <c r="AB176" s="835" t="n"/>
      <c r="AC176" s="836" t="n"/>
      <c r="AD176" s="837" t="n"/>
      <c r="AE176" s="838" t="n"/>
      <c r="AF176" s="839" t="n"/>
      <c r="AG176" s="839" t="n"/>
      <c r="AH176" s="839" t="n"/>
      <c r="AI176" s="839" t="n"/>
      <c r="AJ176" s="839" t="n"/>
      <c r="AK176" s="840" t="n"/>
      <c r="AL176" s="841" t="n"/>
      <c r="AM176" s="839" t="n"/>
      <c r="AN176" s="839" t="n"/>
      <c r="AO176" s="839" t="n"/>
      <c r="AP176" s="839" t="n"/>
      <c r="AQ176" s="839" t="n"/>
      <c r="AR176" s="839" t="n"/>
      <c r="AS176" s="839" t="n"/>
      <c r="AT176" s="842" t="n"/>
      <c r="AU176" s="838" t="n"/>
      <c r="AV176" s="840" t="n"/>
      <c r="AW176" s="843" t="n"/>
      <c r="AX176" s="844" t="n"/>
      <c r="AY176" s="845" t="n"/>
      <c r="AZ176" s="845" t="n"/>
      <c r="BA176" s="845" t="n"/>
      <c r="BB176" s="846" t="n"/>
      <c r="BC176" s="847" t="n"/>
      <c r="BD176" s="846" t="n"/>
      <c r="BE176" s="847" t="n"/>
      <c r="BF176" s="836" t="n"/>
    </row>
    <row r="177">
      <c r="A177" s="819" t="n"/>
      <c r="B177" s="820" t="n"/>
      <c r="C177" s="821">
        <f>SUM(Z177:AC177)</f>
        <v/>
      </c>
      <c r="D177" s="821">
        <f>SUM(AD177:AK177)</f>
        <v/>
      </c>
      <c r="E177" s="822">
        <f>SUM(AL177:AT177)</f>
        <v/>
      </c>
      <c r="F177" s="822">
        <f>SUM(AU177:AW177)</f>
        <v/>
      </c>
      <c r="G177" s="822">
        <f>SUM(AX177:BB177)</f>
        <v/>
      </c>
      <c r="H177" s="822">
        <f>SUM(BC177:BD177)</f>
        <v/>
      </c>
      <c r="I177" s="822">
        <f>SUM(V177:Y177)</f>
        <v/>
      </c>
      <c r="J177" s="823">
        <f>SUM(C177:I177)</f>
        <v/>
      </c>
      <c r="K177" s="824" t="n"/>
      <c r="L177" s="825" t="n"/>
      <c r="M177" s="826" t="n"/>
      <c r="N177" s="827" t="n"/>
      <c r="O177" s="828" t="n"/>
      <c r="P177" s="827" t="n"/>
      <c r="Q177" s="827" t="n"/>
      <c r="R177" s="829">
        <f>R176+SUM(N177:Q177)-SUM(J177:M177)</f>
        <v/>
      </c>
      <c r="S177" s="830" t="n"/>
      <c r="T177" s="831" t="n"/>
      <c r="U177" s="832" t="n"/>
      <c r="V177" s="833" t="n"/>
      <c r="W177" s="821" t="n"/>
      <c r="X177" s="821" t="n"/>
      <c r="Y177" s="821" t="n"/>
      <c r="Z177" s="821" t="n"/>
      <c r="AA177" s="834" t="n"/>
      <c r="AB177" s="835" t="n"/>
      <c r="AC177" s="836" t="n"/>
      <c r="AD177" s="837" t="n"/>
      <c r="AE177" s="838" t="n"/>
      <c r="AF177" s="839" t="n"/>
      <c r="AG177" s="839" t="n"/>
      <c r="AH177" s="839" t="n"/>
      <c r="AI177" s="839" t="n"/>
      <c r="AJ177" s="839" t="n"/>
      <c r="AK177" s="840" t="n"/>
      <c r="AL177" s="841" t="n"/>
      <c r="AM177" s="839" t="n"/>
      <c r="AN177" s="839" t="n"/>
      <c r="AO177" s="839" t="n"/>
      <c r="AP177" s="839" t="n"/>
      <c r="AQ177" s="839" t="n"/>
      <c r="AR177" s="839" t="n"/>
      <c r="AS177" s="839" t="n"/>
      <c r="AT177" s="842" t="n"/>
      <c r="AU177" s="838" t="n"/>
      <c r="AV177" s="840" t="n"/>
      <c r="AW177" s="843" t="n"/>
      <c r="AX177" s="844" t="n"/>
      <c r="AY177" s="845" t="n"/>
      <c r="AZ177" s="845" t="n"/>
      <c r="BA177" s="845" t="n"/>
      <c r="BB177" s="846" t="n"/>
      <c r="BC177" s="847" t="n"/>
      <c r="BD177" s="846" t="n"/>
      <c r="BE177" s="847" t="n"/>
      <c r="BF177" s="836" t="n"/>
    </row>
    <row r="178">
      <c r="A178" s="819" t="n"/>
      <c r="B178" s="820" t="n"/>
      <c r="C178" s="821">
        <f>SUM(Z178:AC178)</f>
        <v/>
      </c>
      <c r="D178" s="821">
        <f>SUM(AD178:AK178)</f>
        <v/>
      </c>
      <c r="E178" s="822">
        <f>SUM(AL178:AT178)</f>
        <v/>
      </c>
      <c r="F178" s="822">
        <f>SUM(AU178:AW178)</f>
        <v/>
      </c>
      <c r="G178" s="822">
        <f>SUM(AX178:BB178)</f>
        <v/>
      </c>
      <c r="H178" s="822">
        <f>SUM(BC178:BD178)</f>
        <v/>
      </c>
      <c r="I178" s="822">
        <f>SUM(V178:Y178)</f>
        <v/>
      </c>
      <c r="J178" s="823">
        <f>SUM(C178:I178)</f>
        <v/>
      </c>
      <c r="K178" s="824" t="n"/>
      <c r="L178" s="825" t="n"/>
      <c r="M178" s="826" t="n"/>
      <c r="N178" s="827" t="n"/>
      <c r="O178" s="828" t="n"/>
      <c r="P178" s="827" t="n"/>
      <c r="Q178" s="827" t="n"/>
      <c r="R178" s="829">
        <f>R177+SUM(N178:Q178)-SUM(J178:M178)</f>
        <v/>
      </c>
      <c r="S178" s="830" t="n"/>
      <c r="T178" s="831" t="n"/>
      <c r="U178" s="832" t="n"/>
      <c r="V178" s="833" t="n"/>
      <c r="W178" s="821" t="n"/>
      <c r="X178" s="821" t="n"/>
      <c r="Y178" s="821" t="n"/>
      <c r="Z178" s="821" t="n"/>
      <c r="AA178" s="834" t="n"/>
      <c r="AB178" s="835" t="n"/>
      <c r="AC178" s="836" t="n"/>
      <c r="AD178" s="837" t="n"/>
      <c r="AE178" s="838" t="n"/>
      <c r="AF178" s="839" t="n"/>
      <c r="AG178" s="839" t="n"/>
      <c r="AH178" s="839" t="n"/>
      <c r="AI178" s="839" t="n"/>
      <c r="AJ178" s="839" t="n"/>
      <c r="AK178" s="840" t="n"/>
      <c r="AL178" s="841" t="n"/>
      <c r="AM178" s="839" t="n"/>
      <c r="AN178" s="839" t="n"/>
      <c r="AO178" s="839" t="n"/>
      <c r="AP178" s="839" t="n"/>
      <c r="AQ178" s="839" t="n"/>
      <c r="AR178" s="839" t="n"/>
      <c r="AS178" s="839" t="n"/>
      <c r="AT178" s="842" t="n"/>
      <c r="AU178" s="838" t="n"/>
      <c r="AV178" s="840" t="n"/>
      <c r="AW178" s="843" t="n"/>
      <c r="AX178" s="844" t="n"/>
      <c r="AY178" s="845" t="n"/>
      <c r="AZ178" s="845" t="n"/>
      <c r="BA178" s="845" t="n"/>
      <c r="BB178" s="846" t="n"/>
      <c r="BC178" s="847" t="n"/>
      <c r="BD178" s="846" t="n"/>
      <c r="BE178" s="847" t="n"/>
      <c r="BF178" s="836" t="n"/>
    </row>
    <row r="179">
      <c r="A179" s="819" t="n"/>
      <c r="B179" s="820" t="n"/>
      <c r="C179" s="821">
        <f>SUM(Z179:AC179)</f>
        <v/>
      </c>
      <c r="D179" s="821">
        <f>SUM(AD179:AK179)</f>
        <v/>
      </c>
      <c r="E179" s="822">
        <f>SUM(AL179:AT179)</f>
        <v/>
      </c>
      <c r="F179" s="822">
        <f>SUM(AU179:AW179)</f>
        <v/>
      </c>
      <c r="G179" s="822">
        <f>SUM(AX179:BB179)</f>
        <v/>
      </c>
      <c r="H179" s="822">
        <f>SUM(BC179:BD179)</f>
        <v/>
      </c>
      <c r="I179" s="822">
        <f>SUM(V179:Y179)</f>
        <v/>
      </c>
      <c r="J179" s="823">
        <f>SUM(C179:I179)</f>
        <v/>
      </c>
      <c r="K179" s="824" t="n"/>
      <c r="L179" s="825" t="n"/>
      <c r="M179" s="826" t="n"/>
      <c r="N179" s="827" t="n"/>
      <c r="O179" s="828" t="n"/>
      <c r="P179" s="827" t="n"/>
      <c r="Q179" s="827" t="n"/>
      <c r="R179" s="829">
        <f>R178+SUM(N179:Q179)-SUM(J179:M179)</f>
        <v/>
      </c>
      <c r="S179" s="830" t="n"/>
      <c r="T179" s="831" t="n"/>
      <c r="U179" s="832" t="n"/>
      <c r="V179" s="833" t="n"/>
      <c r="W179" s="821" t="n"/>
      <c r="X179" s="821" t="n"/>
      <c r="Y179" s="821" t="n"/>
      <c r="Z179" s="821" t="n"/>
      <c r="AA179" s="834" t="n"/>
      <c r="AB179" s="835" t="n"/>
      <c r="AC179" s="836" t="n"/>
      <c r="AD179" s="837" t="n"/>
      <c r="AE179" s="838" t="n"/>
      <c r="AF179" s="839" t="n"/>
      <c r="AG179" s="839" t="n"/>
      <c r="AH179" s="839" t="n"/>
      <c r="AI179" s="839" t="n"/>
      <c r="AJ179" s="839" t="n"/>
      <c r="AK179" s="840" t="n"/>
      <c r="AL179" s="841" t="n"/>
      <c r="AM179" s="839" t="n"/>
      <c r="AN179" s="839" t="n"/>
      <c r="AO179" s="839" t="n"/>
      <c r="AP179" s="839" t="n"/>
      <c r="AQ179" s="839" t="n"/>
      <c r="AR179" s="839" t="n"/>
      <c r="AS179" s="839" t="n"/>
      <c r="AT179" s="842" t="n"/>
      <c r="AU179" s="838" t="n"/>
      <c r="AV179" s="840" t="n"/>
      <c r="AW179" s="843" t="n"/>
      <c r="AX179" s="844" t="n"/>
      <c r="AY179" s="845" t="n"/>
      <c r="AZ179" s="845" t="n"/>
      <c r="BA179" s="845" t="n"/>
      <c r="BB179" s="846" t="n"/>
      <c r="BC179" s="847" t="n"/>
      <c r="BD179" s="846" t="n"/>
      <c r="BE179" s="847" t="n"/>
      <c r="BF179" s="836" t="n"/>
    </row>
    <row r="180">
      <c r="A180" s="819" t="n"/>
      <c r="B180" s="820" t="n"/>
      <c r="C180" s="821">
        <f>SUM(Z180:AC180)</f>
        <v/>
      </c>
      <c r="D180" s="821">
        <f>SUM(AD180:AK180)</f>
        <v/>
      </c>
      <c r="E180" s="822">
        <f>SUM(AL180:AT180)</f>
        <v/>
      </c>
      <c r="F180" s="822">
        <f>SUM(AU180:AW180)</f>
        <v/>
      </c>
      <c r="G180" s="822">
        <f>SUM(AX180:BB180)</f>
        <v/>
      </c>
      <c r="H180" s="822">
        <f>SUM(BC180:BD180)</f>
        <v/>
      </c>
      <c r="I180" s="822">
        <f>SUM(V180:Y180)</f>
        <v/>
      </c>
      <c r="J180" s="823">
        <f>SUM(C180:I180)</f>
        <v/>
      </c>
      <c r="K180" s="824" t="n"/>
      <c r="L180" s="825" t="n"/>
      <c r="M180" s="826" t="n"/>
      <c r="N180" s="827" t="n"/>
      <c r="O180" s="828" t="n"/>
      <c r="P180" s="827" t="n"/>
      <c r="Q180" s="827" t="n"/>
      <c r="R180" s="829">
        <f>R179+SUM(N180:Q180)-SUM(J180:M180)</f>
        <v/>
      </c>
      <c r="S180" s="830" t="n"/>
      <c r="T180" s="831" t="n"/>
      <c r="U180" s="832" t="n"/>
      <c r="V180" s="833" t="n"/>
      <c r="W180" s="821" t="n"/>
      <c r="X180" s="821" t="n"/>
      <c r="Y180" s="821" t="n"/>
      <c r="Z180" s="821" t="n"/>
      <c r="AA180" s="834" t="n"/>
      <c r="AB180" s="835" t="n"/>
      <c r="AC180" s="836" t="n"/>
      <c r="AD180" s="837" t="n"/>
      <c r="AE180" s="838" t="n"/>
      <c r="AF180" s="839" t="n"/>
      <c r="AG180" s="839" t="n"/>
      <c r="AH180" s="839" t="n"/>
      <c r="AI180" s="839" t="n"/>
      <c r="AJ180" s="839" t="n"/>
      <c r="AK180" s="840" t="n"/>
      <c r="AL180" s="841" t="n"/>
      <c r="AM180" s="839" t="n"/>
      <c r="AN180" s="839" t="n"/>
      <c r="AO180" s="839" t="n"/>
      <c r="AP180" s="839" t="n"/>
      <c r="AQ180" s="839" t="n"/>
      <c r="AR180" s="839" t="n"/>
      <c r="AS180" s="839" t="n"/>
      <c r="AT180" s="842" t="n"/>
      <c r="AU180" s="838" t="n"/>
      <c r="AV180" s="840" t="n"/>
      <c r="AW180" s="843" t="n"/>
      <c r="AX180" s="844" t="n"/>
      <c r="AY180" s="845" t="n"/>
      <c r="AZ180" s="845" t="n"/>
      <c r="BA180" s="845" t="n"/>
      <c r="BB180" s="846" t="n"/>
      <c r="BC180" s="847" t="n"/>
      <c r="BD180" s="846" t="n"/>
      <c r="BE180" s="847" t="n"/>
      <c r="BF180" s="836" t="n"/>
    </row>
    <row r="181">
      <c r="A181" s="819" t="n"/>
      <c r="B181" s="820" t="n"/>
      <c r="C181" s="821">
        <f>SUM(Z181:AC181)</f>
        <v/>
      </c>
      <c r="D181" s="821">
        <f>SUM(AD181:AK181)</f>
        <v/>
      </c>
      <c r="E181" s="822">
        <f>SUM(AL181:AT181)</f>
        <v/>
      </c>
      <c r="F181" s="822">
        <f>SUM(AU181:AW181)</f>
        <v/>
      </c>
      <c r="G181" s="822">
        <f>SUM(AX181:BB181)</f>
        <v/>
      </c>
      <c r="H181" s="822">
        <f>SUM(BC181:BD181)</f>
        <v/>
      </c>
      <c r="I181" s="822">
        <f>SUM(V181:Y181)</f>
        <v/>
      </c>
      <c r="J181" s="823">
        <f>SUM(C181:I181)</f>
        <v/>
      </c>
      <c r="K181" s="824" t="n"/>
      <c r="L181" s="825" t="n"/>
      <c r="M181" s="826" t="n"/>
      <c r="N181" s="827" t="n"/>
      <c r="O181" s="828" t="n"/>
      <c r="P181" s="827" t="n"/>
      <c r="Q181" s="827" t="n"/>
      <c r="R181" s="829">
        <f>R180+SUM(N181:Q181)-SUM(J181:M181)</f>
        <v/>
      </c>
      <c r="S181" s="830" t="n"/>
      <c r="T181" s="831" t="n"/>
      <c r="U181" s="832" t="n"/>
      <c r="V181" s="833" t="n"/>
      <c r="W181" s="821" t="n"/>
      <c r="X181" s="821" t="n"/>
      <c r="Y181" s="821" t="n"/>
      <c r="Z181" s="821" t="n"/>
      <c r="AA181" s="834" t="n"/>
      <c r="AB181" s="835" t="n"/>
      <c r="AC181" s="836" t="n"/>
      <c r="AD181" s="837" t="n"/>
      <c r="AE181" s="838" t="n"/>
      <c r="AF181" s="839" t="n"/>
      <c r="AG181" s="839" t="n"/>
      <c r="AH181" s="839" t="n"/>
      <c r="AI181" s="839" t="n"/>
      <c r="AJ181" s="839" t="n"/>
      <c r="AK181" s="840" t="n"/>
      <c r="AL181" s="841" t="n"/>
      <c r="AM181" s="839" t="n"/>
      <c r="AN181" s="839" t="n"/>
      <c r="AO181" s="839" t="n"/>
      <c r="AP181" s="839" t="n"/>
      <c r="AQ181" s="839" t="n"/>
      <c r="AR181" s="839" t="n"/>
      <c r="AS181" s="839" t="n"/>
      <c r="AT181" s="842" t="n"/>
      <c r="AU181" s="838" t="n"/>
      <c r="AV181" s="840" t="n"/>
      <c r="AW181" s="843" t="n"/>
      <c r="AX181" s="844" t="n"/>
      <c r="AY181" s="845" t="n"/>
      <c r="AZ181" s="845" t="n"/>
      <c r="BA181" s="845" t="n"/>
      <c r="BB181" s="846" t="n"/>
      <c r="BC181" s="847" t="n"/>
      <c r="BD181" s="846" t="n"/>
      <c r="BE181" s="847" t="n"/>
      <c r="BF181" s="836" t="n"/>
    </row>
    <row r="182">
      <c r="A182" s="819" t="n"/>
      <c r="B182" s="820" t="n"/>
      <c r="C182" s="821">
        <f>SUM(Z182:AC182)</f>
        <v/>
      </c>
      <c r="D182" s="821">
        <f>SUM(AD182:AK182)</f>
        <v/>
      </c>
      <c r="E182" s="822">
        <f>SUM(AL182:AT182)</f>
        <v/>
      </c>
      <c r="F182" s="822">
        <f>SUM(AU182:AW182)</f>
        <v/>
      </c>
      <c r="G182" s="822">
        <f>SUM(AX182:BB182)</f>
        <v/>
      </c>
      <c r="H182" s="822">
        <f>SUM(BC182:BD182)</f>
        <v/>
      </c>
      <c r="I182" s="822">
        <f>SUM(V182:Y182)</f>
        <v/>
      </c>
      <c r="J182" s="823">
        <f>SUM(C182:I182)</f>
        <v/>
      </c>
      <c r="K182" s="824" t="n"/>
      <c r="L182" s="825" t="n"/>
      <c r="M182" s="826" t="n"/>
      <c r="N182" s="827" t="n"/>
      <c r="O182" s="828" t="n"/>
      <c r="P182" s="827" t="n"/>
      <c r="Q182" s="827" t="n"/>
      <c r="R182" s="829">
        <f>R181+SUM(N182:Q182)-SUM(J182:M182)</f>
        <v/>
      </c>
      <c r="S182" s="830" t="n"/>
      <c r="T182" s="831" t="n"/>
      <c r="U182" s="832" t="n"/>
      <c r="V182" s="833" t="n"/>
      <c r="W182" s="821" t="n"/>
      <c r="X182" s="821" t="n"/>
      <c r="Y182" s="821" t="n"/>
      <c r="Z182" s="821" t="n"/>
      <c r="AA182" s="834" t="n"/>
      <c r="AB182" s="835" t="n"/>
      <c r="AC182" s="836" t="n"/>
      <c r="AD182" s="837" t="n"/>
      <c r="AE182" s="838" t="n"/>
      <c r="AF182" s="839" t="n"/>
      <c r="AG182" s="839" t="n"/>
      <c r="AH182" s="839" t="n"/>
      <c r="AI182" s="839" t="n"/>
      <c r="AJ182" s="839" t="n"/>
      <c r="AK182" s="840" t="n"/>
      <c r="AL182" s="841" t="n"/>
      <c r="AM182" s="839" t="n"/>
      <c r="AN182" s="839" t="n"/>
      <c r="AO182" s="839" t="n"/>
      <c r="AP182" s="839" t="n"/>
      <c r="AQ182" s="839" t="n"/>
      <c r="AR182" s="839" t="n"/>
      <c r="AS182" s="839" t="n"/>
      <c r="AT182" s="842" t="n"/>
      <c r="AU182" s="838" t="n"/>
      <c r="AV182" s="840" t="n"/>
      <c r="AW182" s="843" t="n"/>
      <c r="AX182" s="844" t="n"/>
      <c r="AY182" s="845" t="n"/>
      <c r="AZ182" s="845" t="n"/>
      <c r="BA182" s="845" t="n"/>
      <c r="BB182" s="846" t="n"/>
      <c r="BC182" s="847" t="n"/>
      <c r="BD182" s="846" t="n"/>
      <c r="BE182" s="847" t="n"/>
      <c r="BF182" s="836" t="n"/>
    </row>
    <row r="183">
      <c r="A183" s="819" t="n"/>
      <c r="B183" s="820" t="n"/>
      <c r="C183" s="821">
        <f>SUM(Z183:AC183)</f>
        <v/>
      </c>
      <c r="D183" s="821">
        <f>SUM(AD183:AK183)</f>
        <v/>
      </c>
      <c r="E183" s="822">
        <f>SUM(AL183:AT183)</f>
        <v/>
      </c>
      <c r="F183" s="822">
        <f>SUM(AU183:AW183)</f>
        <v/>
      </c>
      <c r="G183" s="822">
        <f>SUM(AX183:BB183)</f>
        <v/>
      </c>
      <c r="H183" s="822">
        <f>SUM(BC183:BD183)</f>
        <v/>
      </c>
      <c r="I183" s="822">
        <f>SUM(V183:Y183)</f>
        <v/>
      </c>
      <c r="J183" s="823">
        <f>SUM(C183:I183)</f>
        <v/>
      </c>
      <c r="K183" s="824" t="n"/>
      <c r="L183" s="825" t="n"/>
      <c r="M183" s="826" t="n"/>
      <c r="N183" s="827" t="n"/>
      <c r="O183" s="828" t="n"/>
      <c r="P183" s="827" t="n"/>
      <c r="Q183" s="827" t="n"/>
      <c r="R183" s="829">
        <f>R182+SUM(N183:Q183)-SUM(J183:M183)</f>
        <v/>
      </c>
      <c r="S183" s="830" t="n"/>
      <c r="T183" s="831" t="n"/>
      <c r="U183" s="832" t="n"/>
      <c r="V183" s="833" t="n"/>
      <c r="W183" s="821" t="n"/>
      <c r="X183" s="821" t="n"/>
      <c r="Y183" s="821" t="n"/>
      <c r="Z183" s="821" t="n"/>
      <c r="AA183" s="834" t="n"/>
      <c r="AB183" s="835" t="n"/>
      <c r="AC183" s="836" t="n"/>
      <c r="AD183" s="837" t="n"/>
      <c r="AE183" s="838" t="n"/>
      <c r="AF183" s="839" t="n"/>
      <c r="AG183" s="839" t="n"/>
      <c r="AH183" s="839" t="n"/>
      <c r="AI183" s="839" t="n"/>
      <c r="AJ183" s="839" t="n"/>
      <c r="AK183" s="840" t="n"/>
      <c r="AL183" s="841" t="n"/>
      <c r="AM183" s="839" t="n"/>
      <c r="AN183" s="839" t="n"/>
      <c r="AO183" s="839" t="n"/>
      <c r="AP183" s="839" t="n"/>
      <c r="AQ183" s="839" t="n"/>
      <c r="AR183" s="839" t="n"/>
      <c r="AS183" s="839" t="n"/>
      <c r="AT183" s="842" t="n"/>
      <c r="AU183" s="838" t="n"/>
      <c r="AV183" s="840" t="n"/>
      <c r="AW183" s="843" t="n"/>
      <c r="AX183" s="844" t="n"/>
      <c r="AY183" s="845" t="n"/>
      <c r="AZ183" s="845" t="n"/>
      <c r="BA183" s="845" t="n"/>
      <c r="BB183" s="846" t="n"/>
      <c r="BC183" s="847" t="n"/>
      <c r="BD183" s="846" t="n"/>
      <c r="BE183" s="847" t="n"/>
      <c r="BF183" s="836" t="n"/>
    </row>
    <row r="184">
      <c r="A184" s="819" t="n"/>
      <c r="B184" s="820" t="n"/>
      <c r="C184" s="821">
        <f>SUM(Z184:AC184)</f>
        <v/>
      </c>
      <c r="D184" s="821">
        <f>SUM(AD184:AK184)</f>
        <v/>
      </c>
      <c r="E184" s="822">
        <f>SUM(AL184:AT184)</f>
        <v/>
      </c>
      <c r="F184" s="822">
        <f>SUM(AU184:AW184)</f>
        <v/>
      </c>
      <c r="G184" s="822">
        <f>SUM(AX184:BB184)</f>
        <v/>
      </c>
      <c r="H184" s="822">
        <f>SUM(BC184:BD184)</f>
        <v/>
      </c>
      <c r="I184" s="822">
        <f>SUM(V184:Y184)</f>
        <v/>
      </c>
      <c r="J184" s="823">
        <f>SUM(C184:I184)</f>
        <v/>
      </c>
      <c r="K184" s="824" t="n"/>
      <c r="L184" s="825" t="n"/>
      <c r="M184" s="826" t="n"/>
      <c r="N184" s="827" t="n"/>
      <c r="O184" s="828" t="n"/>
      <c r="P184" s="827" t="n"/>
      <c r="Q184" s="827" t="n"/>
      <c r="R184" s="829">
        <f>R183+SUM(N184:Q184)-SUM(J184:M184)</f>
        <v/>
      </c>
      <c r="S184" s="830" t="n"/>
      <c r="T184" s="831" t="n"/>
      <c r="U184" s="832" t="n"/>
      <c r="V184" s="833" t="n"/>
      <c r="W184" s="821" t="n"/>
      <c r="X184" s="821" t="n"/>
      <c r="Y184" s="821" t="n"/>
      <c r="Z184" s="821" t="n"/>
      <c r="AA184" s="834" t="n"/>
      <c r="AB184" s="835" t="n"/>
      <c r="AC184" s="836" t="n"/>
      <c r="AD184" s="837" t="n"/>
      <c r="AE184" s="838" t="n"/>
      <c r="AF184" s="839" t="n"/>
      <c r="AG184" s="839" t="n"/>
      <c r="AH184" s="839" t="n"/>
      <c r="AI184" s="839" t="n"/>
      <c r="AJ184" s="839" t="n"/>
      <c r="AK184" s="840" t="n"/>
      <c r="AL184" s="841" t="n"/>
      <c r="AM184" s="839" t="n"/>
      <c r="AN184" s="839" t="n"/>
      <c r="AO184" s="839" t="n"/>
      <c r="AP184" s="839" t="n"/>
      <c r="AQ184" s="839" t="n"/>
      <c r="AR184" s="839" t="n"/>
      <c r="AS184" s="839" t="n"/>
      <c r="AT184" s="842" t="n"/>
      <c r="AU184" s="838" t="n"/>
      <c r="AV184" s="840" t="n"/>
      <c r="AW184" s="843" t="n"/>
      <c r="AX184" s="844" t="n"/>
      <c r="AY184" s="845" t="n"/>
      <c r="AZ184" s="845" t="n"/>
      <c r="BA184" s="845" t="n"/>
      <c r="BB184" s="846" t="n"/>
      <c r="BC184" s="847" t="n"/>
      <c r="BD184" s="846" t="n"/>
      <c r="BE184" s="847" t="n"/>
      <c r="BF184" s="836" t="n"/>
    </row>
    <row r="185">
      <c r="A185" s="819" t="n"/>
      <c r="B185" s="820" t="n"/>
      <c r="C185" s="821">
        <f>SUM(Z185:AC185)</f>
        <v/>
      </c>
      <c r="D185" s="821">
        <f>SUM(AD185:AK185)</f>
        <v/>
      </c>
      <c r="E185" s="822">
        <f>SUM(AL185:AT185)</f>
        <v/>
      </c>
      <c r="F185" s="822">
        <f>SUM(AU185:AW185)</f>
        <v/>
      </c>
      <c r="G185" s="822">
        <f>SUM(AX185:BB185)</f>
        <v/>
      </c>
      <c r="H185" s="822">
        <f>SUM(BC185:BD185)</f>
        <v/>
      </c>
      <c r="I185" s="822">
        <f>SUM(V185:Y185)</f>
        <v/>
      </c>
      <c r="J185" s="823">
        <f>SUM(C185:I185)</f>
        <v/>
      </c>
      <c r="K185" s="824" t="n"/>
      <c r="L185" s="825" t="n"/>
      <c r="M185" s="826" t="n"/>
      <c r="N185" s="827" t="n"/>
      <c r="O185" s="828" t="n"/>
      <c r="P185" s="827" t="n"/>
      <c r="Q185" s="827" t="n"/>
      <c r="R185" s="829">
        <f>R184+SUM(N185:Q185)-SUM(J185:M185)</f>
        <v/>
      </c>
      <c r="S185" s="830" t="n"/>
      <c r="T185" s="831" t="n"/>
      <c r="U185" s="832" t="n"/>
      <c r="V185" s="833" t="n"/>
      <c r="W185" s="821" t="n"/>
      <c r="X185" s="821" t="n"/>
      <c r="Y185" s="821" t="n"/>
      <c r="Z185" s="821" t="n"/>
      <c r="AA185" s="834" t="n"/>
      <c r="AB185" s="835" t="n"/>
      <c r="AC185" s="836" t="n"/>
      <c r="AD185" s="837" t="n"/>
      <c r="AE185" s="838" t="n"/>
      <c r="AF185" s="839" t="n"/>
      <c r="AG185" s="839" t="n"/>
      <c r="AH185" s="839" t="n"/>
      <c r="AI185" s="839" t="n"/>
      <c r="AJ185" s="839" t="n"/>
      <c r="AK185" s="840" t="n"/>
      <c r="AL185" s="841" t="n"/>
      <c r="AM185" s="839" t="n"/>
      <c r="AN185" s="839" t="n"/>
      <c r="AO185" s="839" t="n"/>
      <c r="AP185" s="839" t="n"/>
      <c r="AQ185" s="839" t="n"/>
      <c r="AR185" s="839" t="n"/>
      <c r="AS185" s="839" t="n"/>
      <c r="AT185" s="842" t="n"/>
      <c r="AU185" s="838" t="n"/>
      <c r="AV185" s="840" t="n"/>
      <c r="AW185" s="843" t="n"/>
      <c r="AX185" s="844" t="n"/>
      <c r="AY185" s="845" t="n"/>
      <c r="AZ185" s="845" t="n"/>
      <c r="BA185" s="845" t="n"/>
      <c r="BB185" s="846" t="n"/>
      <c r="BC185" s="847" t="n"/>
      <c r="BD185" s="846" t="n"/>
      <c r="BE185" s="847" t="n"/>
      <c r="BF185" s="836" t="n"/>
    </row>
    <row r="186">
      <c r="A186" s="819" t="n"/>
      <c r="B186" s="820" t="n"/>
      <c r="C186" s="821">
        <f>SUM(Z186:AC186)</f>
        <v/>
      </c>
      <c r="D186" s="821">
        <f>SUM(AD186:AK186)</f>
        <v/>
      </c>
      <c r="E186" s="822">
        <f>SUM(AL186:AT186)</f>
        <v/>
      </c>
      <c r="F186" s="822">
        <f>SUM(AU186:AW186)</f>
        <v/>
      </c>
      <c r="G186" s="822">
        <f>SUM(AX186:BB186)</f>
        <v/>
      </c>
      <c r="H186" s="822">
        <f>SUM(BC186:BD186)</f>
        <v/>
      </c>
      <c r="I186" s="822">
        <f>SUM(V186:Y186)</f>
        <v/>
      </c>
      <c r="J186" s="823">
        <f>SUM(C186:I186)</f>
        <v/>
      </c>
      <c r="K186" s="824" t="n"/>
      <c r="L186" s="825" t="n"/>
      <c r="M186" s="826" t="n"/>
      <c r="N186" s="827" t="n"/>
      <c r="O186" s="828" t="n"/>
      <c r="P186" s="827" t="n"/>
      <c r="Q186" s="827" t="n"/>
      <c r="R186" s="829">
        <f>R185+SUM(N186:Q186)-SUM(J186:M186)</f>
        <v/>
      </c>
      <c r="S186" s="830" t="n"/>
      <c r="T186" s="831" t="n"/>
      <c r="U186" s="832" t="n"/>
      <c r="V186" s="833" t="n"/>
      <c r="W186" s="821" t="n"/>
      <c r="X186" s="821" t="n"/>
      <c r="Y186" s="821" t="n"/>
      <c r="Z186" s="821" t="n"/>
      <c r="AA186" s="834" t="n"/>
      <c r="AB186" s="835" t="n"/>
      <c r="AC186" s="836" t="n"/>
      <c r="AD186" s="837" t="n"/>
      <c r="AE186" s="838" t="n"/>
      <c r="AF186" s="839" t="n"/>
      <c r="AG186" s="839" t="n"/>
      <c r="AH186" s="839" t="n"/>
      <c r="AI186" s="839" t="n"/>
      <c r="AJ186" s="839" t="n"/>
      <c r="AK186" s="840" t="n"/>
      <c r="AL186" s="841" t="n"/>
      <c r="AM186" s="839" t="n"/>
      <c r="AN186" s="839" t="n"/>
      <c r="AO186" s="839" t="n"/>
      <c r="AP186" s="839" t="n"/>
      <c r="AQ186" s="839" t="n"/>
      <c r="AR186" s="839" t="n"/>
      <c r="AS186" s="839" t="n"/>
      <c r="AT186" s="842" t="n"/>
      <c r="AU186" s="838" t="n"/>
      <c r="AV186" s="840" t="n"/>
      <c r="AW186" s="843" t="n"/>
      <c r="AX186" s="844" t="n"/>
      <c r="AY186" s="845" t="n"/>
      <c r="AZ186" s="845" t="n"/>
      <c r="BA186" s="845" t="n"/>
      <c r="BB186" s="846" t="n"/>
      <c r="BC186" s="847" t="n"/>
      <c r="BD186" s="846" t="n"/>
      <c r="BE186" s="847" t="n"/>
      <c r="BF186" s="836" t="n"/>
    </row>
    <row r="187">
      <c r="A187" s="819" t="n"/>
      <c r="B187" s="820" t="n"/>
      <c r="C187" s="821">
        <f>SUM(Z187:AC187)</f>
        <v/>
      </c>
      <c r="D187" s="821">
        <f>SUM(AD187:AK187)</f>
        <v/>
      </c>
      <c r="E187" s="822">
        <f>SUM(AL187:AT187)</f>
        <v/>
      </c>
      <c r="F187" s="822">
        <f>SUM(AU187:AW187)</f>
        <v/>
      </c>
      <c r="G187" s="822">
        <f>SUM(AX187:BB187)</f>
        <v/>
      </c>
      <c r="H187" s="822">
        <f>SUM(BC187:BD187)</f>
        <v/>
      </c>
      <c r="I187" s="822">
        <f>SUM(V187:Y187)</f>
        <v/>
      </c>
      <c r="J187" s="823">
        <f>SUM(C187:I187)</f>
        <v/>
      </c>
      <c r="K187" s="824" t="n"/>
      <c r="L187" s="825" t="n"/>
      <c r="M187" s="826" t="n"/>
      <c r="N187" s="827" t="n"/>
      <c r="O187" s="828" t="n"/>
      <c r="P187" s="827" t="n"/>
      <c r="Q187" s="827" t="n"/>
      <c r="R187" s="829">
        <f>R186+SUM(N187:Q187)-SUM(J187:M187)</f>
        <v/>
      </c>
      <c r="S187" s="830" t="n"/>
      <c r="T187" s="831" t="n"/>
      <c r="U187" s="832" t="n"/>
      <c r="V187" s="833" t="n"/>
      <c r="W187" s="821" t="n"/>
      <c r="X187" s="821" t="n"/>
      <c r="Y187" s="821" t="n"/>
      <c r="Z187" s="821" t="n"/>
      <c r="AA187" s="834" t="n"/>
      <c r="AB187" s="835" t="n"/>
      <c r="AC187" s="836" t="n"/>
      <c r="AD187" s="837" t="n"/>
      <c r="AE187" s="838" t="n"/>
      <c r="AF187" s="839" t="n"/>
      <c r="AG187" s="839" t="n"/>
      <c r="AH187" s="839" t="n"/>
      <c r="AI187" s="839" t="n"/>
      <c r="AJ187" s="839" t="n"/>
      <c r="AK187" s="840" t="n"/>
      <c r="AL187" s="841" t="n"/>
      <c r="AM187" s="839" t="n"/>
      <c r="AN187" s="839" t="n"/>
      <c r="AO187" s="839" t="n"/>
      <c r="AP187" s="839" t="n"/>
      <c r="AQ187" s="839" t="n"/>
      <c r="AR187" s="839" t="n"/>
      <c r="AS187" s="839" t="n"/>
      <c r="AT187" s="842" t="n"/>
      <c r="AU187" s="838" t="n"/>
      <c r="AV187" s="840" t="n"/>
      <c r="AW187" s="843" t="n"/>
      <c r="AX187" s="844" t="n"/>
      <c r="AY187" s="845" t="n"/>
      <c r="AZ187" s="845" t="n"/>
      <c r="BA187" s="845" t="n"/>
      <c r="BB187" s="846" t="n"/>
      <c r="BC187" s="847" t="n"/>
      <c r="BD187" s="846" t="n"/>
      <c r="BE187" s="847" t="n"/>
      <c r="BF187" s="836" t="n"/>
    </row>
    <row r="188">
      <c r="A188" s="819" t="n"/>
      <c r="B188" s="820" t="n"/>
      <c r="C188" s="821">
        <f>SUM(Z188:AC188)</f>
        <v/>
      </c>
      <c r="D188" s="821">
        <f>SUM(AD188:AK188)</f>
        <v/>
      </c>
      <c r="E188" s="822">
        <f>SUM(AL188:AT188)</f>
        <v/>
      </c>
      <c r="F188" s="822">
        <f>SUM(AU188:AW188)</f>
        <v/>
      </c>
      <c r="G188" s="822">
        <f>SUM(AX188:BB188)</f>
        <v/>
      </c>
      <c r="H188" s="822">
        <f>SUM(BC188:BD188)</f>
        <v/>
      </c>
      <c r="I188" s="822">
        <f>SUM(V188:Y188)</f>
        <v/>
      </c>
      <c r="J188" s="823">
        <f>SUM(C188:I188)</f>
        <v/>
      </c>
      <c r="K188" s="824" t="n"/>
      <c r="L188" s="825" t="n"/>
      <c r="M188" s="826" t="n"/>
      <c r="N188" s="827" t="n"/>
      <c r="O188" s="828" t="n"/>
      <c r="P188" s="827" t="n"/>
      <c r="Q188" s="827" t="n"/>
      <c r="R188" s="829">
        <f>R187+SUM(N188:Q188)-SUM(J188:M188)</f>
        <v/>
      </c>
      <c r="S188" s="830" t="n"/>
      <c r="T188" s="831" t="n"/>
      <c r="U188" s="832" t="n"/>
      <c r="V188" s="833" t="n"/>
      <c r="W188" s="821" t="n"/>
      <c r="X188" s="821" t="n"/>
      <c r="Y188" s="821" t="n"/>
      <c r="Z188" s="821" t="n"/>
      <c r="AA188" s="834" t="n"/>
      <c r="AB188" s="835" t="n"/>
      <c r="AC188" s="836" t="n"/>
      <c r="AD188" s="837" t="n"/>
      <c r="AE188" s="838" t="n"/>
      <c r="AF188" s="839" t="n"/>
      <c r="AG188" s="839" t="n"/>
      <c r="AH188" s="839" t="n"/>
      <c r="AI188" s="839" t="n"/>
      <c r="AJ188" s="839" t="n"/>
      <c r="AK188" s="840" t="n"/>
      <c r="AL188" s="841" t="n"/>
      <c r="AM188" s="839" t="n"/>
      <c r="AN188" s="839" t="n"/>
      <c r="AO188" s="839" t="n"/>
      <c r="AP188" s="839" t="n"/>
      <c r="AQ188" s="839" t="n"/>
      <c r="AR188" s="839" t="n"/>
      <c r="AS188" s="839" t="n"/>
      <c r="AT188" s="842" t="n"/>
      <c r="AU188" s="838" t="n"/>
      <c r="AV188" s="840" t="n"/>
      <c r="AW188" s="843" t="n"/>
      <c r="AX188" s="844" t="n"/>
      <c r="AY188" s="845" t="n"/>
      <c r="AZ188" s="845" t="n"/>
      <c r="BA188" s="845" t="n"/>
      <c r="BB188" s="846" t="n"/>
      <c r="BC188" s="847" t="n"/>
      <c r="BD188" s="846" t="n"/>
      <c r="BE188" s="847" t="n"/>
      <c r="BF188" s="836" t="n"/>
    </row>
    <row r="189">
      <c r="A189" s="819" t="n"/>
      <c r="B189" s="820" t="n"/>
      <c r="C189" s="821">
        <f>SUM(Z189:AC189)</f>
        <v/>
      </c>
      <c r="D189" s="821">
        <f>SUM(AD189:AK189)</f>
        <v/>
      </c>
      <c r="E189" s="822">
        <f>SUM(AL189:AT189)</f>
        <v/>
      </c>
      <c r="F189" s="822">
        <f>SUM(AU189:AW189)</f>
        <v/>
      </c>
      <c r="G189" s="822">
        <f>SUM(AX189:BB189)</f>
        <v/>
      </c>
      <c r="H189" s="822">
        <f>SUM(BC189:BD189)</f>
        <v/>
      </c>
      <c r="I189" s="822">
        <f>SUM(V189:Y189)</f>
        <v/>
      </c>
      <c r="J189" s="823">
        <f>SUM(C189:I189)</f>
        <v/>
      </c>
      <c r="K189" s="824" t="n"/>
      <c r="L189" s="825" t="n"/>
      <c r="M189" s="826" t="n"/>
      <c r="N189" s="827" t="n"/>
      <c r="O189" s="828" t="n"/>
      <c r="P189" s="827" t="n"/>
      <c r="Q189" s="827" t="n"/>
      <c r="R189" s="829">
        <f>R188+SUM(N189:Q189)-SUM(J189:M189)</f>
        <v/>
      </c>
      <c r="S189" s="830" t="n"/>
      <c r="T189" s="831" t="n"/>
      <c r="U189" s="832" t="n"/>
      <c r="V189" s="833" t="n"/>
      <c r="W189" s="821" t="n"/>
      <c r="X189" s="821" t="n"/>
      <c r="Y189" s="821" t="n"/>
      <c r="Z189" s="821" t="n"/>
      <c r="AA189" s="834" t="n"/>
      <c r="AB189" s="835" t="n"/>
      <c r="AC189" s="836" t="n"/>
      <c r="AD189" s="837" t="n"/>
      <c r="AE189" s="838" t="n"/>
      <c r="AF189" s="839" t="n"/>
      <c r="AG189" s="839" t="n"/>
      <c r="AH189" s="839" t="n"/>
      <c r="AI189" s="839" t="n"/>
      <c r="AJ189" s="839" t="n"/>
      <c r="AK189" s="840" t="n"/>
      <c r="AL189" s="841" t="n"/>
      <c r="AM189" s="839" t="n"/>
      <c r="AN189" s="839" t="n"/>
      <c r="AO189" s="839" t="n"/>
      <c r="AP189" s="839" t="n"/>
      <c r="AQ189" s="839" t="n"/>
      <c r="AR189" s="839" t="n"/>
      <c r="AS189" s="839" t="n"/>
      <c r="AT189" s="842" t="n"/>
      <c r="AU189" s="838" t="n"/>
      <c r="AV189" s="840" t="n"/>
      <c r="AW189" s="843" t="n"/>
      <c r="AX189" s="844" t="n"/>
      <c r="AY189" s="845" t="n"/>
      <c r="AZ189" s="845" t="n"/>
      <c r="BA189" s="845" t="n"/>
      <c r="BB189" s="846" t="n"/>
      <c r="BC189" s="847" t="n"/>
      <c r="BD189" s="846" t="n"/>
      <c r="BE189" s="847" t="n"/>
      <c r="BF189" s="836" t="n"/>
    </row>
    <row r="190">
      <c r="A190" s="819" t="n"/>
      <c r="B190" s="820" t="n"/>
      <c r="C190" s="821">
        <f>SUM(Z190:AC190)</f>
        <v/>
      </c>
      <c r="D190" s="821">
        <f>SUM(AD190:AK190)</f>
        <v/>
      </c>
      <c r="E190" s="822">
        <f>SUM(AL190:AT190)</f>
        <v/>
      </c>
      <c r="F190" s="822">
        <f>SUM(AU190:AW190)</f>
        <v/>
      </c>
      <c r="G190" s="822">
        <f>SUM(AX190:BB190)</f>
        <v/>
      </c>
      <c r="H190" s="822">
        <f>SUM(BC190:BD190)</f>
        <v/>
      </c>
      <c r="I190" s="822">
        <f>SUM(V190:Y190)</f>
        <v/>
      </c>
      <c r="J190" s="823">
        <f>SUM(C190:I190)</f>
        <v/>
      </c>
      <c r="K190" s="824" t="n"/>
      <c r="L190" s="825" t="n"/>
      <c r="M190" s="826" t="n"/>
      <c r="N190" s="827" t="n"/>
      <c r="O190" s="828" t="n"/>
      <c r="P190" s="827" t="n"/>
      <c r="Q190" s="827" t="n"/>
      <c r="R190" s="829">
        <f>R189+SUM(N190:Q190)-SUM(J190:M190)</f>
        <v/>
      </c>
      <c r="S190" s="830" t="n"/>
      <c r="T190" s="831" t="n"/>
      <c r="U190" s="832" t="n"/>
      <c r="V190" s="833" t="n"/>
      <c r="W190" s="821" t="n"/>
      <c r="X190" s="821" t="n"/>
      <c r="Y190" s="821" t="n"/>
      <c r="Z190" s="821" t="n"/>
      <c r="AA190" s="834" t="n"/>
      <c r="AB190" s="835" t="n"/>
      <c r="AC190" s="836" t="n"/>
      <c r="AD190" s="837" t="n"/>
      <c r="AE190" s="838" t="n"/>
      <c r="AF190" s="839" t="n"/>
      <c r="AG190" s="839" t="n"/>
      <c r="AH190" s="839" t="n"/>
      <c r="AI190" s="839" t="n"/>
      <c r="AJ190" s="839" t="n"/>
      <c r="AK190" s="840" t="n"/>
      <c r="AL190" s="841" t="n"/>
      <c r="AM190" s="839" t="n"/>
      <c r="AN190" s="839" t="n"/>
      <c r="AO190" s="839" t="n"/>
      <c r="AP190" s="839" t="n"/>
      <c r="AQ190" s="839" t="n"/>
      <c r="AR190" s="839" t="n"/>
      <c r="AS190" s="839" t="n"/>
      <c r="AT190" s="842" t="n"/>
      <c r="AU190" s="838" t="n"/>
      <c r="AV190" s="840" t="n"/>
      <c r="AW190" s="843" t="n"/>
      <c r="AX190" s="844" t="n"/>
      <c r="AY190" s="845" t="n"/>
      <c r="AZ190" s="845" t="n"/>
      <c r="BA190" s="845" t="n"/>
      <c r="BB190" s="846" t="n"/>
      <c r="BC190" s="847" t="n"/>
      <c r="BD190" s="846" t="n"/>
      <c r="BE190" s="847" t="n"/>
      <c r="BF190" s="836" t="n"/>
    </row>
    <row r="191">
      <c r="A191" s="819" t="n"/>
      <c r="B191" s="820" t="n"/>
      <c r="C191" s="821">
        <f>SUM(Z191:AC191)</f>
        <v/>
      </c>
      <c r="D191" s="821">
        <f>SUM(AD191:AK191)</f>
        <v/>
      </c>
      <c r="E191" s="822">
        <f>SUM(AL191:AT191)</f>
        <v/>
      </c>
      <c r="F191" s="822">
        <f>SUM(AU191:AW191)</f>
        <v/>
      </c>
      <c r="G191" s="822">
        <f>SUM(AX191:BB191)</f>
        <v/>
      </c>
      <c r="H191" s="822">
        <f>SUM(BC191:BD191)</f>
        <v/>
      </c>
      <c r="I191" s="822">
        <f>SUM(V191:Y191)</f>
        <v/>
      </c>
      <c r="J191" s="823">
        <f>SUM(C191:I191)</f>
        <v/>
      </c>
      <c r="K191" s="824" t="n"/>
      <c r="L191" s="825" t="n"/>
      <c r="M191" s="826" t="n"/>
      <c r="N191" s="827" t="n"/>
      <c r="O191" s="828" t="n"/>
      <c r="P191" s="827" t="n"/>
      <c r="Q191" s="827" t="n"/>
      <c r="R191" s="829">
        <f>R190+SUM(N191:Q191)-SUM(J191:M191)</f>
        <v/>
      </c>
      <c r="S191" s="830" t="n"/>
      <c r="T191" s="831" t="n"/>
      <c r="U191" s="832" t="n"/>
      <c r="V191" s="833" t="n"/>
      <c r="W191" s="821" t="n"/>
      <c r="X191" s="821" t="n"/>
      <c r="Y191" s="821" t="n"/>
      <c r="Z191" s="821" t="n"/>
      <c r="AA191" s="834" t="n"/>
      <c r="AB191" s="835" t="n"/>
      <c r="AC191" s="836" t="n"/>
      <c r="AD191" s="837" t="n"/>
      <c r="AE191" s="838" t="n"/>
      <c r="AF191" s="839" t="n"/>
      <c r="AG191" s="839" t="n"/>
      <c r="AH191" s="839" t="n"/>
      <c r="AI191" s="839" t="n"/>
      <c r="AJ191" s="839" t="n"/>
      <c r="AK191" s="840" t="n"/>
      <c r="AL191" s="841" t="n"/>
      <c r="AM191" s="839" t="n"/>
      <c r="AN191" s="839" t="n"/>
      <c r="AO191" s="839" t="n"/>
      <c r="AP191" s="839" t="n"/>
      <c r="AQ191" s="839" t="n"/>
      <c r="AR191" s="839" t="n"/>
      <c r="AS191" s="839" t="n"/>
      <c r="AT191" s="842" t="n"/>
      <c r="AU191" s="838" t="n"/>
      <c r="AV191" s="840" t="n"/>
      <c r="AW191" s="843" t="n"/>
      <c r="AX191" s="844" t="n"/>
      <c r="AY191" s="845" t="n"/>
      <c r="AZ191" s="845" t="n"/>
      <c r="BA191" s="845" t="n"/>
      <c r="BB191" s="846" t="n"/>
      <c r="BC191" s="847" t="n"/>
      <c r="BD191" s="846" t="n"/>
      <c r="BE191" s="847" t="n"/>
      <c r="BF191" s="836" t="n"/>
    </row>
    <row r="192">
      <c r="A192" s="819" t="n"/>
      <c r="B192" s="820" t="n"/>
      <c r="C192" s="821">
        <f>SUM(Z192:AC192)</f>
        <v/>
      </c>
      <c r="D192" s="821">
        <f>SUM(AD192:AK192)</f>
        <v/>
      </c>
      <c r="E192" s="822">
        <f>SUM(AL192:AT192)</f>
        <v/>
      </c>
      <c r="F192" s="822">
        <f>SUM(AU192:AW192)</f>
        <v/>
      </c>
      <c r="G192" s="822">
        <f>SUM(AX192:BB192)</f>
        <v/>
      </c>
      <c r="H192" s="822">
        <f>SUM(BC192:BD192)</f>
        <v/>
      </c>
      <c r="I192" s="822">
        <f>SUM(V192:Y192)</f>
        <v/>
      </c>
      <c r="J192" s="823">
        <f>SUM(C192:I192)</f>
        <v/>
      </c>
      <c r="K192" s="824" t="n"/>
      <c r="L192" s="825" t="n"/>
      <c r="M192" s="826" t="n"/>
      <c r="N192" s="827" t="n"/>
      <c r="O192" s="828" t="n"/>
      <c r="P192" s="827" t="n"/>
      <c r="Q192" s="827" t="n"/>
      <c r="R192" s="829">
        <f>R191+SUM(N192:Q192)-SUM(J192:M192)</f>
        <v/>
      </c>
      <c r="S192" s="830" t="n"/>
      <c r="T192" s="831" t="n"/>
      <c r="U192" s="832" t="n"/>
      <c r="V192" s="833" t="n"/>
      <c r="W192" s="821" t="n"/>
      <c r="X192" s="821" t="n"/>
      <c r="Y192" s="821" t="n"/>
      <c r="Z192" s="821" t="n"/>
      <c r="AA192" s="834" t="n"/>
      <c r="AB192" s="835" t="n"/>
      <c r="AC192" s="836" t="n"/>
      <c r="AD192" s="837" t="n"/>
      <c r="AE192" s="838" t="n"/>
      <c r="AF192" s="839" t="n"/>
      <c r="AG192" s="839" t="n"/>
      <c r="AH192" s="839" t="n"/>
      <c r="AI192" s="839" t="n"/>
      <c r="AJ192" s="839" t="n"/>
      <c r="AK192" s="840" t="n"/>
      <c r="AL192" s="841" t="n"/>
      <c r="AM192" s="839" t="n"/>
      <c r="AN192" s="839" t="n"/>
      <c r="AO192" s="839" t="n"/>
      <c r="AP192" s="839" t="n"/>
      <c r="AQ192" s="839" t="n"/>
      <c r="AR192" s="839" t="n"/>
      <c r="AS192" s="839" t="n"/>
      <c r="AT192" s="842" t="n"/>
      <c r="AU192" s="838" t="n"/>
      <c r="AV192" s="840" t="n"/>
      <c r="AW192" s="843" t="n"/>
      <c r="AX192" s="844" t="n"/>
      <c r="AY192" s="845" t="n"/>
      <c r="AZ192" s="845" t="n"/>
      <c r="BA192" s="845" t="n"/>
      <c r="BB192" s="846" t="n"/>
      <c r="BC192" s="847" t="n"/>
      <c r="BD192" s="846" t="n"/>
      <c r="BE192" s="847" t="n"/>
      <c r="BF192" s="836" t="n"/>
    </row>
    <row r="193">
      <c r="A193" s="819" t="n"/>
      <c r="B193" s="820" t="n"/>
      <c r="C193" s="821">
        <f>SUM(Z193:AC193)</f>
        <v/>
      </c>
      <c r="D193" s="821">
        <f>SUM(AD193:AK193)</f>
        <v/>
      </c>
      <c r="E193" s="822">
        <f>SUM(AL193:AT193)</f>
        <v/>
      </c>
      <c r="F193" s="822">
        <f>SUM(AU193:AW193)</f>
        <v/>
      </c>
      <c r="G193" s="822">
        <f>SUM(AX193:BB193)</f>
        <v/>
      </c>
      <c r="H193" s="822">
        <f>SUM(BC193:BD193)</f>
        <v/>
      </c>
      <c r="I193" s="822">
        <f>SUM(V193:Y193)</f>
        <v/>
      </c>
      <c r="J193" s="823">
        <f>SUM(C193:I193)</f>
        <v/>
      </c>
      <c r="K193" s="824" t="n"/>
      <c r="L193" s="825" t="n"/>
      <c r="M193" s="826" t="n"/>
      <c r="N193" s="827" t="n"/>
      <c r="O193" s="828" t="n"/>
      <c r="P193" s="827" t="n"/>
      <c r="Q193" s="827" t="n"/>
      <c r="R193" s="829">
        <f>R192+SUM(N193:Q193)-SUM(J193:M193)</f>
        <v/>
      </c>
      <c r="S193" s="830" t="n"/>
      <c r="T193" s="831" t="n"/>
      <c r="U193" s="832" t="n"/>
      <c r="V193" s="833" t="n"/>
      <c r="W193" s="821" t="n"/>
      <c r="X193" s="821" t="n"/>
      <c r="Y193" s="821" t="n"/>
      <c r="Z193" s="821" t="n"/>
      <c r="AA193" s="834" t="n"/>
      <c r="AB193" s="835" t="n"/>
      <c r="AC193" s="836" t="n"/>
      <c r="AD193" s="837" t="n"/>
      <c r="AE193" s="838" t="n"/>
      <c r="AF193" s="839" t="n"/>
      <c r="AG193" s="839" t="n"/>
      <c r="AH193" s="839" t="n"/>
      <c r="AI193" s="839" t="n"/>
      <c r="AJ193" s="839" t="n"/>
      <c r="AK193" s="840" t="n"/>
      <c r="AL193" s="841" t="n"/>
      <c r="AM193" s="839" t="n"/>
      <c r="AN193" s="839" t="n"/>
      <c r="AO193" s="839" t="n"/>
      <c r="AP193" s="839" t="n"/>
      <c r="AQ193" s="839" t="n"/>
      <c r="AR193" s="839" t="n"/>
      <c r="AS193" s="839" t="n"/>
      <c r="AT193" s="842" t="n"/>
      <c r="AU193" s="838" t="n"/>
      <c r="AV193" s="840" t="n"/>
      <c r="AW193" s="843" t="n"/>
      <c r="AX193" s="844" t="n"/>
      <c r="AY193" s="845" t="n"/>
      <c r="AZ193" s="845" t="n"/>
      <c r="BA193" s="845" t="n"/>
      <c r="BB193" s="846" t="n"/>
      <c r="BC193" s="847" t="n"/>
      <c r="BD193" s="846" t="n"/>
      <c r="BE193" s="847" t="n"/>
      <c r="BF193" s="836" t="n"/>
    </row>
    <row r="194">
      <c r="A194" s="819" t="n"/>
      <c r="B194" s="820" t="n"/>
      <c r="C194" s="821">
        <f>SUM(Z194:AC194)</f>
        <v/>
      </c>
      <c r="D194" s="821">
        <f>SUM(AD194:AK194)</f>
        <v/>
      </c>
      <c r="E194" s="822">
        <f>SUM(AL194:AT194)</f>
        <v/>
      </c>
      <c r="F194" s="822">
        <f>SUM(AU194:AW194)</f>
        <v/>
      </c>
      <c r="G194" s="822">
        <f>SUM(AX194:BB194)</f>
        <v/>
      </c>
      <c r="H194" s="822">
        <f>SUM(BC194:BD194)</f>
        <v/>
      </c>
      <c r="I194" s="822">
        <f>SUM(V194:Y194)</f>
        <v/>
      </c>
      <c r="J194" s="823">
        <f>SUM(C194:I194)</f>
        <v/>
      </c>
      <c r="K194" s="824" t="n"/>
      <c r="L194" s="825" t="n"/>
      <c r="M194" s="826" t="n"/>
      <c r="N194" s="827" t="n"/>
      <c r="O194" s="828" t="n"/>
      <c r="P194" s="827" t="n"/>
      <c r="Q194" s="827" t="n"/>
      <c r="R194" s="829">
        <f>R193+SUM(N194:Q194)-SUM(J194:M194)</f>
        <v/>
      </c>
      <c r="S194" s="830" t="n"/>
      <c r="T194" s="831" t="n"/>
      <c r="U194" s="832" t="n"/>
      <c r="V194" s="833" t="n"/>
      <c r="W194" s="821" t="n"/>
      <c r="X194" s="821" t="n"/>
      <c r="Y194" s="821" t="n"/>
      <c r="Z194" s="821" t="n"/>
      <c r="AA194" s="834" t="n"/>
      <c r="AB194" s="835" t="n"/>
      <c r="AC194" s="836" t="n"/>
      <c r="AD194" s="837" t="n"/>
      <c r="AE194" s="838" t="n"/>
      <c r="AF194" s="839" t="n"/>
      <c r="AG194" s="839" t="n"/>
      <c r="AH194" s="839" t="n"/>
      <c r="AI194" s="839" t="n"/>
      <c r="AJ194" s="839" t="n"/>
      <c r="AK194" s="840" t="n"/>
      <c r="AL194" s="841" t="n"/>
      <c r="AM194" s="839" t="n"/>
      <c r="AN194" s="839" t="n"/>
      <c r="AO194" s="839" t="n"/>
      <c r="AP194" s="839" t="n"/>
      <c r="AQ194" s="839" t="n"/>
      <c r="AR194" s="839" t="n"/>
      <c r="AS194" s="839" t="n"/>
      <c r="AT194" s="842" t="n"/>
      <c r="AU194" s="838" t="n"/>
      <c r="AV194" s="840" t="n"/>
      <c r="AW194" s="843" t="n"/>
      <c r="AX194" s="844" t="n"/>
      <c r="AY194" s="845" t="n"/>
      <c r="AZ194" s="845" t="n"/>
      <c r="BA194" s="845" t="n"/>
      <c r="BB194" s="846" t="n"/>
      <c r="BC194" s="847" t="n"/>
      <c r="BD194" s="846" t="n"/>
      <c r="BE194" s="847" t="n"/>
      <c r="BF194" s="836" t="n"/>
    </row>
    <row r="195">
      <c r="A195" s="819" t="n"/>
      <c r="B195" s="820" t="n"/>
      <c r="C195" s="821">
        <f>SUM(Z195:AC195)</f>
        <v/>
      </c>
      <c r="D195" s="821">
        <f>SUM(AD195:AK195)</f>
        <v/>
      </c>
      <c r="E195" s="822">
        <f>SUM(AL195:AT195)</f>
        <v/>
      </c>
      <c r="F195" s="822">
        <f>SUM(AU195:AW195)</f>
        <v/>
      </c>
      <c r="G195" s="822">
        <f>SUM(AX195:BB195)</f>
        <v/>
      </c>
      <c r="H195" s="822">
        <f>SUM(BC195:BD195)</f>
        <v/>
      </c>
      <c r="I195" s="822">
        <f>SUM(V195:Y195)</f>
        <v/>
      </c>
      <c r="J195" s="823">
        <f>SUM(C195:I195)</f>
        <v/>
      </c>
      <c r="K195" s="824" t="n"/>
      <c r="L195" s="825" t="n"/>
      <c r="M195" s="826" t="n"/>
      <c r="N195" s="827" t="n"/>
      <c r="O195" s="828" t="n"/>
      <c r="P195" s="827" t="n"/>
      <c r="Q195" s="827" t="n"/>
      <c r="R195" s="829">
        <f>R194+SUM(N195:Q195)-SUM(J195:M195)</f>
        <v/>
      </c>
      <c r="S195" s="830" t="n"/>
      <c r="T195" s="831" t="n"/>
      <c r="U195" s="832" t="n"/>
      <c r="V195" s="833" t="n"/>
      <c r="W195" s="821" t="n"/>
      <c r="X195" s="821" t="n"/>
      <c r="Y195" s="821" t="n"/>
      <c r="Z195" s="821" t="n"/>
      <c r="AA195" s="834" t="n"/>
      <c r="AB195" s="835" t="n"/>
      <c r="AC195" s="836" t="n"/>
      <c r="AD195" s="837" t="n"/>
      <c r="AE195" s="838" t="n"/>
      <c r="AF195" s="839" t="n"/>
      <c r="AG195" s="839" t="n"/>
      <c r="AH195" s="839" t="n"/>
      <c r="AI195" s="839" t="n"/>
      <c r="AJ195" s="839" t="n"/>
      <c r="AK195" s="840" t="n"/>
      <c r="AL195" s="841" t="n"/>
      <c r="AM195" s="839" t="n"/>
      <c r="AN195" s="839" t="n"/>
      <c r="AO195" s="839" t="n"/>
      <c r="AP195" s="839" t="n"/>
      <c r="AQ195" s="839" t="n"/>
      <c r="AR195" s="839" t="n"/>
      <c r="AS195" s="839" t="n"/>
      <c r="AT195" s="842" t="n"/>
      <c r="AU195" s="838" t="n"/>
      <c r="AV195" s="840" t="n"/>
      <c r="AW195" s="843" t="n"/>
      <c r="AX195" s="844" t="n"/>
      <c r="AY195" s="845" t="n"/>
      <c r="AZ195" s="845" t="n"/>
      <c r="BA195" s="845" t="n"/>
      <c r="BB195" s="846" t="n"/>
      <c r="BC195" s="847" t="n"/>
      <c r="BD195" s="846" t="n"/>
      <c r="BE195" s="847" t="n"/>
      <c r="BF195" s="836" t="n"/>
    </row>
    <row r="196">
      <c r="A196" s="819" t="n"/>
      <c r="B196" s="820" t="n"/>
      <c r="C196" s="821">
        <f>SUM(Z196:AC196)</f>
        <v/>
      </c>
      <c r="D196" s="821">
        <f>SUM(AD196:AK196)</f>
        <v/>
      </c>
      <c r="E196" s="822">
        <f>SUM(AL196:AT196)</f>
        <v/>
      </c>
      <c r="F196" s="822">
        <f>SUM(AU196:AW196)</f>
        <v/>
      </c>
      <c r="G196" s="822">
        <f>SUM(AX196:BB196)</f>
        <v/>
      </c>
      <c r="H196" s="822">
        <f>SUM(BC196:BD196)</f>
        <v/>
      </c>
      <c r="I196" s="822">
        <f>SUM(V196:Y196)</f>
        <v/>
      </c>
      <c r="J196" s="823">
        <f>SUM(C196:I196)</f>
        <v/>
      </c>
      <c r="K196" s="824" t="n"/>
      <c r="L196" s="825" t="n"/>
      <c r="M196" s="826" t="n"/>
      <c r="N196" s="827" t="n"/>
      <c r="O196" s="828" t="n"/>
      <c r="P196" s="827" t="n"/>
      <c r="Q196" s="827" t="n"/>
      <c r="R196" s="829">
        <f>R195+SUM(N196:Q196)-SUM(J196:M196)</f>
        <v/>
      </c>
      <c r="S196" s="830" t="n"/>
      <c r="T196" s="831" t="n"/>
      <c r="U196" s="832" t="n"/>
      <c r="V196" s="833" t="n"/>
      <c r="W196" s="821" t="n"/>
      <c r="X196" s="821" t="n"/>
      <c r="Y196" s="821" t="n"/>
      <c r="Z196" s="821" t="n"/>
      <c r="AA196" s="834" t="n"/>
      <c r="AB196" s="835" t="n"/>
      <c r="AC196" s="836" t="n"/>
      <c r="AD196" s="837" t="n"/>
      <c r="AE196" s="838" t="n"/>
      <c r="AF196" s="839" t="n"/>
      <c r="AG196" s="839" t="n"/>
      <c r="AH196" s="839" t="n"/>
      <c r="AI196" s="839" t="n"/>
      <c r="AJ196" s="839" t="n"/>
      <c r="AK196" s="840" t="n"/>
      <c r="AL196" s="841" t="n"/>
      <c r="AM196" s="839" t="n"/>
      <c r="AN196" s="839" t="n"/>
      <c r="AO196" s="839" t="n"/>
      <c r="AP196" s="839" t="n"/>
      <c r="AQ196" s="839" t="n"/>
      <c r="AR196" s="839" t="n"/>
      <c r="AS196" s="839" t="n"/>
      <c r="AT196" s="842" t="n"/>
      <c r="AU196" s="838" t="n"/>
      <c r="AV196" s="840" t="n"/>
      <c r="AW196" s="843" t="n"/>
      <c r="AX196" s="844" t="n"/>
      <c r="AY196" s="845" t="n"/>
      <c r="AZ196" s="845" t="n"/>
      <c r="BA196" s="845" t="n"/>
      <c r="BB196" s="846" t="n"/>
      <c r="BC196" s="847" t="n"/>
      <c r="BD196" s="846" t="n"/>
      <c r="BE196" s="847" t="n"/>
      <c r="BF196" s="836" t="n"/>
    </row>
    <row r="197">
      <c r="A197" s="819" t="n"/>
      <c r="B197" s="820" t="n"/>
      <c r="C197" s="821">
        <f>SUM(Z197:AC197)</f>
        <v/>
      </c>
      <c r="D197" s="821">
        <f>SUM(AD197:AK197)</f>
        <v/>
      </c>
      <c r="E197" s="822">
        <f>SUM(AL197:AT197)</f>
        <v/>
      </c>
      <c r="F197" s="822">
        <f>SUM(AU197:AW197)</f>
        <v/>
      </c>
      <c r="G197" s="822">
        <f>SUM(AX197:BB197)</f>
        <v/>
      </c>
      <c r="H197" s="822">
        <f>SUM(BC197:BD197)</f>
        <v/>
      </c>
      <c r="I197" s="822">
        <f>SUM(V197:Y197)</f>
        <v/>
      </c>
      <c r="J197" s="823">
        <f>SUM(C197:I197)</f>
        <v/>
      </c>
      <c r="K197" s="824" t="n"/>
      <c r="L197" s="825" t="n"/>
      <c r="M197" s="826" t="n"/>
      <c r="N197" s="827" t="n"/>
      <c r="O197" s="828" t="n"/>
      <c r="P197" s="827" t="n"/>
      <c r="Q197" s="827" t="n"/>
      <c r="R197" s="829">
        <f>R196+SUM(N197:Q197)-SUM(J197:M197)</f>
        <v/>
      </c>
      <c r="S197" s="830" t="n"/>
      <c r="T197" s="831" t="n"/>
      <c r="U197" s="832" t="n"/>
      <c r="V197" s="833" t="n"/>
      <c r="W197" s="821" t="n"/>
      <c r="X197" s="821" t="n"/>
      <c r="Y197" s="821" t="n"/>
      <c r="Z197" s="821" t="n"/>
      <c r="AA197" s="834" t="n"/>
      <c r="AB197" s="835" t="n"/>
      <c r="AC197" s="836" t="n"/>
      <c r="AD197" s="837" t="n"/>
      <c r="AE197" s="838" t="n"/>
      <c r="AF197" s="839" t="n"/>
      <c r="AG197" s="839" t="n"/>
      <c r="AH197" s="839" t="n"/>
      <c r="AI197" s="839" t="n"/>
      <c r="AJ197" s="839" t="n"/>
      <c r="AK197" s="840" t="n"/>
      <c r="AL197" s="841" t="n"/>
      <c r="AM197" s="839" t="n"/>
      <c r="AN197" s="839" t="n"/>
      <c r="AO197" s="839" t="n"/>
      <c r="AP197" s="839" t="n"/>
      <c r="AQ197" s="839" t="n"/>
      <c r="AR197" s="839" t="n"/>
      <c r="AS197" s="839" t="n"/>
      <c r="AT197" s="842" t="n"/>
      <c r="AU197" s="838" t="n"/>
      <c r="AV197" s="840" t="n"/>
      <c r="AW197" s="843" t="n"/>
      <c r="AX197" s="844" t="n"/>
      <c r="AY197" s="845" t="n"/>
      <c r="AZ197" s="845" t="n"/>
      <c r="BA197" s="845" t="n"/>
      <c r="BB197" s="846" t="n"/>
      <c r="BC197" s="847" t="n"/>
      <c r="BD197" s="846" t="n"/>
      <c r="BE197" s="847" t="n"/>
      <c r="BF197" s="836" t="n"/>
    </row>
    <row r="198">
      <c r="A198" s="819" t="n"/>
      <c r="B198" s="820" t="n"/>
      <c r="C198" s="821">
        <f>SUM(Z198:AC198)</f>
        <v/>
      </c>
      <c r="D198" s="821">
        <f>SUM(AD198:AK198)</f>
        <v/>
      </c>
      <c r="E198" s="822">
        <f>SUM(AL198:AT198)</f>
        <v/>
      </c>
      <c r="F198" s="822">
        <f>SUM(AU198:AW198)</f>
        <v/>
      </c>
      <c r="G198" s="822">
        <f>SUM(AX198:BB198)</f>
        <v/>
      </c>
      <c r="H198" s="822">
        <f>SUM(BC198:BD198)</f>
        <v/>
      </c>
      <c r="I198" s="822">
        <f>SUM(V198:Y198)</f>
        <v/>
      </c>
      <c r="J198" s="823">
        <f>SUM(C198:I198)</f>
        <v/>
      </c>
      <c r="K198" s="824" t="n"/>
      <c r="L198" s="825" t="n"/>
      <c r="M198" s="826" t="n"/>
      <c r="N198" s="827" t="n"/>
      <c r="O198" s="828" t="n"/>
      <c r="P198" s="827" t="n"/>
      <c r="Q198" s="827" t="n"/>
      <c r="R198" s="829">
        <f>R197+SUM(N198:Q198)-SUM(J198:M198)</f>
        <v/>
      </c>
      <c r="S198" s="830" t="n"/>
      <c r="T198" s="831" t="n"/>
      <c r="U198" s="832" t="n"/>
      <c r="V198" s="833" t="n"/>
      <c r="W198" s="821" t="n"/>
      <c r="X198" s="821" t="n"/>
      <c r="Y198" s="821" t="n"/>
      <c r="Z198" s="821" t="n"/>
      <c r="AA198" s="834" t="n"/>
      <c r="AB198" s="835" t="n"/>
      <c r="AC198" s="836" t="n"/>
      <c r="AD198" s="837" t="n"/>
      <c r="AE198" s="838" t="n"/>
      <c r="AF198" s="839" t="n"/>
      <c r="AG198" s="839" t="n"/>
      <c r="AH198" s="839" t="n"/>
      <c r="AI198" s="839" t="n"/>
      <c r="AJ198" s="839" t="n"/>
      <c r="AK198" s="840" t="n"/>
      <c r="AL198" s="841" t="n"/>
      <c r="AM198" s="839" t="n"/>
      <c r="AN198" s="839" t="n"/>
      <c r="AO198" s="839" t="n"/>
      <c r="AP198" s="839" t="n"/>
      <c r="AQ198" s="839" t="n"/>
      <c r="AR198" s="839" t="n"/>
      <c r="AS198" s="839" t="n"/>
      <c r="AT198" s="842" t="n"/>
      <c r="AU198" s="838" t="n"/>
      <c r="AV198" s="840" t="n"/>
      <c r="AW198" s="843" t="n"/>
      <c r="AX198" s="844" t="n"/>
      <c r="AY198" s="845" t="n"/>
      <c r="AZ198" s="845" t="n"/>
      <c r="BA198" s="845" t="n"/>
      <c r="BB198" s="846" t="n"/>
      <c r="BC198" s="847" t="n"/>
      <c r="BD198" s="846" t="n"/>
      <c r="BE198" s="847" t="n"/>
      <c r="BF198" s="836" t="n"/>
    </row>
    <row r="199">
      <c r="A199" s="819" t="n"/>
      <c r="B199" s="820" t="n"/>
      <c r="C199" s="821">
        <f>SUM(Z199:AC199)</f>
        <v/>
      </c>
      <c r="D199" s="821">
        <f>SUM(AD199:AK199)</f>
        <v/>
      </c>
      <c r="E199" s="822">
        <f>SUM(AL199:AT199)</f>
        <v/>
      </c>
      <c r="F199" s="822">
        <f>SUM(AU199:AW199)</f>
        <v/>
      </c>
      <c r="G199" s="822">
        <f>SUM(AX199:BB199)</f>
        <v/>
      </c>
      <c r="H199" s="822">
        <f>SUM(BC199:BD199)</f>
        <v/>
      </c>
      <c r="I199" s="822">
        <f>SUM(V199:Y199)</f>
        <v/>
      </c>
      <c r="J199" s="823">
        <f>SUM(C199:I199)</f>
        <v/>
      </c>
      <c r="K199" s="824" t="n"/>
      <c r="L199" s="825" t="n"/>
      <c r="M199" s="826" t="n"/>
      <c r="N199" s="827" t="n"/>
      <c r="O199" s="828" t="n"/>
      <c r="P199" s="827" t="n"/>
      <c r="Q199" s="827" t="n"/>
      <c r="R199" s="829">
        <f>R198+SUM(N199:Q199)-SUM(J199:M199)</f>
        <v/>
      </c>
      <c r="S199" s="830" t="n"/>
      <c r="T199" s="831" t="n"/>
      <c r="U199" s="832" t="n"/>
      <c r="V199" s="833" t="n"/>
      <c r="W199" s="821" t="n"/>
      <c r="X199" s="821" t="n"/>
      <c r="Y199" s="821" t="n"/>
      <c r="Z199" s="821" t="n"/>
      <c r="AA199" s="834" t="n"/>
      <c r="AB199" s="835" t="n"/>
      <c r="AC199" s="836" t="n"/>
      <c r="AD199" s="837" t="n"/>
      <c r="AE199" s="838" t="n"/>
      <c r="AF199" s="839" t="n"/>
      <c r="AG199" s="839" t="n"/>
      <c r="AH199" s="839" t="n"/>
      <c r="AI199" s="839" t="n"/>
      <c r="AJ199" s="839" t="n"/>
      <c r="AK199" s="840" t="n"/>
      <c r="AL199" s="841" t="n"/>
      <c r="AM199" s="839" t="n"/>
      <c r="AN199" s="839" t="n"/>
      <c r="AO199" s="839" t="n"/>
      <c r="AP199" s="839" t="n"/>
      <c r="AQ199" s="839" t="n"/>
      <c r="AR199" s="839" t="n"/>
      <c r="AS199" s="839" t="n"/>
      <c r="AT199" s="842" t="n"/>
      <c r="AU199" s="838" t="n"/>
      <c r="AV199" s="840" t="n"/>
      <c r="AW199" s="843" t="n"/>
      <c r="AX199" s="844" t="n"/>
      <c r="AY199" s="845" t="n"/>
      <c r="AZ199" s="845" t="n"/>
      <c r="BA199" s="845" t="n"/>
      <c r="BB199" s="846" t="n"/>
      <c r="BC199" s="847" t="n"/>
      <c r="BD199" s="846" t="n"/>
      <c r="BE199" s="847" t="n"/>
      <c r="BF199" s="836" t="n"/>
    </row>
    <row r="200">
      <c r="A200" s="819" t="n"/>
      <c r="B200" s="820" t="n"/>
      <c r="C200" s="821">
        <f>SUM(Z200:AC200)</f>
        <v/>
      </c>
      <c r="D200" s="821">
        <f>SUM(AD200:AK200)</f>
        <v/>
      </c>
      <c r="E200" s="822">
        <f>SUM(AL200:AT200)</f>
        <v/>
      </c>
      <c r="F200" s="822">
        <f>SUM(AU200:AW200)</f>
        <v/>
      </c>
      <c r="G200" s="822">
        <f>SUM(AX200:BB200)</f>
        <v/>
      </c>
      <c r="H200" s="822">
        <f>SUM(BC200:BD200)</f>
        <v/>
      </c>
      <c r="I200" s="822">
        <f>SUM(V200:Y200)</f>
        <v/>
      </c>
      <c r="J200" s="823">
        <f>SUM(C200:I200)</f>
        <v/>
      </c>
      <c r="K200" s="824" t="n"/>
      <c r="L200" s="825" t="n"/>
      <c r="M200" s="826" t="n"/>
      <c r="N200" s="827" t="n"/>
      <c r="O200" s="828" t="n"/>
      <c r="P200" s="827" t="n"/>
      <c r="Q200" s="827" t="n"/>
      <c r="R200" s="829">
        <f>R199+SUM(N200:Q200)-SUM(J200:M200)</f>
        <v/>
      </c>
      <c r="S200" s="830" t="n"/>
      <c r="T200" s="831" t="n"/>
      <c r="U200" s="832" t="n"/>
      <c r="V200" s="833" t="n"/>
      <c r="W200" s="821" t="n"/>
      <c r="X200" s="821" t="n"/>
      <c r="Y200" s="821" t="n"/>
      <c r="Z200" s="821" t="n"/>
      <c r="AA200" s="834" t="n"/>
      <c r="AB200" s="835" t="n"/>
      <c r="AC200" s="836" t="n"/>
      <c r="AD200" s="837" t="n"/>
      <c r="AE200" s="838" t="n"/>
      <c r="AF200" s="839" t="n"/>
      <c r="AG200" s="839" t="n"/>
      <c r="AH200" s="839" t="n"/>
      <c r="AI200" s="839" t="n"/>
      <c r="AJ200" s="839" t="n"/>
      <c r="AK200" s="840" t="n"/>
      <c r="AL200" s="841" t="n"/>
      <c r="AM200" s="839" t="n"/>
      <c r="AN200" s="839" t="n"/>
      <c r="AO200" s="839" t="n"/>
      <c r="AP200" s="839" t="n"/>
      <c r="AQ200" s="839" t="n"/>
      <c r="AR200" s="839" t="n"/>
      <c r="AS200" s="839" t="n"/>
      <c r="AT200" s="842" t="n"/>
      <c r="AU200" s="838" t="n"/>
      <c r="AV200" s="840" t="n"/>
      <c r="AW200" s="843" t="n"/>
      <c r="AX200" s="844" t="n"/>
      <c r="AY200" s="845" t="n"/>
      <c r="AZ200" s="845" t="n"/>
      <c r="BA200" s="845" t="n"/>
      <c r="BB200" s="846" t="n"/>
      <c r="BC200" s="847" t="n"/>
      <c r="BD200" s="846" t="n"/>
      <c r="BE200" s="847" t="n"/>
      <c r="BF200" s="836" t="n"/>
    </row>
    <row r="201">
      <c r="A201" s="819" t="n"/>
      <c r="B201" s="820" t="n"/>
      <c r="C201" s="821">
        <f>SUM(Z201:AC201)</f>
        <v/>
      </c>
      <c r="D201" s="821">
        <f>SUM(AD201:AK201)</f>
        <v/>
      </c>
      <c r="E201" s="822">
        <f>SUM(AL201:AT201)</f>
        <v/>
      </c>
      <c r="F201" s="822">
        <f>SUM(AU201:AW201)</f>
        <v/>
      </c>
      <c r="G201" s="822">
        <f>SUM(AX201:BB201)</f>
        <v/>
      </c>
      <c r="H201" s="822">
        <f>SUM(BC201:BD201)</f>
        <v/>
      </c>
      <c r="I201" s="822">
        <f>SUM(V201:Y201)</f>
        <v/>
      </c>
      <c r="J201" s="823">
        <f>SUM(C201:I201)</f>
        <v/>
      </c>
      <c r="K201" s="824" t="n"/>
      <c r="L201" s="825" t="n"/>
      <c r="M201" s="826" t="n"/>
      <c r="N201" s="827" t="n"/>
      <c r="O201" s="828" t="n"/>
      <c r="P201" s="827" t="n"/>
      <c r="Q201" s="827" t="n"/>
      <c r="R201" s="829">
        <f>R200+SUM(N201:Q201)-SUM(J201:M201)</f>
        <v/>
      </c>
      <c r="S201" s="830" t="n"/>
      <c r="T201" s="831" t="n"/>
      <c r="U201" s="832" t="n"/>
      <c r="V201" s="833" t="n"/>
      <c r="W201" s="821" t="n"/>
      <c r="X201" s="821" t="n"/>
      <c r="Y201" s="821" t="n"/>
      <c r="Z201" s="821" t="n"/>
      <c r="AA201" s="834" t="n"/>
      <c r="AB201" s="835" t="n"/>
      <c r="AC201" s="836" t="n"/>
      <c r="AD201" s="837" t="n"/>
      <c r="AE201" s="838" t="n"/>
      <c r="AF201" s="839" t="n"/>
      <c r="AG201" s="839" t="n"/>
      <c r="AH201" s="839" t="n"/>
      <c r="AI201" s="839" t="n"/>
      <c r="AJ201" s="839" t="n"/>
      <c r="AK201" s="840" t="n"/>
      <c r="AL201" s="841" t="n"/>
      <c r="AM201" s="839" t="n"/>
      <c r="AN201" s="839" t="n"/>
      <c r="AO201" s="839" t="n"/>
      <c r="AP201" s="839" t="n"/>
      <c r="AQ201" s="839" t="n"/>
      <c r="AR201" s="839" t="n"/>
      <c r="AS201" s="839" t="n"/>
      <c r="AT201" s="842" t="n"/>
      <c r="AU201" s="838" t="n"/>
      <c r="AV201" s="840" t="n"/>
      <c r="AW201" s="843" t="n"/>
      <c r="AX201" s="844" t="n"/>
      <c r="AY201" s="845" t="n"/>
      <c r="AZ201" s="845" t="n"/>
      <c r="BA201" s="845" t="n"/>
      <c r="BB201" s="846" t="n"/>
      <c r="BC201" s="847" t="n"/>
      <c r="BD201" s="846" t="n"/>
      <c r="BE201" s="847" t="n"/>
      <c r="BF201" s="836" t="n"/>
    </row>
    <row r="202">
      <c r="A202" s="819" t="n"/>
      <c r="B202" s="820" t="n"/>
      <c r="C202" s="821">
        <f>SUM(Z202:AC202)</f>
        <v/>
      </c>
      <c r="D202" s="821">
        <f>SUM(AD202:AK202)</f>
        <v/>
      </c>
      <c r="E202" s="822">
        <f>SUM(AL202:AT202)</f>
        <v/>
      </c>
      <c r="F202" s="822">
        <f>SUM(AU202:AW202)</f>
        <v/>
      </c>
      <c r="G202" s="822">
        <f>SUM(AX202:BB202)</f>
        <v/>
      </c>
      <c r="H202" s="822">
        <f>SUM(BC202:BD202)</f>
        <v/>
      </c>
      <c r="I202" s="822">
        <f>SUM(V202:Y202)</f>
        <v/>
      </c>
      <c r="J202" s="823">
        <f>SUM(C202:I202)</f>
        <v/>
      </c>
      <c r="K202" s="824" t="n"/>
      <c r="L202" s="825" t="n"/>
      <c r="M202" s="826" t="n"/>
      <c r="N202" s="827" t="n"/>
      <c r="O202" s="828" t="n"/>
      <c r="P202" s="827" t="n"/>
      <c r="Q202" s="827" t="n"/>
      <c r="R202" s="829">
        <f>R201+SUM(N202:Q202)-SUM(J202:M202)</f>
        <v/>
      </c>
      <c r="S202" s="830" t="n"/>
      <c r="T202" s="831" t="n"/>
      <c r="U202" s="832" t="n"/>
      <c r="V202" s="833" t="n"/>
      <c r="W202" s="821" t="n"/>
      <c r="X202" s="821" t="n"/>
      <c r="Y202" s="821" t="n"/>
      <c r="Z202" s="821" t="n"/>
      <c r="AA202" s="834" t="n"/>
      <c r="AB202" s="835" t="n"/>
      <c r="AC202" s="836" t="n"/>
      <c r="AD202" s="837" t="n"/>
      <c r="AE202" s="838" t="n"/>
      <c r="AF202" s="839" t="n"/>
      <c r="AG202" s="839" t="n"/>
      <c r="AH202" s="839" t="n"/>
      <c r="AI202" s="839" t="n"/>
      <c r="AJ202" s="839" t="n"/>
      <c r="AK202" s="840" t="n"/>
      <c r="AL202" s="841" t="n"/>
      <c r="AM202" s="839" t="n"/>
      <c r="AN202" s="839" t="n"/>
      <c r="AO202" s="839" t="n"/>
      <c r="AP202" s="839" t="n"/>
      <c r="AQ202" s="839" t="n"/>
      <c r="AR202" s="839" t="n"/>
      <c r="AS202" s="839" t="n"/>
      <c r="AT202" s="842" t="n"/>
      <c r="AU202" s="838" t="n"/>
      <c r="AV202" s="840" t="n"/>
      <c r="AW202" s="843" t="n"/>
      <c r="AX202" s="844" t="n"/>
      <c r="AY202" s="845" t="n"/>
      <c r="AZ202" s="845" t="n"/>
      <c r="BA202" s="845" t="n"/>
      <c r="BB202" s="846" t="n"/>
      <c r="BC202" s="847" t="n"/>
      <c r="BD202" s="846" t="n"/>
      <c r="BE202" s="847" t="n"/>
      <c r="BF202" s="836" t="n"/>
    </row>
    <row r="203">
      <c r="A203" s="819" t="n"/>
      <c r="B203" s="820" t="n"/>
      <c r="C203" s="821">
        <f>SUM(Z203:AC203)</f>
        <v/>
      </c>
      <c r="D203" s="821">
        <f>SUM(AD203:AK203)</f>
        <v/>
      </c>
      <c r="E203" s="822">
        <f>SUM(AL203:AT203)</f>
        <v/>
      </c>
      <c r="F203" s="822">
        <f>SUM(AU203:AW203)</f>
        <v/>
      </c>
      <c r="G203" s="822">
        <f>SUM(AX203:BB203)</f>
        <v/>
      </c>
      <c r="H203" s="822">
        <f>SUM(BC203:BD203)</f>
        <v/>
      </c>
      <c r="I203" s="822">
        <f>SUM(V203:Y203)</f>
        <v/>
      </c>
      <c r="J203" s="823">
        <f>SUM(C203:I203)</f>
        <v/>
      </c>
      <c r="K203" s="824" t="n"/>
      <c r="L203" s="825" t="n"/>
      <c r="M203" s="826" t="n"/>
      <c r="N203" s="827" t="n"/>
      <c r="O203" s="828" t="n"/>
      <c r="P203" s="827" t="n"/>
      <c r="Q203" s="827" t="n"/>
      <c r="R203" s="829">
        <f>R202+SUM(N203:Q203)-SUM(J203:M203)</f>
        <v/>
      </c>
      <c r="S203" s="830" t="n"/>
      <c r="T203" s="831" t="n"/>
      <c r="U203" s="832" t="n"/>
      <c r="V203" s="833" t="n"/>
      <c r="W203" s="821" t="n"/>
      <c r="X203" s="821" t="n"/>
      <c r="Y203" s="821" t="n"/>
      <c r="Z203" s="821" t="n"/>
      <c r="AA203" s="834" t="n"/>
      <c r="AB203" s="835" t="n"/>
      <c r="AC203" s="836" t="n"/>
      <c r="AD203" s="837" t="n"/>
      <c r="AE203" s="838" t="n"/>
      <c r="AF203" s="839" t="n"/>
      <c r="AG203" s="839" t="n"/>
      <c r="AH203" s="839" t="n"/>
      <c r="AI203" s="839" t="n"/>
      <c r="AJ203" s="839" t="n"/>
      <c r="AK203" s="840" t="n"/>
      <c r="AL203" s="841" t="n"/>
      <c r="AM203" s="839" t="n"/>
      <c r="AN203" s="839" t="n"/>
      <c r="AO203" s="839" t="n"/>
      <c r="AP203" s="839" t="n"/>
      <c r="AQ203" s="839" t="n"/>
      <c r="AR203" s="839" t="n"/>
      <c r="AS203" s="839" t="n"/>
      <c r="AT203" s="842" t="n"/>
      <c r="AU203" s="838" t="n"/>
      <c r="AV203" s="840" t="n"/>
      <c r="AW203" s="843" t="n"/>
      <c r="AX203" s="844" t="n"/>
      <c r="AY203" s="845" t="n"/>
      <c r="AZ203" s="845" t="n"/>
      <c r="BA203" s="845" t="n"/>
      <c r="BB203" s="846" t="n"/>
      <c r="BC203" s="847" t="n"/>
      <c r="BD203" s="846" t="n"/>
      <c r="BE203" s="847" t="n"/>
      <c r="BF203" s="836" t="n"/>
    </row>
    <row r="204">
      <c r="A204" s="819" t="n"/>
      <c r="B204" s="820" t="n"/>
      <c r="C204" s="821">
        <f>SUM(Z204:AC204)</f>
        <v/>
      </c>
      <c r="D204" s="821">
        <f>SUM(AD204:AK204)</f>
        <v/>
      </c>
      <c r="E204" s="822">
        <f>SUM(AL204:AT204)</f>
        <v/>
      </c>
      <c r="F204" s="822">
        <f>SUM(AU204:AW204)</f>
        <v/>
      </c>
      <c r="G204" s="822">
        <f>SUM(AX204:BB204)</f>
        <v/>
      </c>
      <c r="H204" s="822">
        <f>SUM(BC204:BD204)</f>
        <v/>
      </c>
      <c r="I204" s="822">
        <f>SUM(V204:Y204)</f>
        <v/>
      </c>
      <c r="J204" s="823">
        <f>SUM(C204:I204)</f>
        <v/>
      </c>
      <c r="K204" s="824" t="n"/>
      <c r="L204" s="825" t="n"/>
      <c r="M204" s="826" t="n"/>
      <c r="N204" s="827" t="n"/>
      <c r="O204" s="828" t="n"/>
      <c r="P204" s="827" t="n"/>
      <c r="Q204" s="827" t="n"/>
      <c r="R204" s="829">
        <f>R203+SUM(N204:Q204)-SUM(J204:M204)</f>
        <v/>
      </c>
      <c r="S204" s="830" t="n"/>
      <c r="T204" s="831" t="n"/>
      <c r="U204" s="832" t="n"/>
      <c r="V204" s="833" t="n"/>
      <c r="W204" s="821" t="n"/>
      <c r="X204" s="821" t="n"/>
      <c r="Y204" s="821" t="n"/>
      <c r="Z204" s="821" t="n"/>
      <c r="AA204" s="834" t="n"/>
      <c r="AB204" s="835" t="n"/>
      <c r="AC204" s="836" t="n"/>
      <c r="AD204" s="837" t="n"/>
      <c r="AE204" s="838" t="n"/>
      <c r="AF204" s="839" t="n"/>
      <c r="AG204" s="839" t="n"/>
      <c r="AH204" s="839" t="n"/>
      <c r="AI204" s="839" t="n"/>
      <c r="AJ204" s="839" t="n"/>
      <c r="AK204" s="840" t="n"/>
      <c r="AL204" s="841" t="n"/>
      <c r="AM204" s="839" t="n"/>
      <c r="AN204" s="839" t="n"/>
      <c r="AO204" s="839" t="n"/>
      <c r="AP204" s="839" t="n"/>
      <c r="AQ204" s="839" t="n"/>
      <c r="AR204" s="839" t="n"/>
      <c r="AS204" s="839" t="n"/>
      <c r="AT204" s="842" t="n"/>
      <c r="AU204" s="838" t="n"/>
      <c r="AV204" s="840" t="n"/>
      <c r="AW204" s="843" t="n"/>
      <c r="AX204" s="844" t="n"/>
      <c r="AY204" s="845" t="n"/>
      <c r="AZ204" s="845" t="n"/>
      <c r="BA204" s="845" t="n"/>
      <c r="BB204" s="846" t="n"/>
      <c r="BC204" s="847" t="n"/>
      <c r="BD204" s="846" t="n"/>
      <c r="BE204" s="847" t="n"/>
      <c r="BF204" s="836" t="n"/>
    </row>
    <row r="205">
      <c r="A205" s="819" t="n"/>
      <c r="B205" s="820" t="n"/>
      <c r="C205" s="821">
        <f>SUM(Z205:AC205)</f>
        <v/>
      </c>
      <c r="D205" s="821">
        <f>SUM(AD205:AK205)</f>
        <v/>
      </c>
      <c r="E205" s="822">
        <f>SUM(AL205:AT205)</f>
        <v/>
      </c>
      <c r="F205" s="822">
        <f>SUM(AU205:AW205)</f>
        <v/>
      </c>
      <c r="G205" s="822">
        <f>SUM(AX205:BB205)</f>
        <v/>
      </c>
      <c r="H205" s="822">
        <f>SUM(BC205:BD205)</f>
        <v/>
      </c>
      <c r="I205" s="822">
        <f>SUM(V205:Y205)</f>
        <v/>
      </c>
      <c r="J205" s="823">
        <f>SUM(C205:I205)</f>
        <v/>
      </c>
      <c r="K205" s="824" t="n"/>
      <c r="L205" s="825" t="n"/>
      <c r="M205" s="826" t="n"/>
      <c r="N205" s="827" t="n"/>
      <c r="O205" s="828" t="n"/>
      <c r="P205" s="827" t="n"/>
      <c r="Q205" s="827" t="n"/>
      <c r="R205" s="829">
        <f>R204+SUM(N205:Q205)-SUM(J205:M205)</f>
        <v/>
      </c>
      <c r="S205" s="830" t="n"/>
      <c r="T205" s="831" t="n"/>
      <c r="U205" s="832" t="n"/>
      <c r="V205" s="833" t="n"/>
      <c r="W205" s="821" t="n"/>
      <c r="X205" s="821" t="n"/>
      <c r="Y205" s="821" t="n"/>
      <c r="Z205" s="821" t="n"/>
      <c r="AA205" s="834" t="n"/>
      <c r="AB205" s="835" t="n"/>
      <c r="AC205" s="836" t="n"/>
      <c r="AD205" s="837" t="n"/>
      <c r="AE205" s="838" t="n"/>
      <c r="AF205" s="839" t="n"/>
      <c r="AG205" s="839" t="n"/>
      <c r="AH205" s="839" t="n"/>
      <c r="AI205" s="839" t="n"/>
      <c r="AJ205" s="839" t="n"/>
      <c r="AK205" s="840" t="n"/>
      <c r="AL205" s="841" t="n"/>
      <c r="AM205" s="839" t="n"/>
      <c r="AN205" s="839" t="n"/>
      <c r="AO205" s="839" t="n"/>
      <c r="AP205" s="839" t="n"/>
      <c r="AQ205" s="839" t="n"/>
      <c r="AR205" s="839" t="n"/>
      <c r="AS205" s="839" t="n"/>
      <c r="AT205" s="842" t="n"/>
      <c r="AU205" s="838" t="n"/>
      <c r="AV205" s="840" t="n"/>
      <c r="AW205" s="843" t="n"/>
      <c r="AX205" s="844" t="n"/>
      <c r="AY205" s="845" t="n"/>
      <c r="AZ205" s="845" t="n"/>
      <c r="BA205" s="845" t="n"/>
      <c r="BB205" s="846" t="n"/>
      <c r="BC205" s="847" t="n"/>
      <c r="BD205" s="846" t="n"/>
      <c r="BE205" s="847" t="n"/>
      <c r="BF205" s="836" t="n"/>
    </row>
    <row r="206">
      <c r="A206" s="819" t="n"/>
      <c r="B206" s="820" t="n"/>
      <c r="C206" s="821">
        <f>SUM(Z206:AC206)</f>
        <v/>
      </c>
      <c r="D206" s="821">
        <f>SUM(AD206:AK206)</f>
        <v/>
      </c>
      <c r="E206" s="822">
        <f>SUM(AL206:AT206)</f>
        <v/>
      </c>
      <c r="F206" s="822">
        <f>SUM(AU206:AW206)</f>
        <v/>
      </c>
      <c r="G206" s="822">
        <f>SUM(AX206:BB206)</f>
        <v/>
      </c>
      <c r="H206" s="822">
        <f>SUM(BC206:BD206)</f>
        <v/>
      </c>
      <c r="I206" s="822">
        <f>SUM(V206:Y206)</f>
        <v/>
      </c>
      <c r="J206" s="823">
        <f>SUM(C206:I206)</f>
        <v/>
      </c>
      <c r="K206" s="824" t="n"/>
      <c r="L206" s="825" t="n"/>
      <c r="M206" s="826" t="n"/>
      <c r="N206" s="827" t="n"/>
      <c r="O206" s="828" t="n"/>
      <c r="P206" s="827" t="n"/>
      <c r="Q206" s="827" t="n"/>
      <c r="R206" s="829">
        <f>R205+SUM(N206:Q206)-SUM(J206:M206)</f>
        <v/>
      </c>
      <c r="S206" s="830" t="n"/>
      <c r="T206" s="831" t="n"/>
      <c r="U206" s="832" t="n"/>
      <c r="V206" s="833" t="n"/>
      <c r="W206" s="821" t="n"/>
      <c r="X206" s="821" t="n"/>
      <c r="Y206" s="821" t="n"/>
      <c r="Z206" s="821" t="n"/>
      <c r="AA206" s="834" t="n"/>
      <c r="AB206" s="835" t="n"/>
      <c r="AC206" s="836" t="n"/>
      <c r="AD206" s="837" t="n"/>
      <c r="AE206" s="838" t="n"/>
      <c r="AF206" s="839" t="n"/>
      <c r="AG206" s="839" t="n"/>
      <c r="AH206" s="839" t="n"/>
      <c r="AI206" s="839" t="n"/>
      <c r="AJ206" s="839" t="n"/>
      <c r="AK206" s="840" t="n"/>
      <c r="AL206" s="841" t="n"/>
      <c r="AM206" s="839" t="n"/>
      <c r="AN206" s="839" t="n"/>
      <c r="AO206" s="839" t="n"/>
      <c r="AP206" s="839" t="n"/>
      <c r="AQ206" s="839" t="n"/>
      <c r="AR206" s="839" t="n"/>
      <c r="AS206" s="839" t="n"/>
      <c r="AT206" s="842" t="n"/>
      <c r="AU206" s="838" t="n"/>
      <c r="AV206" s="840" t="n"/>
      <c r="AW206" s="843" t="n"/>
      <c r="AX206" s="844" t="n"/>
      <c r="AY206" s="845" t="n"/>
      <c r="AZ206" s="845" t="n"/>
      <c r="BA206" s="845" t="n"/>
      <c r="BB206" s="846" t="n"/>
      <c r="BC206" s="847" t="n"/>
      <c r="BD206" s="846" t="n"/>
      <c r="BE206" s="847" t="n"/>
      <c r="BF206" s="836" t="n"/>
    </row>
    <row r="207">
      <c r="A207" s="848" t="inlineStr">
        <is>
          <t>合计</t>
        </is>
      </c>
      <c r="B207" s="739" t="n"/>
      <c r="C207" s="849">
        <f>SUM(C5:C206)</f>
        <v/>
      </c>
      <c r="D207" s="849">
        <f>SUM(D5:D206)</f>
        <v/>
      </c>
      <c r="E207" s="849">
        <f>SUM(E5:E206)</f>
        <v/>
      </c>
      <c r="F207" s="849">
        <f>SUM(F5:F206)</f>
        <v/>
      </c>
      <c r="G207" s="849">
        <f>SUM(G5:G206)</f>
        <v/>
      </c>
      <c r="H207" s="849">
        <f>SUM(H5:H206)</f>
        <v/>
      </c>
      <c r="I207" s="849">
        <f>SUM(I5:I206)</f>
        <v/>
      </c>
      <c r="J207" s="849">
        <f>SUM(J5:J206)</f>
        <v/>
      </c>
      <c r="K207" s="849">
        <f>SUM(K5:K206)</f>
        <v/>
      </c>
      <c r="L207" s="849">
        <f>SUM(L5:L206)</f>
        <v/>
      </c>
      <c r="M207" s="849">
        <f>SUM(M5:M206)</f>
        <v/>
      </c>
      <c r="N207" s="849">
        <f>SUM(N5:N206)</f>
        <v/>
      </c>
      <c r="O207" s="849">
        <f>SUM(O5:O206)</f>
        <v/>
      </c>
      <c r="P207" s="849">
        <f>SUM(P5:P206)</f>
        <v/>
      </c>
      <c r="Q207" s="849">
        <f>SUM(Q5:Q206)</f>
        <v/>
      </c>
      <c r="R207" s="850">
        <f>SUM(R4+SUM(N207:Q207)-SUM(J207:M207))</f>
        <v/>
      </c>
      <c r="S207" s="851" t="n"/>
      <c r="T207" s="849" t="n"/>
      <c r="U207" s="852" t="n"/>
      <c r="V207" s="853">
        <f>SUM(V5:V206)</f>
        <v/>
      </c>
      <c r="W207" s="853">
        <f>SUM(W5:W206)</f>
        <v/>
      </c>
      <c r="X207" s="853">
        <f>SUM(X5:X206)</f>
        <v/>
      </c>
      <c r="Y207" s="853">
        <f>SUM(Y5:Y206)</f>
        <v/>
      </c>
      <c r="Z207" s="853">
        <f>SUM(Z5:Z206)</f>
        <v/>
      </c>
      <c r="AA207" s="853" t="n"/>
      <c r="AB207" s="853">
        <f>SUM(AB5:AB206)</f>
        <v/>
      </c>
      <c r="AC207" s="853">
        <f>SUM(AC5:AC206)</f>
        <v/>
      </c>
      <c r="AD207" s="853">
        <f>SUM(AD5:AD206)</f>
        <v/>
      </c>
      <c r="AE207" s="853">
        <f>SUM(AE5:AE206)</f>
        <v/>
      </c>
      <c r="AF207" s="853">
        <f>SUM(AF5:AF206)</f>
        <v/>
      </c>
      <c r="AG207" s="853">
        <f>SUM(AG5:AG206)</f>
        <v/>
      </c>
      <c r="AH207" s="853">
        <f>SUM(AH5:AH206)</f>
        <v/>
      </c>
      <c r="AI207" s="853">
        <f>SUM(AI5:AI206)</f>
        <v/>
      </c>
      <c r="AJ207" s="853">
        <f>SUM(AJ5:AJ206)</f>
        <v/>
      </c>
      <c r="AK207" s="853">
        <f>SUM(AK5:AK206)</f>
        <v/>
      </c>
      <c r="AL207" s="853">
        <f>SUM(AL5:AL206)</f>
        <v/>
      </c>
      <c r="AM207" s="853">
        <f>SUM(AM5:AM206)</f>
        <v/>
      </c>
      <c r="AN207" s="853">
        <f>SUM(AN5:AN206)</f>
        <v/>
      </c>
      <c r="AO207" s="853">
        <f>SUM(AO5:AO206)</f>
        <v/>
      </c>
      <c r="AP207" s="853">
        <f>SUM(AP5:AP206)</f>
        <v/>
      </c>
      <c r="AQ207" s="853">
        <f>SUM(AQ5:AQ206)</f>
        <v/>
      </c>
      <c r="AR207" s="853">
        <f>SUM(AR5:AR206)</f>
        <v/>
      </c>
      <c r="AS207" s="853">
        <f>SUM(AS5:AS206)</f>
        <v/>
      </c>
      <c r="AT207" s="853">
        <f>SUM(AT5:AT206)</f>
        <v/>
      </c>
      <c r="AU207" s="853">
        <f>SUM(AU5:AU206)</f>
        <v/>
      </c>
      <c r="AV207" s="853">
        <f>SUM(AV5:AV206)</f>
        <v/>
      </c>
      <c r="AW207" s="853">
        <f>SUM(AW5:AW206)</f>
        <v/>
      </c>
      <c r="AX207" s="853">
        <f>SUM(AX5:AX206)</f>
        <v/>
      </c>
      <c r="AY207" s="853">
        <f>SUM(AY5:AY206)</f>
        <v/>
      </c>
      <c r="AZ207" s="853">
        <f>SUM(AZ5:AZ206)</f>
        <v/>
      </c>
      <c r="BA207" s="853">
        <f>SUM(BA5:BA206)</f>
        <v/>
      </c>
      <c r="BB207" s="853">
        <f>SUM(BB5:BB206)</f>
        <v/>
      </c>
      <c r="BC207" s="853">
        <f>SUM(BC5:BC206)</f>
        <v/>
      </c>
      <c r="BD207" s="853">
        <f>SUM(BD5:BD206)</f>
        <v/>
      </c>
      <c r="BE207" s="853">
        <f>SUM(BE5:BE206)</f>
        <v/>
      </c>
      <c r="BF207" s="854">
        <f>SUM(BF5:BF206)</f>
        <v/>
      </c>
    </row>
    <row r="208">
      <c r="A208" s="855" t="inlineStr">
        <is>
          <t>理财产品期初金额</t>
        </is>
      </c>
      <c r="B208" s="856" t="n"/>
      <c r="C208" s="857" t="n"/>
      <c r="D208" s="858" t="n"/>
      <c r="E208" s="859" t="n"/>
      <c r="F208" s="859" t="n"/>
      <c r="G208" s="859" t="n"/>
      <c r="H208" s="859" t="n"/>
      <c r="I208" s="859" t="n"/>
      <c r="J208" s="860" t="n"/>
      <c r="K208" s="861" t="n"/>
      <c r="L208" s="861" t="n"/>
      <c r="M208" s="862" t="n"/>
      <c r="N208" s="857" t="n"/>
      <c r="O208" s="863" t="n"/>
      <c r="P208" s="864" t="n"/>
      <c r="Q208" s="864" t="n"/>
      <c r="R208" s="865" t="n"/>
      <c r="S208" s="858" t="n"/>
      <c r="T208" s="859" t="n"/>
      <c r="U208" s="866" t="n"/>
      <c r="V208" s="867" t="n"/>
      <c r="W208" s="868" t="n"/>
      <c r="X208" s="868" t="n"/>
      <c r="Y208" s="868" t="n"/>
      <c r="Z208" s="868" t="n"/>
      <c r="AA208" s="869" t="n"/>
      <c r="AB208" s="870" t="n"/>
      <c r="AC208" s="871" t="n"/>
      <c r="AD208" s="867" t="n"/>
      <c r="AE208" s="868" t="n"/>
      <c r="AF208" s="872" t="n"/>
      <c r="AG208" s="872" t="n"/>
      <c r="AH208" s="872" t="n"/>
      <c r="AI208" s="872" t="n"/>
      <c r="AJ208" s="872" t="n"/>
      <c r="AK208" s="873" t="n"/>
      <c r="AL208" s="867" t="n"/>
      <c r="AM208" s="872" t="n"/>
      <c r="AN208" s="872" t="n"/>
      <c r="AO208" s="872" t="n"/>
      <c r="AP208" s="872" t="n"/>
      <c r="AQ208" s="872" t="n"/>
      <c r="AR208" s="872" t="n"/>
      <c r="AS208" s="872" t="n"/>
      <c r="AT208" s="873" t="n"/>
      <c r="AU208" s="867" t="n"/>
      <c r="AV208" s="874" t="n"/>
      <c r="AW208" s="873" t="n"/>
      <c r="AX208" s="867" t="n"/>
      <c r="AY208" s="872" t="n"/>
      <c r="AZ208" s="872" t="n"/>
      <c r="BA208" s="872" t="n"/>
      <c r="BB208" s="873" t="n"/>
      <c r="BC208" s="867" t="n"/>
      <c r="BD208" s="871" t="n"/>
      <c r="BE208" s="867" t="n"/>
      <c r="BF208" s="871" t="n"/>
    </row>
    <row r="209">
      <c r="A209" s="875" t="n"/>
      <c r="B209" s="876" t="n"/>
      <c r="C209" s="877" t="n"/>
      <c r="D209" s="847" t="n"/>
      <c r="E209" s="845" t="n"/>
      <c r="F209" s="845" t="n"/>
      <c r="G209" s="845" t="n"/>
      <c r="H209" s="845" t="n"/>
      <c r="I209" s="845" t="n"/>
      <c r="J209" s="878" t="n"/>
      <c r="K209" s="879" t="n"/>
      <c r="L209" s="880" t="n"/>
      <c r="M209" s="881" t="n"/>
      <c r="N209" s="882" t="n"/>
      <c r="O209" s="883" t="n"/>
      <c r="P209" s="882" t="n"/>
      <c r="Q209" s="882" t="n"/>
      <c r="R209" s="829" t="n"/>
      <c r="S209" s="847" t="n"/>
      <c r="T209" s="845" t="n"/>
      <c r="U209" s="884" t="n"/>
      <c r="V209" s="885" t="n"/>
      <c r="W209" s="886" t="n"/>
      <c r="X209" s="886" t="n"/>
      <c r="Y209" s="886" t="n"/>
      <c r="Z209" s="886" t="n"/>
      <c r="AA209" s="887" t="n"/>
      <c r="AB209" s="888" t="n"/>
      <c r="AC209" s="889" t="n"/>
      <c r="AD209" s="885" t="n"/>
      <c r="AE209" s="886" t="n"/>
      <c r="AF209" s="890" t="n"/>
      <c r="AG209" s="890" t="n"/>
      <c r="AH209" s="890" t="n"/>
      <c r="AI209" s="890" t="n"/>
      <c r="AJ209" s="890" t="n"/>
      <c r="AK209" s="891" t="n"/>
      <c r="AL209" s="885" t="n"/>
      <c r="AM209" s="890" t="n"/>
      <c r="AN209" s="890" t="n"/>
      <c r="AO209" s="890" t="n"/>
      <c r="AP209" s="890" t="n"/>
      <c r="AQ209" s="890" t="n"/>
      <c r="AR209" s="890" t="n"/>
      <c r="AS209" s="890" t="n"/>
      <c r="AT209" s="891" t="n"/>
      <c r="AU209" s="885" t="n"/>
      <c r="AV209" s="892" t="n"/>
      <c r="AW209" s="891" t="n"/>
      <c r="AX209" s="885" t="n"/>
      <c r="AY209" s="890" t="n"/>
      <c r="AZ209" s="890" t="n"/>
      <c r="BA209" s="890" t="n"/>
      <c r="BB209" s="891" t="n"/>
      <c r="BC209" s="885" t="n"/>
      <c r="BD209" s="889" t="n"/>
      <c r="BE209" s="885" t="n"/>
      <c r="BF209" s="889" t="n"/>
    </row>
    <row r="210">
      <c r="A210" s="875" t="n"/>
      <c r="B210" s="876" t="n"/>
      <c r="C210" s="877" t="n"/>
      <c r="D210" s="847" t="n"/>
      <c r="E210" s="845" t="n"/>
      <c r="F210" s="845" t="n"/>
      <c r="G210" s="845" t="n"/>
      <c r="H210" s="845" t="n"/>
      <c r="I210" s="845" t="n"/>
      <c r="J210" s="878" t="n"/>
      <c r="K210" s="879" t="n"/>
      <c r="L210" s="880" t="n"/>
      <c r="M210" s="881" t="n"/>
      <c r="N210" s="882" t="n"/>
      <c r="O210" s="883" t="n"/>
      <c r="P210" s="882" t="n"/>
      <c r="Q210" s="882" t="n"/>
      <c r="R210" s="829" t="n"/>
      <c r="S210" s="847" t="n"/>
      <c r="T210" s="845" t="n"/>
      <c r="U210" s="893" t="n"/>
      <c r="V210" s="885" t="n"/>
      <c r="W210" s="886" t="n"/>
      <c r="X210" s="886" t="n"/>
      <c r="Y210" s="886" t="n"/>
      <c r="Z210" s="886" t="n"/>
      <c r="AA210" s="887" t="n"/>
      <c r="AB210" s="888" t="n"/>
      <c r="AC210" s="889" t="n"/>
      <c r="AD210" s="337" t="n"/>
      <c r="AE210" s="337" t="n"/>
      <c r="AF210" s="890" t="n"/>
      <c r="AG210" s="890" t="n"/>
      <c r="AH210" s="890" t="n"/>
      <c r="AI210" s="890" t="n"/>
      <c r="AJ210" s="890" t="n"/>
      <c r="AK210" s="891" t="n"/>
      <c r="AL210" s="885" t="n"/>
      <c r="AM210" s="890" t="n"/>
      <c r="AN210" s="890" t="n"/>
      <c r="AO210" s="890" t="n"/>
      <c r="AP210" s="890" t="n"/>
      <c r="AQ210" s="890" t="n"/>
      <c r="AR210" s="890" t="n"/>
      <c r="AS210" s="890" t="n"/>
      <c r="AT210" s="891" t="n"/>
      <c r="AU210" s="885" t="n"/>
      <c r="AV210" s="892" t="n"/>
      <c r="AW210" s="891" t="n"/>
      <c r="AX210" s="885" t="n"/>
      <c r="AY210" s="890" t="n"/>
      <c r="AZ210" s="890" t="n"/>
      <c r="BA210" s="890" t="n"/>
      <c r="BB210" s="891" t="n"/>
      <c r="BC210" s="885" t="n"/>
      <c r="BD210" s="889" t="n"/>
      <c r="BE210" s="885" t="n"/>
      <c r="BF210" s="889" t="n"/>
    </row>
    <row r="211">
      <c r="A211" s="875" t="n"/>
      <c r="B211" s="876" t="n"/>
      <c r="C211" s="894" t="n"/>
      <c r="D211" s="895" t="n"/>
      <c r="E211" s="896" t="n"/>
      <c r="F211" s="896" t="n"/>
      <c r="G211" s="896" t="n"/>
      <c r="H211" s="896" t="n"/>
      <c r="I211" s="896" t="n"/>
      <c r="J211" s="897" t="n"/>
      <c r="K211" s="898" t="n"/>
      <c r="L211" s="899" t="n"/>
      <c r="M211" s="900" t="n"/>
      <c r="N211" s="901" t="n"/>
      <c r="O211" s="902" t="n"/>
      <c r="P211" s="901" t="n"/>
      <c r="Q211" s="901" t="n"/>
      <c r="R211" s="829" t="n"/>
      <c r="S211" s="847" t="n"/>
      <c r="T211" s="845" t="n"/>
      <c r="U211" s="884" t="n"/>
      <c r="V211" s="903" t="n"/>
      <c r="W211" s="904" t="n"/>
      <c r="X211" s="904" t="n"/>
      <c r="Y211" s="904" t="n"/>
      <c r="Z211" s="904" t="n"/>
      <c r="AA211" s="905" t="n"/>
      <c r="AB211" s="906" t="n"/>
      <c r="AC211" s="907" t="n"/>
      <c r="AD211" s="903" t="n"/>
      <c r="AE211" s="904" t="n"/>
      <c r="AF211" s="908" t="n"/>
      <c r="AG211" s="908" t="n"/>
      <c r="AH211" s="908" t="n"/>
      <c r="AI211" s="908" t="n"/>
      <c r="AJ211" s="908" t="n"/>
      <c r="AK211" s="909" t="n"/>
      <c r="AL211" s="903" t="n"/>
      <c r="AM211" s="908" t="n"/>
      <c r="AN211" s="904" t="n"/>
      <c r="AO211" s="908" t="n"/>
      <c r="AP211" s="908" t="n"/>
      <c r="AQ211" s="908" t="n"/>
      <c r="AR211" s="908" t="n"/>
      <c r="AS211" s="908" t="n"/>
      <c r="AT211" s="909" t="n"/>
      <c r="AU211" s="903" t="n"/>
      <c r="AV211" s="910" t="n"/>
      <c r="AW211" s="909" t="n"/>
      <c r="AX211" s="903" t="n"/>
      <c r="AY211" s="908" t="n"/>
      <c r="AZ211" s="908" t="n"/>
      <c r="BA211" s="908" t="n"/>
      <c r="BB211" s="909" t="n"/>
      <c r="BC211" s="903" t="n"/>
      <c r="BD211" s="907" t="n"/>
      <c r="BE211" s="903" t="n"/>
      <c r="BF211" s="907" t="n"/>
    </row>
    <row r="212">
      <c r="A212" s="911" t="inlineStr">
        <is>
          <t>理财产品期末余额</t>
        </is>
      </c>
      <c r="B212" s="912" t="n"/>
      <c r="C212" s="913" t="n"/>
      <c r="D212" s="914" t="n"/>
      <c r="E212" s="915" t="n"/>
      <c r="F212" s="915" t="n"/>
      <c r="G212" s="915" t="n"/>
      <c r="H212" s="915" t="n"/>
      <c r="I212" s="915" t="n"/>
      <c r="J212" s="916" t="n"/>
      <c r="K212" s="917" t="n"/>
      <c r="L212" s="917" t="n"/>
      <c r="M212" s="918" t="n"/>
      <c r="N212" s="919" t="n"/>
      <c r="O212" s="920" t="n"/>
      <c r="P212" s="921" t="n"/>
      <c r="Q212" s="921" t="n"/>
      <c r="R212" s="922" t="n"/>
      <c r="S212" s="923" t="n"/>
      <c r="T212" s="915" t="n"/>
      <c r="U212" s="924" t="n"/>
      <c r="V212" s="925" t="n"/>
      <c r="W212" s="926" t="n"/>
      <c r="X212" s="926" t="n"/>
      <c r="Y212" s="926" t="n"/>
      <c r="Z212" s="926" t="n"/>
      <c r="AA212" s="927" t="n"/>
      <c r="AB212" s="928" t="n"/>
      <c r="AC212" s="929" t="n"/>
      <c r="AD212" s="925" t="n"/>
      <c r="AE212" s="926" t="n"/>
      <c r="AF212" s="930" t="n"/>
      <c r="AG212" s="930" t="n"/>
      <c r="AH212" s="930" t="n"/>
      <c r="AI212" s="930" t="n"/>
      <c r="AJ212" s="930" t="n"/>
      <c r="AK212" s="931" t="n"/>
      <c r="AL212" s="925" t="n"/>
      <c r="AM212" s="930" t="n"/>
      <c r="AN212" s="925" t="n"/>
      <c r="AO212" s="930" t="n"/>
      <c r="AP212" s="930" t="n"/>
      <c r="AQ212" s="930" t="n"/>
      <c r="AR212" s="930" t="n"/>
      <c r="AS212" s="930" t="n"/>
      <c r="AT212" s="931" t="n"/>
      <c r="AU212" s="925" t="n"/>
      <c r="AV212" s="932" t="n"/>
      <c r="AW212" s="931" t="n"/>
      <c r="AX212" s="925" t="n"/>
      <c r="AY212" s="930" t="n"/>
      <c r="AZ212" s="930" t="n"/>
      <c r="BA212" s="930" t="n"/>
      <c r="BB212" s="931" t="n"/>
      <c r="BC212" s="925" t="n"/>
      <c r="BD212" s="929" t="n"/>
      <c r="BE212" s="925" t="n"/>
      <c r="BF212" s="929" t="n"/>
    </row>
    <row r="213">
      <c r="A213" s="848" t="inlineStr">
        <is>
          <t>合计</t>
        </is>
      </c>
      <c r="B213" s="739" t="n"/>
      <c r="C213" s="933" t="n"/>
      <c r="D213" s="849" t="n"/>
      <c r="E213" s="849" t="n"/>
      <c r="F213" s="849" t="n"/>
      <c r="G213" s="849" t="n"/>
      <c r="H213" s="849" t="n"/>
      <c r="I213" s="849" t="n"/>
      <c r="J213" s="849" t="n"/>
      <c r="K213" s="849" t="n"/>
      <c r="L213" s="849" t="n"/>
      <c r="M213" s="849" t="n"/>
      <c r="N213" s="849" t="n"/>
      <c r="O213" s="934" t="n"/>
      <c r="P213" s="934" t="n"/>
      <c r="Q213" s="934" t="n"/>
      <c r="R213" s="849" t="n"/>
      <c r="S213" s="849" t="n"/>
      <c r="T213" s="849" t="n"/>
      <c r="U213" s="849" t="n"/>
      <c r="V213" s="849" t="n"/>
      <c r="W213" s="849" t="n"/>
      <c r="X213" s="849" t="n"/>
      <c r="Y213" s="849" t="n"/>
      <c r="Z213" s="849" t="n"/>
      <c r="AA213" s="849" t="n"/>
      <c r="AB213" s="849" t="n"/>
      <c r="AC213" s="849" t="n"/>
      <c r="AD213" s="849" t="n"/>
      <c r="AE213" s="849" t="n"/>
      <c r="AF213" s="849" t="n"/>
      <c r="AG213" s="849" t="n"/>
      <c r="AH213" s="849" t="n"/>
      <c r="AI213" s="849" t="n"/>
      <c r="AJ213" s="849" t="n"/>
      <c r="AK213" s="849" t="n"/>
      <c r="AL213" s="849" t="n"/>
      <c r="AM213" s="849" t="n"/>
      <c r="AN213" s="849" t="n"/>
      <c r="AO213" s="849" t="n"/>
      <c r="AP213" s="849" t="n"/>
      <c r="AQ213" s="849" t="n"/>
      <c r="AR213" s="849" t="n"/>
      <c r="AS213" s="849" t="n"/>
      <c r="AT213" s="849" t="n"/>
      <c r="AU213" s="849" t="n"/>
      <c r="AV213" s="849" t="n"/>
      <c r="AW213" s="849" t="n"/>
      <c r="AX213" s="849" t="n"/>
      <c r="AY213" s="849" t="n"/>
      <c r="AZ213" s="849" t="n"/>
      <c r="BA213" s="849" t="n"/>
      <c r="BB213" s="849" t="n"/>
      <c r="BC213" s="849" t="n"/>
      <c r="BD213" s="849" t="n"/>
      <c r="BE213" s="849" t="n"/>
      <c r="BF213" s="849" t="n"/>
    </row>
  </sheetData>
  <autoFilter ref="A3:BE29"/>
  <mergeCells count="32">
    <mergeCell ref="A207:B207"/>
    <mergeCell ref="M2:M3"/>
    <mergeCell ref="BC2:BD2"/>
    <mergeCell ref="B2:B3"/>
    <mergeCell ref="N2:N3"/>
    <mergeCell ref="U2:U3"/>
    <mergeCell ref="D2:D3"/>
    <mergeCell ref="F2:F3"/>
    <mergeCell ref="H2:H3"/>
    <mergeCell ref="AX2:BB2"/>
    <mergeCell ref="V2:Y2"/>
    <mergeCell ref="A2:A3"/>
    <mergeCell ref="T2:T3"/>
    <mergeCell ref="C2:C3"/>
    <mergeCell ref="E2:E3"/>
    <mergeCell ref="K2:K3"/>
    <mergeCell ref="O2:Q2"/>
    <mergeCell ref="A213:B213"/>
    <mergeCell ref="AU2:AW2"/>
    <mergeCell ref="AD2:AK2"/>
    <mergeCell ref="BE2:BF2"/>
    <mergeCell ref="A23:B23"/>
    <mergeCell ref="R2:R3"/>
    <mergeCell ref="J2:J3"/>
    <mergeCell ref="L2:L3"/>
    <mergeCell ref="A4:B4"/>
    <mergeCell ref="A29:B29"/>
    <mergeCell ref="AL2:AT2"/>
    <mergeCell ref="Z2:AC2"/>
    <mergeCell ref="G2:G3"/>
    <mergeCell ref="S2:S3"/>
    <mergeCell ref="I2:I3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107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7"/>
    <col outlineLevel="1" width="8.296875" customWidth="1" style="7" min="8" max="8"/>
    <col width="7.7968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13.19921875" customWidth="1" style="7" min="18" max="18"/>
    <col width="4.69921875" customWidth="1" style="7" min="19" max="19"/>
    <col width="4.09765625" customWidth="1" style="8" min="20" max="20"/>
    <col width="13.5976562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88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/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107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8"/>
    <col width="4.89843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7.59765625" customWidth="1" style="7" min="18" max="18"/>
    <col width="4.69921875" customWidth="1" style="7" min="19" max="19"/>
    <col width="4.09765625" customWidth="1" style="8" min="20" max="20"/>
    <col width="9.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88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/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110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8"/>
    <col width="4.89843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7.59765625" customWidth="1" style="7" min="18" max="18"/>
    <col width="4.69921875" customWidth="1" style="7" min="19" max="19"/>
    <col width="4.09765625" customWidth="1" style="8" min="20" max="20"/>
    <col width="9.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88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>
        <v>0</v>
      </c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105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8"/>
    <col width="4.89843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7.59765625" customWidth="1" style="7" min="18" max="18"/>
    <col width="4.69921875" customWidth="1" style="7" min="19" max="19"/>
    <col width="4.09765625" customWidth="1" style="8" min="20" max="20"/>
    <col width="9.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88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>
        <v>0</v>
      </c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107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8"/>
    <col width="4.89843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7.59765625" customWidth="1" style="7" min="18" max="18"/>
    <col width="4.69921875" customWidth="1" style="7" min="19" max="19"/>
    <col width="4.09765625" customWidth="1" style="8" min="20" max="20"/>
    <col width="9.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88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>
        <v>0</v>
      </c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26"/>
  <sheetViews>
    <sheetView zoomScale="115" zoomScaleNormal="115" workbookViewId="0">
      <pane xSplit="2" ySplit="4" topLeftCell="C26" activePane="bottomRight" state="frozen"/>
      <selection pane="topRight" activeCell="A1" sqref="A1"/>
      <selection pane="bottomLeft" activeCell="A1" sqref="A1"/>
      <selection pane="bottomRight" activeCell="A31" sqref="A31:XFD40"/>
    </sheetView>
  </sheetViews>
  <sheetFormatPr baseColWidth="8" defaultColWidth="9" defaultRowHeight="17.4"/>
  <cols>
    <col width="6.69921875" customWidth="1" style="4" min="1" max="1"/>
    <col width="7" customWidth="1" style="935" min="2" max="2"/>
    <col outlineLevel="1" width="4.8984375" customWidth="1" style="936" min="3" max="6"/>
    <col outlineLevel="1" width="4.8984375" customWidth="1" style="7" min="7" max="8"/>
    <col width="4.8984375" customWidth="1" style="7" min="9" max="9"/>
    <col outlineLevel="1" width="4.09765625" customWidth="1" style="7" min="10" max="10"/>
    <col outlineLevel="1" width="4.19921875" customWidth="1" style="7" min="11" max="11"/>
    <col width="4.8984375" customWidth="1" style="7" min="12" max="13"/>
    <col outlineLevel="1" width="4.8984375" customWidth="1" style="7" min="14" max="15"/>
    <col outlineLevel="1" width="4.8984375" customWidth="1" style="8" min="16" max="16"/>
    <col outlineLevel="1" width="4.8984375" customWidth="1" style="7" min="17" max="17"/>
    <col width="7.59765625" customWidth="1" style="7" min="18" max="18"/>
    <col width="4.69921875" customWidth="1" style="7" min="19" max="19"/>
    <col width="4.09765625" customWidth="1" style="8" min="20" max="20"/>
    <col width="9.5" customWidth="1" style="8" min="21" max="21"/>
    <col outlineLevel="1" width="5.3984375" customWidth="1" style="7" min="22" max="25"/>
    <col outlineLevel="1" width="4.8984375" customWidth="1" style="8" min="26" max="26"/>
    <col outlineLevel="1" width="5.69921875" customWidth="1" style="7" min="27" max="27"/>
    <col outlineLevel="1" width="5.09765625" customWidth="1" style="9" min="28" max="28"/>
    <col outlineLevel="1" width="4.09765625" customWidth="1" style="9" min="29" max="29"/>
    <col outlineLevel="1" width="4.59765625" customWidth="1" style="9" min="30" max="30"/>
    <col outlineLevel="1" width="3.8984375" customWidth="1" style="9" min="31" max="35"/>
    <col width="3.8984375" customWidth="1" style="9" min="36" max="36"/>
    <col outlineLevel="1" width="4.5" customWidth="1" style="7" min="37" max="44"/>
    <col width="4.5" customWidth="1" style="7" min="45" max="45"/>
    <col width="4.8984375" customWidth="1" style="7" min="46" max="47"/>
    <col width="5" customWidth="1" style="7" min="48" max="48"/>
    <col width="4.09765625" customWidth="1" style="7" min="49" max="50"/>
    <col width="4.19921875" customWidth="1" style="7" min="51" max="51"/>
    <col width="4.8984375" customWidth="1" style="7" min="52" max="52"/>
    <col width="6.3984375" customWidth="1" style="7" min="53" max="53"/>
    <col width="6.59765625" customWidth="1" style="7" min="54" max="54"/>
    <col width="4.19921875" customWidth="1" style="7" min="55" max="56"/>
    <col width="2.3984375" customWidth="1" style="936" min="57" max="57"/>
    <col width="9" customWidth="1" style="7" min="58" max="16384"/>
  </cols>
  <sheetData>
    <row r="1">
      <c r="A1" s="10" t="inlineStr">
        <is>
          <t>←返回</t>
        </is>
      </c>
      <c r="R1" s="937" t="n"/>
      <c r="S1" s="937" t="n"/>
    </row>
    <row r="2" ht="25.5" customFormat="1" customHeight="1" s="1">
      <c r="A2" s="560" t="inlineStr">
        <is>
          <t>行号</t>
        </is>
      </c>
      <c r="B2" s="938" t="inlineStr">
        <is>
          <t>交易时间</t>
        </is>
      </c>
      <c r="C2" s="939" t="inlineStr">
        <is>
          <t>销售费用</t>
        </is>
      </c>
      <c r="D2" s="940" t="inlineStr">
        <is>
          <t>管理费用</t>
        </is>
      </c>
      <c r="E2" s="941" t="inlineStr">
        <is>
          <t>财务费用</t>
        </is>
      </c>
      <c r="F2" s="942" t="inlineStr">
        <is>
          <t>应缴税金</t>
        </is>
      </c>
      <c r="G2" s="943" t="inlineStr">
        <is>
          <t>固定资产</t>
        </is>
      </c>
      <c r="H2" s="944" t="inlineStr">
        <is>
          <t>主营业务支出</t>
        </is>
      </c>
      <c r="I2" s="945" t="inlineStr">
        <is>
          <t>日常支出和</t>
        </is>
      </c>
      <c r="J2" s="946" t="inlineStr">
        <is>
          <t>集团往来</t>
        </is>
      </c>
      <c r="K2" s="947" t="inlineStr">
        <is>
          <t>理财</t>
        </is>
      </c>
      <c r="L2" s="948" t="inlineStr">
        <is>
          <t>提现</t>
        </is>
      </c>
      <c r="M2" s="948" t="inlineStr">
        <is>
          <t>押金/暂支款</t>
        </is>
      </c>
      <c r="N2" s="536" t="inlineStr">
        <is>
          <t>收入</t>
        </is>
      </c>
      <c r="O2" s="629" t="n"/>
      <c r="P2" s="629" t="n"/>
      <c r="Q2" s="630" t="n"/>
      <c r="R2" s="949" t="inlineStr">
        <is>
          <t>余额</t>
        </is>
      </c>
      <c r="S2" s="950" t="inlineStr">
        <is>
          <t>客户/供应商</t>
        </is>
      </c>
      <c r="T2" s="951" t="inlineStr">
        <is>
          <t>部门</t>
        </is>
      </c>
      <c r="U2" s="952" t="inlineStr">
        <is>
          <t>摘要</t>
        </is>
      </c>
      <c r="V2" s="953" t="inlineStr">
        <is>
          <t>主营业务支出</t>
        </is>
      </c>
      <c r="W2" s="636" t="n"/>
      <c r="X2" s="636" t="n"/>
      <c r="Y2" s="636" t="n"/>
      <c r="Z2" s="636" t="n"/>
      <c r="AA2" s="637" t="n"/>
      <c r="AB2" s="954" t="inlineStr">
        <is>
          <t>销售费用</t>
        </is>
      </c>
      <c r="AC2" s="636" t="n"/>
      <c r="AD2" s="636" t="n"/>
      <c r="AE2" s="636" t="n"/>
      <c r="AF2" s="636" t="n"/>
      <c r="AG2" s="636" t="n"/>
      <c r="AH2" s="636" t="n"/>
      <c r="AI2" s="636" t="n"/>
      <c r="AJ2" s="637" t="n"/>
      <c r="AK2" s="955" t="inlineStr">
        <is>
          <t>管理费用</t>
        </is>
      </c>
      <c r="AL2" s="636" t="n"/>
      <c r="AM2" s="636" t="n"/>
      <c r="AN2" s="636" t="n"/>
      <c r="AO2" s="636" t="n"/>
      <c r="AP2" s="636" t="n"/>
      <c r="AQ2" s="636" t="n"/>
      <c r="AR2" s="636" t="n"/>
      <c r="AS2" s="637" t="n"/>
      <c r="AT2" s="956" t="inlineStr">
        <is>
          <t>财务费用</t>
        </is>
      </c>
      <c r="AU2" s="637" t="n"/>
      <c r="AV2" s="957" t="inlineStr">
        <is>
          <t>应缴税金</t>
        </is>
      </c>
      <c r="AW2" s="636" t="n"/>
      <c r="AX2" s="636" t="n"/>
      <c r="AY2" s="636" t="n"/>
      <c r="AZ2" s="637" t="n"/>
      <c r="BA2" s="958" t="inlineStr">
        <is>
          <t>有形资产</t>
        </is>
      </c>
      <c r="BB2" s="636" t="n"/>
      <c r="BC2" s="636" t="n"/>
      <c r="BD2" s="637" t="n"/>
      <c r="BE2" s="959" t="n"/>
    </row>
    <row r="3" ht="30" customFormat="1" customHeight="1" s="2">
      <c r="A3" s="645" t="n"/>
      <c r="B3" s="646" t="n"/>
      <c r="C3" s="648" t="n"/>
      <c r="D3" s="649" t="n"/>
      <c r="E3" s="649" t="n"/>
      <c r="F3" s="649" t="n"/>
      <c r="G3" s="649" t="n"/>
      <c r="H3" s="649" t="n"/>
      <c r="I3" s="646" t="n"/>
      <c r="J3" s="650" t="n"/>
      <c r="K3" s="650" t="n"/>
      <c r="L3" s="651" t="n"/>
      <c r="M3" s="651" t="n"/>
      <c r="N3" s="960" t="inlineStr">
        <is>
          <t>常年咨询服务</t>
        </is>
      </c>
      <c r="O3" s="960" t="inlineStr">
        <is>
          <t>涉税专项服务</t>
        </is>
      </c>
      <c r="P3" s="960" t="inlineStr">
        <is>
          <t>财税外包服务</t>
        </is>
      </c>
      <c r="Q3" s="961" t="inlineStr">
        <is>
          <t>企业培训服务</t>
        </is>
      </c>
      <c r="R3" s="650" t="n"/>
      <c r="S3" s="648" t="n"/>
      <c r="T3" s="649" t="n"/>
      <c r="U3" s="654" t="n"/>
      <c r="V3" s="962" t="inlineStr">
        <is>
          <t>服务费</t>
        </is>
      </c>
      <c r="W3" s="963" t="inlineStr">
        <is>
          <t>推广费</t>
        </is>
      </c>
      <c r="X3" s="964" t="inlineStr">
        <is>
          <t>佣金</t>
        </is>
      </c>
      <c r="Y3" s="964" t="inlineStr">
        <is>
          <t>劳务费</t>
        </is>
      </c>
      <c r="Z3" s="964" t="inlineStr">
        <is>
          <t>分成</t>
        </is>
      </c>
      <c r="AA3" s="965" t="inlineStr">
        <is>
          <t>其他</t>
        </is>
      </c>
      <c r="AB3" s="966" t="inlineStr">
        <is>
          <t>市场宣传</t>
        </is>
      </c>
      <c r="AC3" s="966" t="inlineStr">
        <is>
          <t>市场辅料</t>
        </is>
      </c>
      <c r="AD3" s="966" t="inlineStr">
        <is>
          <t>飞机、动车等</t>
        </is>
      </c>
      <c r="AE3" s="966" t="inlineStr">
        <is>
          <t>住宿费</t>
        </is>
      </c>
      <c r="AF3" s="966" t="inlineStr">
        <is>
          <t>车辆费</t>
        </is>
      </c>
      <c r="AG3" s="966" t="inlineStr">
        <is>
          <t>市内交通</t>
        </is>
      </c>
      <c r="AH3" s="966" t="inlineStr">
        <is>
          <t>招待/公关</t>
        </is>
      </c>
      <c r="AI3" s="966" t="inlineStr">
        <is>
          <t>服务费</t>
        </is>
      </c>
      <c r="AJ3" s="967" t="inlineStr">
        <is>
          <t>其他</t>
        </is>
      </c>
      <c r="AK3" s="968" t="inlineStr">
        <is>
          <t>办公用品&amp;办公费</t>
        </is>
      </c>
      <c r="AL3" s="969" t="inlineStr">
        <is>
          <t>办公租金&amp;物业费</t>
        </is>
      </c>
      <c r="AM3" s="969" t="inlineStr">
        <is>
          <t>交通费</t>
        </is>
      </c>
      <c r="AN3" s="969" t="inlineStr">
        <is>
          <t>招待费</t>
        </is>
      </c>
      <c r="AO3" s="969" t="inlineStr">
        <is>
          <t>服务费</t>
        </is>
      </c>
      <c r="AP3" s="969" t="inlineStr">
        <is>
          <t>人员薪资</t>
        </is>
      </c>
      <c r="AQ3" s="969" t="inlineStr">
        <is>
          <t>社保&amp;公积金</t>
        </is>
      </c>
      <c r="AR3" s="969" t="inlineStr">
        <is>
          <t>员工福利</t>
        </is>
      </c>
      <c r="AS3" s="970" t="inlineStr">
        <is>
          <t>其他</t>
        </is>
      </c>
      <c r="AT3" s="971" t="inlineStr">
        <is>
          <t>手续费</t>
        </is>
      </c>
      <c r="AU3" s="25" t="inlineStr">
        <is>
          <t>利息</t>
        </is>
      </c>
      <c r="AV3" s="972" t="inlineStr">
        <is>
          <t>增值税及附加</t>
        </is>
      </c>
      <c r="AW3" s="973" t="inlineStr">
        <is>
          <t>所得税</t>
        </is>
      </c>
      <c r="AX3" s="973" t="inlineStr">
        <is>
          <t>印花税</t>
        </is>
      </c>
      <c r="AY3" s="973" t="inlineStr">
        <is>
          <t>工资个税</t>
        </is>
      </c>
      <c r="AZ3" s="974" t="inlineStr">
        <is>
          <t>劳务个税</t>
        </is>
      </c>
      <c r="BA3" s="975" t="inlineStr">
        <is>
          <t>办公设备</t>
        </is>
      </c>
      <c r="BB3" s="976" t="inlineStr">
        <is>
          <t>办公家具   (包含车等）</t>
        </is>
      </c>
      <c r="BC3" s="976" t="n"/>
      <c r="BD3" s="977" t="n"/>
      <c r="BE3" s="978" t="n"/>
    </row>
    <row r="4" ht="20.25" customFormat="1" customHeight="1" s="3">
      <c r="A4" s="556" t="inlineStr">
        <is>
          <t>XX期初余额</t>
        </is>
      </c>
      <c r="B4" s="671" t="n"/>
      <c r="C4" s="979" t="n"/>
      <c r="D4" s="979" t="n"/>
      <c r="E4" s="979" t="n"/>
      <c r="F4" s="979" t="n"/>
      <c r="G4" s="34" t="n"/>
      <c r="H4" s="35" t="n"/>
      <c r="I4" s="979" t="n">
        <v>0</v>
      </c>
      <c r="J4" s="34" t="n"/>
      <c r="K4" s="34" t="n"/>
      <c r="L4" s="34" t="n"/>
      <c r="M4" s="34" t="n"/>
      <c r="N4" s="34" t="n"/>
      <c r="O4" s="34" t="n"/>
      <c r="P4" s="36" t="n"/>
      <c r="Q4" s="34" t="n"/>
      <c r="R4" s="979" t="n">
        <v>0</v>
      </c>
      <c r="S4" s="34" t="n"/>
      <c r="T4" s="36" t="n"/>
      <c r="U4" s="36" t="n"/>
      <c r="V4" s="34" t="n"/>
      <c r="W4" s="34" t="n"/>
      <c r="X4" s="34" t="n"/>
      <c r="Y4" s="34" t="n"/>
      <c r="Z4" s="36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4" t="n"/>
      <c r="AW4" s="34" t="n"/>
      <c r="AX4" s="34" t="n"/>
      <c r="AY4" s="34" t="n"/>
      <c r="AZ4" s="34" t="n"/>
      <c r="BA4" s="34" t="n"/>
      <c r="BB4" s="34" t="n"/>
      <c r="BC4" s="34" t="n"/>
      <c r="BD4" s="37" t="n"/>
      <c r="BE4" s="980" t="n"/>
    </row>
    <row r="5">
      <c r="A5" s="39" t="n"/>
      <c r="B5" s="40" t="n"/>
      <c r="C5" s="981">
        <f>SUM(AB5:AJ5)</f>
        <v/>
      </c>
      <c r="D5" s="982">
        <f>SUM(AK5:AS5)</f>
        <v/>
      </c>
      <c r="E5" s="982">
        <f>SUM(AT5:AU5)</f>
        <v/>
      </c>
      <c r="F5" s="982">
        <f>SUM(AV5:AZ5)</f>
        <v/>
      </c>
      <c r="G5" s="982">
        <f>SUM(BA5:BD5)</f>
        <v/>
      </c>
      <c r="H5" s="982">
        <f>SUM(V5:AA5)</f>
        <v/>
      </c>
      <c r="I5" s="983">
        <f>SUM(C5:H5)</f>
        <v/>
      </c>
      <c r="J5" s="984" t="n"/>
      <c r="K5" s="984" t="n"/>
      <c r="L5" s="985" t="n"/>
      <c r="M5" s="986" t="n"/>
      <c r="N5" s="987" t="n"/>
      <c r="O5" s="981" t="n"/>
      <c r="P5" s="988" t="n"/>
      <c r="Q5" s="989" t="n"/>
      <c r="R5" s="990">
        <f>R4+SUM(N5:Q5)-SUM(I5:M5)</f>
        <v/>
      </c>
      <c r="S5" s="51" t="n"/>
      <c r="T5" s="991" t="n"/>
      <c r="U5" s="992" t="n"/>
      <c r="V5" s="993" t="n"/>
      <c r="W5" s="994" t="n"/>
      <c r="X5" s="995" t="n"/>
      <c r="Y5" s="995" t="n"/>
      <c r="Z5" s="996" t="n"/>
      <c r="AA5" s="997" t="n"/>
      <c r="AB5" s="993" t="n"/>
      <c r="AC5" s="994" t="n"/>
      <c r="AD5" s="995" t="n"/>
      <c r="AE5" s="995" t="n"/>
      <c r="AF5" s="995" t="n"/>
      <c r="AG5" s="995" t="n"/>
      <c r="AH5" s="995" t="n"/>
      <c r="AI5" s="995" t="n"/>
      <c r="AJ5" s="998" t="n"/>
      <c r="AK5" s="999" t="n"/>
      <c r="AL5" s="995" t="n"/>
      <c r="AM5" s="995" t="n"/>
      <c r="AN5" s="995" t="n"/>
      <c r="AO5" s="995" t="n"/>
      <c r="AP5" s="995" t="n"/>
      <c r="AQ5" s="995" t="n"/>
      <c r="AR5" s="995" t="n"/>
      <c r="AS5" s="997" t="n"/>
      <c r="AT5" s="994" t="n"/>
      <c r="AU5" s="998" t="n"/>
      <c r="AV5" s="999" t="n"/>
      <c r="AW5" s="995" t="n"/>
      <c r="AX5" s="995" t="n"/>
      <c r="AY5" s="995" t="n"/>
      <c r="AZ5" s="997" t="n"/>
      <c r="BA5" s="994" t="n"/>
      <c r="BB5" s="995" t="n"/>
      <c r="BC5" s="995" t="n"/>
      <c r="BD5" s="997" t="n"/>
      <c r="BE5" s="936">
        <f>I5-SUM(AB5:BD5)</f>
        <v/>
      </c>
    </row>
    <row r="6">
      <c r="A6" s="61" t="n"/>
      <c r="B6" s="40" t="n"/>
      <c r="C6" s="1000">
        <f>SUM(AB6:AJ6)</f>
        <v/>
      </c>
      <c r="D6" s="1001">
        <f>SUM(AK6:AS6)</f>
        <v/>
      </c>
      <c r="E6" s="1001">
        <f>SUM(AT6:AU6)</f>
        <v/>
      </c>
      <c r="F6" s="1001">
        <f>SUM(AV6:AZ6)</f>
        <v/>
      </c>
      <c r="G6" s="1001">
        <f>SUM(BA6:BD6)</f>
        <v/>
      </c>
      <c r="H6" s="1001">
        <f>SUM(V6:AA6)</f>
        <v/>
      </c>
      <c r="I6" s="1002">
        <f>SUM(C6:H6)</f>
        <v/>
      </c>
      <c r="J6" s="1003" t="n"/>
      <c r="K6" s="1003" t="n"/>
      <c r="L6" s="1004" t="n"/>
      <c r="M6" s="1005" t="n"/>
      <c r="N6" s="1006" t="n"/>
      <c r="O6" s="1000" t="n"/>
      <c r="P6" s="1007" t="n"/>
      <c r="Q6" s="1008" t="n"/>
      <c r="R6" s="990">
        <f>R5+SUM(N6:Q6)-SUM(I6:M6)</f>
        <v/>
      </c>
      <c r="S6" s="71" t="n"/>
      <c r="T6" s="1007" t="n"/>
      <c r="U6" s="72" t="n"/>
      <c r="V6" s="1009" t="n"/>
      <c r="W6" s="1010" t="n"/>
      <c r="X6" s="1011" t="n"/>
      <c r="Y6" s="1011" t="n"/>
      <c r="Z6" s="1012" t="n"/>
      <c r="AA6" s="1013" t="n"/>
      <c r="AB6" s="1009" t="n"/>
      <c r="AC6" s="1010" t="n"/>
      <c r="AD6" s="1011" t="n"/>
      <c r="AE6" s="1011" t="n"/>
      <c r="AF6" s="1011" t="n"/>
      <c r="AG6" s="1011" t="n"/>
      <c r="AI6" s="1011" t="n"/>
      <c r="AJ6" s="1014" t="n"/>
      <c r="AK6" s="1015" t="n"/>
      <c r="AL6" s="1011" t="n"/>
      <c r="AM6" s="1011" t="n"/>
      <c r="AN6" s="1011" t="n"/>
      <c r="AO6" s="1011" t="n"/>
      <c r="AP6" s="1011" t="n"/>
      <c r="AQ6" s="1011" t="n"/>
      <c r="AR6" s="1011" t="n"/>
      <c r="AS6" s="1013" t="n"/>
      <c r="AT6" s="1010" t="n"/>
      <c r="AU6" s="1014" t="n"/>
      <c r="AV6" s="1015" t="n"/>
      <c r="AW6" s="1011" t="n"/>
      <c r="AX6" s="1011" t="n"/>
      <c r="AY6" s="1011" t="n"/>
      <c r="AZ6" s="1013" t="n"/>
      <c r="BA6" s="1010" t="n"/>
      <c r="BB6" s="1011" t="n"/>
      <c r="BC6" s="1011" t="n"/>
      <c r="BD6" s="1013" t="n"/>
      <c r="BE6" s="936">
        <f>I6-SUM(AB6:BD6)</f>
        <v/>
      </c>
    </row>
    <row r="7">
      <c r="A7" s="61" t="n"/>
      <c r="B7" s="40" t="n"/>
      <c r="C7" s="1000">
        <f>SUM(AB7:AJ7)</f>
        <v/>
      </c>
      <c r="D7" s="1001">
        <f>SUM(AK7:AS7)</f>
        <v/>
      </c>
      <c r="E7" s="1001">
        <f>SUM(AT7:AU7)</f>
        <v/>
      </c>
      <c r="F7" s="1001">
        <f>SUM(AV7:AZ7)</f>
        <v/>
      </c>
      <c r="G7" s="1001">
        <f>SUM(BA7:BD7)</f>
        <v/>
      </c>
      <c r="H7" s="1001">
        <f>SUM(V7:AA7)</f>
        <v/>
      </c>
      <c r="I7" s="1002">
        <f>SUM(C7:H7)</f>
        <v/>
      </c>
      <c r="J7" s="1003" t="n"/>
      <c r="K7" s="1003" t="n"/>
      <c r="L7" s="1004" t="n"/>
      <c r="M7" s="1005" t="n"/>
      <c r="N7" s="1006" t="n"/>
      <c r="O7" s="1000" t="n"/>
      <c r="P7" s="1007" t="n"/>
      <c r="Q7" s="1008" t="n"/>
      <c r="R7" s="990">
        <f>R6+SUM(N7:Q7)-SUM(I7:M7)</f>
        <v/>
      </c>
      <c r="S7" s="71" t="n"/>
      <c r="T7" s="1007" t="n"/>
      <c r="U7" s="72" t="n"/>
      <c r="V7" s="1009" t="n"/>
      <c r="W7" s="1010" t="n"/>
      <c r="X7" s="1011" t="n"/>
      <c r="Y7" s="1011" t="n"/>
      <c r="Z7" s="1012" t="n"/>
      <c r="AA7" s="1013" t="n"/>
      <c r="AB7" s="1009" t="n"/>
      <c r="AC7" s="1010" t="n"/>
      <c r="AD7" s="1011" t="n"/>
      <c r="AE7" s="1011" t="n"/>
      <c r="AF7" s="1011" t="n"/>
      <c r="AG7" s="1011" t="n"/>
      <c r="AH7" s="1011" t="n"/>
      <c r="AI7" s="1011" t="n"/>
      <c r="AJ7" s="1014" t="n"/>
      <c r="AK7" s="1015" t="n"/>
      <c r="AL7" s="1011" t="n"/>
      <c r="AM7" s="1011" t="n"/>
      <c r="AN7" s="1011" t="n"/>
      <c r="AO7" s="1011" t="n"/>
      <c r="AP7" s="1011" t="n"/>
      <c r="AQ7" s="1011" t="n"/>
      <c r="AR7" s="1011" t="n"/>
      <c r="AS7" s="1013" t="n"/>
      <c r="AT7" s="1010" t="n"/>
      <c r="AU7" s="1014" t="n"/>
      <c r="AV7" s="1015" t="n"/>
      <c r="AW7" s="1011" t="n"/>
      <c r="AX7" s="1011" t="n"/>
      <c r="AY7" s="1011" t="n"/>
      <c r="AZ7" s="1013" t="n"/>
      <c r="BA7" s="1010" t="n"/>
      <c r="BB7" s="1011" t="n"/>
      <c r="BC7" s="1011" t="n"/>
      <c r="BD7" s="1013" t="n"/>
      <c r="BE7" s="936">
        <f>I7-SUM(AB7:BD7)</f>
        <v/>
      </c>
    </row>
    <row r="8">
      <c r="A8" s="61" t="n"/>
      <c r="B8" s="40" t="n"/>
      <c r="C8" s="1000">
        <f>SUM(AB8:AJ8)</f>
        <v/>
      </c>
      <c r="D8" s="982">
        <f>SUM(AK8:AS8)</f>
        <v/>
      </c>
      <c r="E8" s="1001">
        <f>SUM(AT8:AU8)</f>
        <v/>
      </c>
      <c r="F8" s="1001">
        <f>SUM(AV8:AZ8)</f>
        <v/>
      </c>
      <c r="G8" s="1001">
        <f>SUM(BA8:BD8)</f>
        <v/>
      </c>
      <c r="H8" s="1001">
        <f>SUM(V8:AA8)</f>
        <v/>
      </c>
      <c r="I8" s="1002">
        <f>SUM(C8:H8)</f>
        <v/>
      </c>
      <c r="J8" s="1003" t="n"/>
      <c r="K8" s="1003" t="n"/>
      <c r="L8" s="1004" t="n"/>
      <c r="M8" s="1005" t="n"/>
      <c r="N8" s="1006" t="n"/>
      <c r="O8" s="981" t="n"/>
      <c r="P8" s="988" t="n"/>
      <c r="Q8" s="1008" t="n"/>
      <c r="R8" s="990">
        <f>R7+SUM(N8:Q8)-SUM(I8:M8)</f>
        <v/>
      </c>
      <c r="S8" s="71" t="n"/>
      <c r="T8" s="1007" t="n"/>
      <c r="U8" s="1016" t="n"/>
      <c r="V8" s="1009" t="n"/>
      <c r="W8" s="1010" t="n"/>
      <c r="X8" s="1011" t="n"/>
      <c r="Y8" s="1011" t="n"/>
      <c r="Z8" s="1012" t="n"/>
      <c r="AA8" s="1013" t="n"/>
      <c r="AB8" s="1009" t="n"/>
      <c r="AC8" s="1010" t="n"/>
      <c r="AD8" s="1011" t="n"/>
      <c r="AE8" s="1011" t="n"/>
      <c r="AF8" s="1011" t="n"/>
      <c r="AG8" s="1011" t="n"/>
      <c r="AH8" s="1011" t="n"/>
      <c r="AI8" s="1011" t="n"/>
      <c r="AJ8" s="1014" t="n"/>
      <c r="AK8" s="1015" t="n"/>
      <c r="AL8" s="1011" t="n"/>
      <c r="AM8" s="1011" t="n"/>
      <c r="AN8" s="1011" t="n"/>
      <c r="AO8" s="1011" t="n"/>
      <c r="AP8" s="1011" t="n"/>
      <c r="AQ8" s="1011" t="n"/>
      <c r="AR8" s="1011" t="n"/>
      <c r="AS8" s="1013" t="n"/>
      <c r="AT8" s="1010" t="n"/>
      <c r="AU8" s="1014" t="n"/>
      <c r="AV8" s="1015" t="n"/>
      <c r="AW8" s="1011" t="n"/>
      <c r="AX8" s="1011" t="n"/>
      <c r="AY8" s="1011" t="n"/>
      <c r="AZ8" s="1013" t="n"/>
      <c r="BA8" s="1010" t="n"/>
      <c r="BB8" s="1011" t="n"/>
      <c r="BC8" s="1011" t="n"/>
      <c r="BD8" s="1013" t="n"/>
      <c r="BE8" s="936">
        <f>I8-SUM(AB8:BD8)</f>
        <v/>
      </c>
    </row>
    <row r="9">
      <c r="A9" s="61" t="n"/>
      <c r="B9" s="40" t="n"/>
      <c r="C9" s="1000">
        <f>SUM(AB9:AJ9)</f>
        <v/>
      </c>
      <c r="D9" s="1001">
        <f>SUM(AK9:AS9)</f>
        <v/>
      </c>
      <c r="E9" s="1001">
        <f>SUM(AT9:AU9)</f>
        <v/>
      </c>
      <c r="F9" s="1001">
        <f>SUM(AV9:AZ9)</f>
        <v/>
      </c>
      <c r="G9" s="1001">
        <f>SUM(BA9:BD9)</f>
        <v/>
      </c>
      <c r="H9" s="1001">
        <f>SUM(V9:AA9)</f>
        <v/>
      </c>
      <c r="I9" s="1002">
        <f>SUM(C9:H9)</f>
        <v/>
      </c>
      <c r="J9" s="1003" t="n"/>
      <c r="K9" s="1003" t="n"/>
      <c r="L9" s="1004" t="n"/>
      <c r="M9" s="1005" t="n"/>
      <c r="N9" s="1006" t="n"/>
      <c r="O9" s="981" t="n"/>
      <c r="P9" s="988" t="n"/>
      <c r="Q9" s="1008" t="n"/>
      <c r="R9" s="990">
        <f>R8+SUM(N9:Q9)-SUM(I9:M9)</f>
        <v/>
      </c>
      <c r="S9" s="71" t="n"/>
      <c r="T9" s="1007" t="n"/>
      <c r="U9" s="1016" t="n"/>
      <c r="V9" s="1009" t="n"/>
      <c r="W9" s="1010" t="n"/>
      <c r="X9" s="1011" t="n"/>
      <c r="Y9" s="1011" t="n"/>
      <c r="Z9" s="1012" t="n"/>
      <c r="AA9" s="1013" t="n"/>
      <c r="AB9" s="1009" t="n"/>
      <c r="AC9" s="1010" t="n"/>
      <c r="AD9" s="1011" t="n"/>
      <c r="AE9" s="1011" t="n"/>
      <c r="AF9" s="1011" t="n"/>
      <c r="AG9" s="1011" t="n"/>
      <c r="AH9" s="1011" t="n"/>
      <c r="AI9" s="1011" t="n"/>
      <c r="AJ9" s="1014" t="n"/>
      <c r="AK9" s="1015" t="n"/>
      <c r="AL9" s="1011" t="n"/>
      <c r="AM9" s="1011" t="n"/>
      <c r="AN9" s="1011" t="n"/>
      <c r="AO9" s="1011" t="n"/>
      <c r="AP9" s="1011" t="n"/>
      <c r="AQ9" s="1011" t="n"/>
      <c r="AR9" s="1011" t="n"/>
      <c r="AS9" s="1013" t="n"/>
      <c r="AT9" s="1010" t="n"/>
      <c r="AU9" s="1014" t="n"/>
      <c r="AV9" s="1015" t="n"/>
      <c r="AW9" s="1011" t="n"/>
      <c r="AX9" s="1011" t="n"/>
      <c r="AY9" s="1011" t="n"/>
      <c r="AZ9" s="1013" t="n"/>
      <c r="BA9" s="1010" t="n"/>
      <c r="BB9" s="1011" t="n"/>
      <c r="BC9" s="1011" t="n"/>
      <c r="BD9" s="1013" t="n"/>
      <c r="BE9" s="936">
        <f>I9-SUM(AB9:BD9)</f>
        <v/>
      </c>
    </row>
    <row r="10">
      <c r="A10" s="61" t="n"/>
      <c r="B10" s="40" t="n"/>
      <c r="C10" s="1000">
        <f>SUM(AB10:AJ10)</f>
        <v/>
      </c>
      <c r="D10" s="1001">
        <f>SUM(AK10:AS10)</f>
        <v/>
      </c>
      <c r="E10" s="1001">
        <f>SUM(AT10:AU10)</f>
        <v/>
      </c>
      <c r="F10" s="1001">
        <f>SUM(AV10:AZ10)</f>
        <v/>
      </c>
      <c r="G10" s="1001">
        <f>SUM(BA10:BD10)</f>
        <v/>
      </c>
      <c r="H10" s="1001">
        <f>SUM(V10:AA10)</f>
        <v/>
      </c>
      <c r="I10" s="1002">
        <f>SUM(C10:H10)</f>
        <v/>
      </c>
      <c r="J10" s="1003" t="n"/>
      <c r="K10" s="1003" t="n"/>
      <c r="L10" s="1004" t="n"/>
      <c r="M10" s="1005" t="n"/>
      <c r="N10" s="1006" t="n"/>
      <c r="O10" s="981" t="n"/>
      <c r="P10" s="988" t="n"/>
      <c r="Q10" s="1008" t="n"/>
      <c r="R10" s="990">
        <f>R9+SUM(N10:Q10)-SUM(I10:M10)</f>
        <v/>
      </c>
      <c r="S10" s="71" t="n"/>
      <c r="T10" s="1007" t="n"/>
      <c r="U10" s="1016" t="n"/>
      <c r="V10" s="1009" t="n"/>
      <c r="W10" s="1010" t="n"/>
      <c r="X10" s="1011" t="n"/>
      <c r="Y10" s="1011" t="n"/>
      <c r="Z10" s="1012" t="n"/>
      <c r="AA10" s="1013" t="n"/>
      <c r="AB10" s="1009" t="n"/>
      <c r="AC10" s="1010" t="n"/>
      <c r="AD10" s="1011" t="n"/>
      <c r="AE10" s="1011" t="n"/>
      <c r="AF10" s="1011" t="n"/>
      <c r="AG10" s="1011" t="n"/>
      <c r="AH10" s="1011" t="n"/>
      <c r="AI10" s="1011" t="n"/>
      <c r="AJ10" s="1014" t="n"/>
      <c r="AK10" s="1015" t="n"/>
      <c r="AL10" s="1011" t="n"/>
      <c r="AM10" s="1011" t="n"/>
      <c r="AN10" s="1011" t="n"/>
      <c r="AO10" s="1011" t="n"/>
      <c r="AP10" s="1011" t="n"/>
      <c r="AQ10" s="1011" t="n"/>
      <c r="AR10" s="1011" t="n"/>
      <c r="AS10" s="1013" t="n"/>
      <c r="AT10" s="1010" t="n"/>
      <c r="AU10" s="1014" t="n"/>
      <c r="AV10" s="1015" t="n"/>
      <c r="AW10" s="1011" t="n"/>
      <c r="AX10" s="1011" t="n"/>
      <c r="AY10" s="1011" t="n"/>
      <c r="AZ10" s="1013" t="n"/>
      <c r="BA10" s="1010" t="n"/>
      <c r="BB10" s="1011" t="n"/>
      <c r="BC10" s="1011" t="n"/>
      <c r="BD10" s="1013" t="n"/>
      <c r="BE10" s="936">
        <f>I10-SUM(AB10:BD10)</f>
        <v/>
      </c>
    </row>
    <row r="11">
      <c r="A11" s="61" t="n"/>
      <c r="B11" s="40" t="n"/>
      <c r="C11" s="1000">
        <f>SUM(AB11:AJ11)</f>
        <v/>
      </c>
      <c r="D11" s="1001">
        <f>SUM(AK11:AS11)</f>
        <v/>
      </c>
      <c r="E11" s="1001">
        <f>SUM(AT11:AU11)</f>
        <v/>
      </c>
      <c r="F11" s="1001">
        <f>SUM(AV11:AZ11)</f>
        <v/>
      </c>
      <c r="G11" s="1001">
        <f>SUM(BA11:BD11)</f>
        <v/>
      </c>
      <c r="H11" s="1001">
        <f>SUM(V11:AA11)</f>
        <v/>
      </c>
      <c r="I11" s="1002">
        <f>SUM(C11:H11)</f>
        <v/>
      </c>
      <c r="J11" s="1003" t="n"/>
      <c r="K11" s="1003" t="n"/>
      <c r="L11" s="1004" t="n"/>
      <c r="M11" s="1005" t="n"/>
      <c r="N11" s="1006" t="n"/>
      <c r="O11" s="981" t="n"/>
      <c r="P11" s="988" t="n"/>
      <c r="Q11" s="1008" t="n"/>
      <c r="R11" s="990">
        <f>R10+SUM(N11:Q11)-SUM(I11:M11)</f>
        <v/>
      </c>
      <c r="S11" s="82" t="n"/>
      <c r="T11" s="1007" t="n"/>
      <c r="U11" s="1016" t="n"/>
      <c r="V11" s="1009" t="n"/>
      <c r="W11" s="1010" t="n"/>
      <c r="X11" s="1011" t="n"/>
      <c r="Y11" s="1011" t="n"/>
      <c r="Z11" s="1012" t="n"/>
      <c r="AA11" s="1013" t="n"/>
      <c r="AB11" s="1009" t="n"/>
      <c r="AC11" s="1010" t="n"/>
      <c r="AD11" s="1011" t="n"/>
      <c r="AE11" s="1011" t="n"/>
      <c r="AF11" s="1011" t="n"/>
      <c r="AG11" s="1011" t="n"/>
      <c r="AH11" s="1011" t="n"/>
      <c r="AI11" s="1011" t="n"/>
      <c r="AJ11" s="1014" t="n"/>
      <c r="AK11" s="1015" t="n"/>
      <c r="AL11" s="1011" t="n"/>
      <c r="AM11" s="1011" t="n"/>
      <c r="AN11" s="1011" t="n"/>
      <c r="AO11" s="1011" t="n"/>
      <c r="AP11" s="1011" t="n"/>
      <c r="AQ11" s="1011" t="n"/>
      <c r="AR11" s="1011" t="n"/>
      <c r="AS11" s="1013" t="n"/>
      <c r="AT11" s="1010" t="n"/>
      <c r="AU11" s="1014" t="n"/>
      <c r="AV11" s="1015" t="n"/>
      <c r="AW11" s="1011" t="n"/>
      <c r="AX11" s="1011" t="n"/>
      <c r="AY11" s="1011" t="n"/>
      <c r="AZ11" s="1013" t="n"/>
      <c r="BA11" s="1010" t="n"/>
      <c r="BB11" s="1011" t="n"/>
      <c r="BC11" s="1011" t="n"/>
      <c r="BD11" s="1013" t="n"/>
      <c r="BE11" s="936">
        <f>I11-SUM(AB11:BD11)</f>
        <v/>
      </c>
    </row>
    <row r="12">
      <c r="A12" s="61" t="n"/>
      <c r="B12" s="40" t="n"/>
      <c r="C12" s="1000">
        <f>SUM(AB12:AJ12)</f>
        <v/>
      </c>
      <c r="D12" s="1001">
        <f>SUM(AK12:AS12)</f>
        <v/>
      </c>
      <c r="E12" s="1001">
        <f>SUM(AT12:AU12)</f>
        <v/>
      </c>
      <c r="F12" s="1001">
        <f>SUM(AV12:AZ12)</f>
        <v/>
      </c>
      <c r="G12" s="1001">
        <f>SUM(BA12:BD12)</f>
        <v/>
      </c>
      <c r="H12" s="1001">
        <f>SUM(V12:AA12)</f>
        <v/>
      </c>
      <c r="I12" s="1002">
        <f>SUM(C12:H12)</f>
        <v/>
      </c>
      <c r="J12" s="1003" t="n"/>
      <c r="K12" s="1003" t="n"/>
      <c r="L12" s="1017" t="n"/>
      <c r="M12" s="1005" t="n"/>
      <c r="N12" s="1006" t="n"/>
      <c r="O12" s="1000" t="n"/>
      <c r="P12" s="1007" t="n"/>
      <c r="Q12" s="1008" t="n"/>
      <c r="R12" s="990">
        <f>R11+SUM(N12:Q12)-SUM(I12:M12)</f>
        <v/>
      </c>
      <c r="S12" s="71" t="n"/>
      <c r="T12" s="1007" t="n"/>
      <c r="U12" s="1016" t="n"/>
      <c r="V12" s="1009" t="n"/>
      <c r="W12" s="1010" t="n"/>
      <c r="X12" s="1011" t="n"/>
      <c r="Y12" s="1011" t="n"/>
      <c r="Z12" s="1012" t="n"/>
      <c r="AA12" s="1013" t="n"/>
      <c r="AB12" s="1009" t="n"/>
      <c r="AC12" s="1010" t="n"/>
      <c r="AD12" s="1011" t="n"/>
      <c r="AE12" s="1011" t="n"/>
      <c r="AF12" s="1011" t="n"/>
      <c r="AG12" s="1011" t="n"/>
      <c r="AH12" s="1011" t="n"/>
      <c r="AI12" s="1011" t="n"/>
      <c r="AJ12" s="1014" t="n"/>
      <c r="AK12" s="1015" t="n"/>
      <c r="AL12" s="1011" t="n"/>
      <c r="AM12" s="1011" t="n"/>
      <c r="AN12" s="1011" t="n"/>
      <c r="AO12" s="1011" t="n"/>
      <c r="AP12" s="1011" t="n"/>
      <c r="AQ12" s="1011" t="n"/>
      <c r="AR12" s="1011" t="n"/>
      <c r="AS12" s="1013" t="n"/>
      <c r="AT12" s="1010" t="n"/>
      <c r="AU12" s="1014" t="n"/>
      <c r="AV12" s="1015" t="n"/>
      <c r="AW12" s="1011" t="n"/>
      <c r="AX12" s="1011" t="n"/>
      <c r="AY12" s="1011" t="n"/>
      <c r="AZ12" s="1013" t="n"/>
      <c r="BA12" s="1010" t="n"/>
      <c r="BB12" s="1011" t="n"/>
      <c r="BC12" s="1011" t="n"/>
      <c r="BD12" s="1013" t="n"/>
      <c r="BE12" s="936">
        <f>I12-SUM(AB12:BD12)</f>
        <v/>
      </c>
    </row>
    <row r="13">
      <c r="A13" s="61" t="n"/>
      <c r="B13" s="40" t="n"/>
      <c r="C13" s="1000">
        <f>SUM(AB13:AJ13)</f>
        <v/>
      </c>
      <c r="D13" s="1001">
        <f>SUM(AK13:AS13)</f>
        <v/>
      </c>
      <c r="E13" s="1001">
        <f>SUM(AT13:AU13)</f>
        <v/>
      </c>
      <c r="F13" s="1001">
        <f>SUM(AV13:AZ13)</f>
        <v/>
      </c>
      <c r="G13" s="1001">
        <f>SUM(BA13:BD13)</f>
        <v/>
      </c>
      <c r="H13" s="1001">
        <f>SUM(V13:AA13)</f>
        <v/>
      </c>
      <c r="I13" s="1002">
        <f>SUM(C13:H13)</f>
        <v/>
      </c>
      <c r="J13" s="1003" t="n"/>
      <c r="K13" s="1003" t="n"/>
      <c r="L13" s="1017" t="n"/>
      <c r="M13" s="1005" t="n"/>
      <c r="N13" s="1006" t="n"/>
      <c r="O13" s="981" t="n"/>
      <c r="P13" s="988" t="n"/>
      <c r="Q13" s="1008" t="n"/>
      <c r="R13" s="990">
        <f>R12+SUM(N13:Q13)-SUM(I13:M13)</f>
        <v/>
      </c>
      <c r="S13" s="71" t="n"/>
      <c r="T13" s="1007" t="n"/>
      <c r="U13" s="1016" t="n"/>
      <c r="V13" s="1009" t="n"/>
      <c r="W13" s="1010" t="n"/>
      <c r="X13" s="1011" t="n"/>
      <c r="Y13" s="1011" t="n"/>
      <c r="Z13" s="1012" t="n"/>
      <c r="AA13" s="1013" t="n"/>
      <c r="AB13" s="1009" t="n"/>
      <c r="AC13" s="1010" t="n"/>
      <c r="AD13" s="1011" t="n"/>
      <c r="AE13" s="1011" t="n"/>
      <c r="AF13" s="1011" t="n"/>
      <c r="AG13" s="1011" t="n"/>
      <c r="AH13" s="1011" t="n"/>
      <c r="AI13" s="1011" t="n"/>
      <c r="AJ13" s="1014" t="n"/>
      <c r="AK13" s="1015" t="n"/>
      <c r="AL13" s="1011" t="n"/>
      <c r="AM13" s="1011" t="n"/>
      <c r="AN13" s="1011" t="n"/>
      <c r="AO13" s="1011" t="n"/>
      <c r="AP13" s="1011" t="n"/>
      <c r="AQ13" s="1011" t="n"/>
      <c r="AR13" s="1011" t="n"/>
      <c r="AS13" s="1013" t="n"/>
      <c r="AT13" s="1010" t="n"/>
      <c r="AU13" s="1014" t="n"/>
      <c r="AV13" s="1015" t="n"/>
      <c r="AW13" s="1011" t="n"/>
      <c r="AX13" s="1011" t="n"/>
      <c r="AY13" s="1011" t="n"/>
      <c r="AZ13" s="1013" t="n"/>
      <c r="BA13" s="1010" t="n"/>
      <c r="BB13" s="1011" t="n"/>
      <c r="BC13" s="1011" t="n"/>
      <c r="BD13" s="1013" t="n"/>
      <c r="BE13" s="936">
        <f>I13-SUM(AB13:BD13)</f>
        <v/>
      </c>
    </row>
    <row r="14">
      <c r="A14" s="61" t="n"/>
      <c r="B14" s="40" t="n"/>
      <c r="C14" s="1000">
        <f>SUM(AB14:AJ14)</f>
        <v/>
      </c>
      <c r="D14" s="1001">
        <f>SUM(AK14:AS14)</f>
        <v/>
      </c>
      <c r="E14" s="1001">
        <f>SUM(AT14:AU14)</f>
        <v/>
      </c>
      <c r="F14" s="1001">
        <f>SUM(AV14:AZ14)</f>
        <v/>
      </c>
      <c r="G14" s="1001">
        <f>SUM(BA14:BD14)</f>
        <v/>
      </c>
      <c r="H14" s="1001">
        <f>SUM(V14:AA14)</f>
        <v/>
      </c>
      <c r="I14" s="1002">
        <f>SUM(C14:H14)</f>
        <v/>
      </c>
      <c r="J14" s="1003" t="n"/>
      <c r="K14" s="1003" t="n"/>
      <c r="L14" s="1017" t="n"/>
      <c r="M14" s="1005" t="n"/>
      <c r="N14" s="1006" t="n"/>
      <c r="O14" s="981" t="n"/>
      <c r="P14" s="988" t="n"/>
      <c r="Q14" s="1008" t="n"/>
      <c r="R14" s="990">
        <f>R13+SUM(N14:Q14)-SUM(I14:M14)</f>
        <v/>
      </c>
      <c r="S14" s="71" t="n"/>
      <c r="T14" s="1007" t="n"/>
      <c r="U14" s="1016" t="n"/>
      <c r="V14" s="1009" t="n"/>
      <c r="W14" s="1010" t="n"/>
      <c r="X14" s="1011" t="n"/>
      <c r="Y14" s="1011" t="n"/>
      <c r="Z14" s="1012" t="n"/>
      <c r="AA14" s="1013" t="n"/>
      <c r="AB14" s="1009" t="n"/>
      <c r="AC14" s="1010" t="n"/>
      <c r="AD14" s="1011" t="n"/>
      <c r="AE14" s="1011" t="n"/>
      <c r="AF14" s="1011" t="n"/>
      <c r="AG14" s="1011" t="n"/>
      <c r="AH14" s="1011" t="n"/>
      <c r="AI14" s="1011" t="n"/>
      <c r="AJ14" s="1014" t="n"/>
      <c r="AK14" s="1015" t="n"/>
      <c r="AL14" s="1011" t="n"/>
      <c r="AM14" s="1011" t="n"/>
      <c r="AN14" s="1011" t="n"/>
      <c r="AO14" s="1011" t="n"/>
      <c r="AP14" s="1011" t="n"/>
      <c r="AQ14" s="1011" t="n"/>
      <c r="AR14" s="1011" t="n"/>
      <c r="AS14" s="1013" t="n"/>
      <c r="AT14" s="1010" t="n"/>
      <c r="AU14" s="1014" t="n"/>
      <c r="AV14" s="1015" t="n"/>
      <c r="AW14" s="1011" t="n"/>
      <c r="AX14" s="1011" t="n"/>
      <c r="AY14" s="1011" t="n"/>
      <c r="AZ14" s="1013" t="n"/>
      <c r="BA14" s="1010" t="n"/>
      <c r="BB14" s="1011" t="n"/>
      <c r="BC14" s="1011" t="n"/>
      <c r="BD14" s="1013" t="n"/>
      <c r="BE14" s="936">
        <f>I14-SUM(AB14:BD14)</f>
        <v/>
      </c>
    </row>
    <row r="15">
      <c r="A15" s="61" t="n"/>
      <c r="B15" s="40" t="n"/>
      <c r="C15" s="1000">
        <f>SUM(AB15:AJ15)</f>
        <v/>
      </c>
      <c r="D15" s="1001">
        <f>SUM(AK15:AS15)</f>
        <v/>
      </c>
      <c r="E15" s="1001">
        <f>SUM(AT15:AU15)</f>
        <v/>
      </c>
      <c r="F15" s="1001">
        <f>SUM(AV15:AZ15)</f>
        <v/>
      </c>
      <c r="G15" s="1001">
        <f>SUM(BA15:BD15)</f>
        <v/>
      </c>
      <c r="H15" s="1001">
        <f>SUM(V15:AA15)</f>
        <v/>
      </c>
      <c r="I15" s="1002">
        <f>SUM(C15:H15)</f>
        <v/>
      </c>
      <c r="J15" s="1003" t="n"/>
      <c r="K15" s="1003" t="n"/>
      <c r="L15" s="1017" t="n"/>
      <c r="M15" s="1005" t="n"/>
      <c r="N15" s="1006" t="n"/>
      <c r="O15" s="981" t="n"/>
      <c r="P15" s="988" t="n"/>
      <c r="Q15" s="1008" t="n"/>
      <c r="R15" s="990">
        <f>R14+SUM(N15:Q15)-SUM(I15:M15)</f>
        <v/>
      </c>
      <c r="S15" s="71" t="n"/>
      <c r="T15" s="1007" t="n"/>
      <c r="U15" s="1016" t="n"/>
      <c r="V15" s="1009" t="n"/>
      <c r="W15" s="1010" t="n"/>
      <c r="X15" s="1011" t="n"/>
      <c r="Y15" s="1011" t="n"/>
      <c r="Z15" s="1012" t="n"/>
      <c r="AA15" s="1013" t="n"/>
      <c r="AB15" s="1009" t="n"/>
      <c r="AC15" s="1010" t="n"/>
      <c r="AD15" s="1011" t="n"/>
      <c r="AE15" s="1011" t="n"/>
      <c r="AF15" s="1011" t="n"/>
      <c r="AG15" s="1011" t="n"/>
      <c r="AH15" s="1011" t="n"/>
      <c r="AI15" s="1011" t="n"/>
      <c r="AJ15" s="1014" t="n"/>
      <c r="AK15" s="1015" t="n"/>
      <c r="AL15" s="1011" t="n"/>
      <c r="AM15" s="1011" t="n"/>
      <c r="AN15" s="1011" t="n"/>
      <c r="AO15" s="1011" t="n"/>
      <c r="AP15" s="1011" t="n"/>
      <c r="AQ15" s="1011" t="n"/>
      <c r="AR15" s="1011" t="n"/>
      <c r="AS15" s="1013" t="n"/>
      <c r="AT15" s="1010" t="n"/>
      <c r="AU15" s="1014" t="n"/>
      <c r="AV15" s="1015" t="n"/>
      <c r="AW15" s="1011" t="n"/>
      <c r="AX15" s="1011" t="n"/>
      <c r="AY15" s="1011" t="n"/>
      <c r="AZ15" s="1013" t="n"/>
      <c r="BA15" s="1010" t="n"/>
      <c r="BB15" s="1011" t="n"/>
      <c r="BC15" s="1011" t="n"/>
      <c r="BD15" s="1013" t="n"/>
      <c r="BE15" s="936">
        <f>I15-SUM(AB15:BD15)</f>
        <v/>
      </c>
    </row>
    <row r="16">
      <c r="A16" s="61" t="n"/>
      <c r="B16" s="40" t="n"/>
      <c r="C16" s="1000">
        <f>SUM(AB16:AJ16)</f>
        <v/>
      </c>
      <c r="D16" s="1001">
        <f>SUM(AK16:AS16)</f>
        <v/>
      </c>
      <c r="E16" s="1001">
        <f>SUM(AT16:AU16)</f>
        <v/>
      </c>
      <c r="F16" s="1001">
        <f>SUM(AV16:AZ16)</f>
        <v/>
      </c>
      <c r="G16" s="1001">
        <f>SUM(BA16:BD16)</f>
        <v/>
      </c>
      <c r="H16" s="1001">
        <f>SUM(V16:AA16)</f>
        <v/>
      </c>
      <c r="I16" s="1002">
        <f>SUM(C16:H16)</f>
        <v/>
      </c>
      <c r="J16" s="1003" t="n"/>
      <c r="K16" s="1003" t="n"/>
      <c r="L16" s="1017" t="n"/>
      <c r="M16" s="1005" t="n"/>
      <c r="N16" s="1006" t="n"/>
      <c r="O16" s="981" t="n"/>
      <c r="P16" s="988" t="n"/>
      <c r="Q16" s="1008" t="n"/>
      <c r="R16" s="990">
        <f>R15+SUM(N16:Q16)-SUM(I16:M16)</f>
        <v/>
      </c>
      <c r="S16" s="71" t="n"/>
      <c r="T16" s="1007" t="n"/>
      <c r="U16" s="1016" t="n"/>
      <c r="V16" s="1009" t="n"/>
      <c r="W16" s="1010" t="n"/>
      <c r="X16" s="1011" t="n"/>
      <c r="Y16" s="1011" t="n"/>
      <c r="Z16" s="1012" t="n"/>
      <c r="AA16" s="1013" t="n"/>
      <c r="AB16" s="1009" t="n"/>
      <c r="AC16" s="1010" t="n"/>
      <c r="AD16" s="1011" t="n"/>
      <c r="AE16" s="1011" t="n"/>
      <c r="AF16" s="1011" t="n"/>
      <c r="AG16" s="1011" t="n"/>
      <c r="AH16" s="1011" t="n"/>
      <c r="AI16" s="1011" t="n"/>
      <c r="AJ16" s="1014" t="n"/>
      <c r="AK16" s="1015" t="n"/>
      <c r="AL16" s="1011" t="n"/>
      <c r="AM16" s="1011" t="n"/>
      <c r="AN16" s="1011" t="n"/>
      <c r="AO16" s="1011" t="n"/>
      <c r="AP16" s="1011" t="n"/>
      <c r="AQ16" s="1011" t="n"/>
      <c r="AR16" s="1011" t="n"/>
      <c r="AS16" s="1013" t="n"/>
      <c r="AT16" s="1010" t="n"/>
      <c r="AU16" s="1014" t="n"/>
      <c r="AV16" s="1015" t="n"/>
      <c r="AW16" s="1011" t="n"/>
      <c r="AX16" s="1011" t="n"/>
      <c r="AY16" s="1011" t="n"/>
      <c r="AZ16" s="1013" t="n"/>
      <c r="BA16" s="1010" t="n"/>
      <c r="BB16" s="1011" t="n"/>
      <c r="BC16" s="1011" t="n"/>
      <c r="BD16" s="1013" t="n"/>
      <c r="BE16" s="936">
        <f>I16-SUM(AB16:BD16)</f>
        <v/>
      </c>
    </row>
    <row r="17">
      <c r="A17" s="61" t="n"/>
      <c r="B17" s="40" t="n"/>
      <c r="C17" s="1000">
        <f>SUM(AB17:AJ17)</f>
        <v/>
      </c>
      <c r="D17" s="1001">
        <f>SUM(AK17:AS17)</f>
        <v/>
      </c>
      <c r="E17" s="1001">
        <f>SUM(AT17:AU17)</f>
        <v/>
      </c>
      <c r="F17" s="1001">
        <f>SUM(AV17:AZ17)</f>
        <v/>
      </c>
      <c r="G17" s="1001">
        <f>SUM(BA17:BD17)</f>
        <v/>
      </c>
      <c r="H17" s="1001">
        <f>SUM(V17:AA17)</f>
        <v/>
      </c>
      <c r="I17" s="1002">
        <f>SUM(C17:H17)</f>
        <v/>
      </c>
      <c r="J17" s="1003" t="n"/>
      <c r="K17" s="1003" t="n"/>
      <c r="L17" s="1017" t="n"/>
      <c r="M17" s="1005" t="n"/>
      <c r="N17" s="1006" t="n"/>
      <c r="O17" s="1000" t="n"/>
      <c r="P17" s="1007" t="n"/>
      <c r="Q17" s="1008" t="n"/>
      <c r="R17" s="990">
        <f>R16+SUM(N17:Q17)-SUM(I17:M17)</f>
        <v/>
      </c>
      <c r="S17" s="71" t="n"/>
      <c r="T17" s="1007" t="n"/>
      <c r="U17" s="1016" t="n"/>
      <c r="V17" s="1009" t="n"/>
      <c r="W17" s="1010" t="n"/>
      <c r="X17" s="1011" t="n"/>
      <c r="Y17" s="1011" t="n"/>
      <c r="Z17" s="1012" t="n"/>
      <c r="AA17" s="1013" t="n"/>
      <c r="AB17" s="1009" t="n"/>
      <c r="AC17" s="1010" t="n"/>
      <c r="AD17" s="1011" t="n"/>
      <c r="AE17" s="1011" t="n"/>
      <c r="AF17" s="1011" t="n"/>
      <c r="AG17" s="1011" t="n"/>
      <c r="AH17" s="1011" t="n"/>
      <c r="AI17" s="1011" t="n"/>
      <c r="AJ17" s="1014" t="n"/>
      <c r="AK17" s="1015" t="n"/>
      <c r="AL17" s="1011" t="n"/>
      <c r="AM17" s="1011" t="n"/>
      <c r="AN17" s="1011" t="n"/>
      <c r="AO17" s="1011" t="n"/>
      <c r="AP17" s="1011" t="n"/>
      <c r="AQ17" s="1011" t="n"/>
      <c r="AR17" s="1011" t="n"/>
      <c r="AS17" s="1013" t="n"/>
      <c r="AT17" s="1010" t="n"/>
      <c r="AU17" s="1014" t="n"/>
      <c r="AV17" s="1015" t="n"/>
      <c r="AW17" s="1011" t="n"/>
      <c r="AX17" s="1011" t="n"/>
      <c r="AY17" s="1011" t="n"/>
      <c r="AZ17" s="1013" t="n"/>
      <c r="BA17" s="1010" t="n"/>
      <c r="BB17" s="1011" t="n"/>
      <c r="BC17" s="1011" t="n"/>
      <c r="BD17" s="1013" t="n"/>
      <c r="BE17" s="936">
        <f>I17-SUM(AB17:BD17)</f>
        <v/>
      </c>
    </row>
    <row r="18">
      <c r="A18" s="61" t="n"/>
      <c r="B18" s="40" t="n"/>
      <c r="C18" s="1000">
        <f>SUM(AB18:AJ18)</f>
        <v/>
      </c>
      <c r="D18" s="1001">
        <f>SUM(AK18:AS18)</f>
        <v/>
      </c>
      <c r="E18" s="1001">
        <f>SUM(AT18:AU18)</f>
        <v/>
      </c>
      <c r="F18" s="1001">
        <f>SUM(AV18:AZ18)</f>
        <v/>
      </c>
      <c r="G18" s="1001">
        <f>SUM(BA18:BD18)</f>
        <v/>
      </c>
      <c r="H18" s="1001">
        <f>SUM(V18:AA18)</f>
        <v/>
      </c>
      <c r="I18" s="1002">
        <f>SUM(C18:H18)</f>
        <v/>
      </c>
      <c r="J18" s="1003" t="n"/>
      <c r="K18" s="1003" t="n"/>
      <c r="L18" s="1017" t="n"/>
      <c r="M18" s="1005" t="n"/>
      <c r="N18" s="1006" t="n"/>
      <c r="O18" s="1000" t="n"/>
      <c r="P18" s="1007" t="n"/>
      <c r="Q18" s="1008" t="n"/>
      <c r="R18" s="990">
        <f>R17+SUM(N18:Q18)-SUM(I18:M18)</f>
        <v/>
      </c>
      <c r="S18" s="71" t="n"/>
      <c r="T18" s="1007" t="n"/>
      <c r="U18" s="1016" t="n"/>
      <c r="V18" s="1009" t="n"/>
      <c r="W18" s="1010" t="n"/>
      <c r="X18" s="1011" t="n"/>
      <c r="Y18" s="1011" t="n"/>
      <c r="Z18" s="1012" t="n"/>
      <c r="AA18" s="1013" t="n"/>
      <c r="AB18" s="1009" t="n"/>
      <c r="AC18" s="1010" t="n"/>
      <c r="AD18" s="1011" t="n"/>
      <c r="AE18" s="1011" t="n"/>
      <c r="AF18" s="1011" t="n"/>
      <c r="AG18" s="1011" t="n"/>
      <c r="AH18" s="1011" t="n"/>
      <c r="AI18" s="1011" t="n"/>
      <c r="AJ18" s="1014" t="n"/>
      <c r="AK18" s="1015" t="n"/>
      <c r="AL18" s="1011" t="n"/>
      <c r="AM18" s="1011" t="n"/>
      <c r="AN18" s="1011" t="n"/>
      <c r="AO18" s="1011" t="n"/>
      <c r="AP18" s="1011" t="n"/>
      <c r="AQ18" s="1011" t="n"/>
      <c r="AR18" s="1011" t="n"/>
      <c r="AS18" s="1013" t="n"/>
      <c r="AT18" s="1010" t="n"/>
      <c r="AU18" s="1014" t="n"/>
      <c r="AV18" s="1015" t="n"/>
      <c r="AW18" s="1011" t="n"/>
      <c r="AX18" s="1011" t="n"/>
      <c r="AY18" s="1011" t="n"/>
      <c r="AZ18" s="1013" t="n"/>
      <c r="BA18" s="1010" t="n"/>
      <c r="BB18" s="1011" t="n"/>
      <c r="BC18" s="1011" t="n"/>
      <c r="BD18" s="1013" t="n"/>
      <c r="BE18" s="936">
        <f>I18-SUM(AB18:BD18)</f>
        <v/>
      </c>
    </row>
    <row r="19">
      <c r="A19" s="61" t="n"/>
      <c r="B19" s="40" t="n"/>
      <c r="C19" s="1000">
        <f>SUM(AB19:AJ19)</f>
        <v/>
      </c>
      <c r="D19" s="1001">
        <f>SUM(AK19:AS19)</f>
        <v/>
      </c>
      <c r="E19" s="1001">
        <f>SUM(AT19:AU19)</f>
        <v/>
      </c>
      <c r="F19" s="1001">
        <f>SUM(AV19:AZ19)</f>
        <v/>
      </c>
      <c r="G19" s="1001">
        <f>SUM(BA19:BD19)</f>
        <v/>
      </c>
      <c r="H19" s="1001">
        <f>SUM(V19:AA19)</f>
        <v/>
      </c>
      <c r="I19" s="1002">
        <f>SUM(C19:H19)</f>
        <v/>
      </c>
      <c r="J19" s="1003" t="n"/>
      <c r="K19" s="1003" t="n"/>
      <c r="L19" s="1017" t="n"/>
      <c r="M19" s="1005" t="n"/>
      <c r="N19" s="1006" t="n"/>
      <c r="O19" s="1000" t="n"/>
      <c r="P19" s="1007" t="n"/>
      <c r="Q19" s="1008" t="n"/>
      <c r="R19" s="990">
        <f>R18+SUM(N19:Q19)-SUM(I19:M19)</f>
        <v/>
      </c>
      <c r="S19" s="71" t="n"/>
      <c r="T19" s="1007" t="n"/>
      <c r="U19" s="1016" t="n"/>
      <c r="V19" s="1009" t="n"/>
      <c r="W19" s="1010" t="n"/>
      <c r="X19" s="1011" t="n"/>
      <c r="Y19" s="1011" t="n"/>
      <c r="Z19" s="1012" t="n"/>
      <c r="AA19" s="1013" t="n"/>
      <c r="AB19" s="1009" t="n"/>
      <c r="AC19" s="1010" t="n"/>
      <c r="AD19" s="1011" t="n"/>
      <c r="AE19" s="1011" t="n"/>
      <c r="AF19" s="1011" t="n"/>
      <c r="AG19" s="1011" t="n"/>
      <c r="AH19" s="1011" t="n"/>
      <c r="AI19" s="1011" t="n"/>
      <c r="AJ19" s="1014" t="n"/>
      <c r="AK19" s="1015" t="n"/>
      <c r="AL19" s="1011" t="n"/>
      <c r="AM19" s="1011" t="n"/>
      <c r="AN19" s="1011" t="n"/>
      <c r="AO19" s="1011" t="n"/>
      <c r="AP19" s="1011" t="n"/>
      <c r="AQ19" s="1011" t="n"/>
      <c r="AR19" s="1011" t="n"/>
      <c r="AS19" s="1013" t="n"/>
      <c r="AT19" s="1010" t="n"/>
      <c r="AU19" s="1014" t="n"/>
      <c r="AV19" s="1015" t="n"/>
      <c r="AW19" s="1011" t="n"/>
      <c r="AX19" s="1011" t="n"/>
      <c r="AY19" s="1011" t="n"/>
      <c r="AZ19" s="1013" t="n"/>
      <c r="BA19" s="1010" t="n"/>
      <c r="BB19" s="1011" t="n"/>
      <c r="BC19" s="1011" t="n"/>
      <c r="BD19" s="1013" t="n"/>
      <c r="BE19" s="936">
        <f>I19-SUM(AB19:BD19)</f>
        <v/>
      </c>
    </row>
    <row r="20">
      <c r="A20" s="61" t="n"/>
      <c r="B20" s="40" t="n"/>
      <c r="C20" s="1000">
        <f>SUM(AB20:AJ20)</f>
        <v/>
      </c>
      <c r="D20" s="1001">
        <f>SUM(AK20:AS20)</f>
        <v/>
      </c>
      <c r="E20" s="1001">
        <f>SUM(AT20:AU20)</f>
        <v/>
      </c>
      <c r="F20" s="1001">
        <f>SUM(AV20:AZ20)</f>
        <v/>
      </c>
      <c r="G20" s="1001">
        <f>SUM(BA20:BD20)</f>
        <v/>
      </c>
      <c r="H20" s="1001">
        <f>SUM(V20:AA20)</f>
        <v/>
      </c>
      <c r="I20" s="1002">
        <f>SUM(C20:H20)</f>
        <v/>
      </c>
      <c r="J20" s="1003" t="n"/>
      <c r="K20" s="1003" t="n"/>
      <c r="L20" s="1017" t="n"/>
      <c r="M20" s="1005" t="n"/>
      <c r="N20" s="1006" t="n"/>
      <c r="O20" s="1000" t="n"/>
      <c r="P20" s="1007" t="n"/>
      <c r="Q20" s="1008" t="n"/>
      <c r="R20" s="990">
        <f>R19+SUM(N20:Q20)-SUM(I20:M20)</f>
        <v/>
      </c>
      <c r="S20" s="71" t="n"/>
      <c r="T20" s="1007" t="n"/>
      <c r="U20" s="1016" t="n"/>
      <c r="V20" s="1009" t="n"/>
      <c r="W20" s="1010" t="n"/>
      <c r="X20" s="1011" t="n"/>
      <c r="Y20" s="1011" t="n"/>
      <c r="Z20" s="1012" t="n"/>
      <c r="AA20" s="1013" t="n"/>
      <c r="AB20" s="1009" t="n"/>
      <c r="AC20" s="1010" t="n"/>
      <c r="AD20" s="1011" t="n"/>
      <c r="AE20" s="1011" t="n"/>
      <c r="AF20" s="1011" t="n"/>
      <c r="AG20" s="1011" t="n"/>
      <c r="AH20" s="1011" t="n"/>
      <c r="AI20" s="1011" t="n"/>
      <c r="AJ20" s="1014" t="n"/>
      <c r="AK20" s="1015" t="n"/>
      <c r="AL20" s="1011" t="n"/>
      <c r="AM20" s="1011" t="n"/>
      <c r="AN20" s="1011" t="n"/>
      <c r="AO20" s="1011" t="n"/>
      <c r="AP20" s="1011" t="n"/>
      <c r="AQ20" s="1011" t="n"/>
      <c r="AR20" s="1011" t="n"/>
      <c r="AS20" s="1013" t="n"/>
      <c r="AT20" s="1010" t="n"/>
      <c r="AU20" s="1014" t="n"/>
      <c r="AV20" s="1015" t="n"/>
      <c r="AW20" s="1011" t="n"/>
      <c r="AX20" s="1011" t="n"/>
      <c r="AY20" s="1011" t="n"/>
      <c r="AZ20" s="1013" t="n"/>
      <c r="BA20" s="1010" t="n"/>
      <c r="BB20" s="1011" t="n"/>
      <c r="BC20" s="1011" t="n"/>
      <c r="BD20" s="1013" t="n"/>
      <c r="BE20" s="936">
        <f>I20-SUM(AB20:BD20)</f>
        <v/>
      </c>
    </row>
    <row r="21">
      <c r="A21" s="61" t="n"/>
      <c r="B21" s="40" t="n"/>
      <c r="C21" s="1000">
        <f>SUM(AB21:AJ21)</f>
        <v/>
      </c>
      <c r="D21" s="1001">
        <f>SUM(AK21:AS21)</f>
        <v/>
      </c>
      <c r="E21" s="1001">
        <f>SUM(AT21:AU21)</f>
        <v/>
      </c>
      <c r="F21" s="1001">
        <f>SUM(AV21:AZ21)</f>
        <v/>
      </c>
      <c r="G21" s="1001">
        <f>SUM(BA21:BD21)</f>
        <v/>
      </c>
      <c r="H21" s="1001">
        <f>SUM(V21:AA21)</f>
        <v/>
      </c>
      <c r="I21" s="1002">
        <f>SUM(C21:H21)</f>
        <v/>
      </c>
      <c r="J21" s="1003" t="n"/>
      <c r="K21" s="1003" t="n"/>
      <c r="L21" s="1017" t="n"/>
      <c r="M21" s="1005" t="n"/>
      <c r="N21" s="1006" t="n"/>
      <c r="O21" s="1000" t="n"/>
      <c r="P21" s="1007" t="n"/>
      <c r="Q21" s="1008" t="n"/>
      <c r="R21" s="990">
        <f>R20+SUM(N21:Q21)-SUM(I21:M21)</f>
        <v/>
      </c>
      <c r="S21" s="71" t="n"/>
      <c r="T21" s="1007" t="n"/>
      <c r="U21" s="1016" t="n"/>
      <c r="V21" s="1009" t="n"/>
      <c r="W21" s="1010" t="n"/>
      <c r="X21" s="1011" t="n"/>
      <c r="Y21" s="1011" t="n"/>
      <c r="Z21" s="1012" t="n"/>
      <c r="AA21" s="1013" t="n"/>
      <c r="AB21" s="1009" t="n"/>
      <c r="AC21" s="1010" t="n"/>
      <c r="AD21" s="1011" t="n"/>
      <c r="AE21" s="1011" t="n"/>
      <c r="AF21" s="1011" t="n"/>
      <c r="AG21" s="1011" t="n"/>
      <c r="AH21" s="1011" t="n"/>
      <c r="AI21" s="1011" t="n"/>
      <c r="AJ21" s="1014" t="n"/>
      <c r="AK21" s="1015" t="n"/>
      <c r="AL21" s="1011" t="n"/>
      <c r="AM21" s="1011" t="n"/>
      <c r="AN21" s="1011" t="n"/>
      <c r="AO21" s="1011" t="n"/>
      <c r="AP21" s="1011" t="n"/>
      <c r="AQ21" s="1011" t="n"/>
      <c r="AR21" s="1011" t="n"/>
      <c r="AS21" s="1013" t="n"/>
      <c r="AT21" s="1010" t="n"/>
      <c r="AU21" s="1014" t="n"/>
      <c r="AV21" s="1015" t="n"/>
      <c r="AW21" s="1011" t="n"/>
      <c r="AX21" s="1011" t="n"/>
      <c r="AY21" s="1011" t="n"/>
      <c r="AZ21" s="1013" t="n"/>
      <c r="BA21" s="1010" t="n"/>
      <c r="BB21" s="1011" t="n"/>
      <c r="BC21" s="1011" t="n"/>
      <c r="BD21" s="1013" t="n"/>
      <c r="BE21" s="936">
        <f>I21-SUM(AB21:BD21)</f>
        <v/>
      </c>
    </row>
    <row r="22">
      <c r="A22" s="61" t="n"/>
      <c r="B22" s="40" t="n"/>
      <c r="C22" s="1000">
        <f>SUM(AB22:AJ22)</f>
        <v/>
      </c>
      <c r="D22" s="1001">
        <f>SUM(AK22:AS22)</f>
        <v/>
      </c>
      <c r="E22" s="1001">
        <f>SUM(AT22:AU22)</f>
        <v/>
      </c>
      <c r="F22" s="1001">
        <f>SUM(AV22:AZ22)</f>
        <v/>
      </c>
      <c r="G22" s="1001">
        <f>SUM(BA22:BD22)</f>
        <v/>
      </c>
      <c r="H22" s="1001">
        <f>SUM(V22:AA22)</f>
        <v/>
      </c>
      <c r="I22" s="1002">
        <f>SUM(C22:H22)</f>
        <v/>
      </c>
      <c r="J22" s="1003" t="n"/>
      <c r="K22" s="1003" t="n"/>
      <c r="L22" s="1017" t="n"/>
      <c r="M22" s="1005" t="n"/>
      <c r="N22" s="1006" t="n"/>
      <c r="O22" s="1000" t="n"/>
      <c r="P22" s="1007" t="n"/>
      <c r="Q22" s="1008" t="n"/>
      <c r="R22" s="990">
        <f>R21+SUM(N22:Q22)-SUM(I22:M22)</f>
        <v/>
      </c>
      <c r="S22" s="71" t="n"/>
      <c r="T22" s="1007" t="n"/>
      <c r="U22" s="1016" t="n"/>
      <c r="V22" s="1009" t="n"/>
      <c r="W22" s="1010" t="n"/>
      <c r="X22" s="1011" t="n"/>
      <c r="Y22" s="1011" t="n"/>
      <c r="Z22" s="1012" t="n"/>
      <c r="AA22" s="1013" t="n"/>
      <c r="AB22" s="1009" t="n"/>
      <c r="AC22" s="1010" t="n"/>
      <c r="AD22" s="1011" t="n"/>
      <c r="AE22" s="1011" t="n"/>
      <c r="AF22" s="1011" t="n"/>
      <c r="AG22" s="1011" t="n"/>
      <c r="AH22" s="1011" t="n"/>
      <c r="AI22" s="1011" t="n"/>
      <c r="AJ22" s="1014" t="n"/>
      <c r="AK22" s="1015" t="n"/>
      <c r="AL22" s="1011" t="n"/>
      <c r="AM22" s="1011" t="n"/>
      <c r="AN22" s="1011" t="n"/>
      <c r="AO22" s="1011" t="n"/>
      <c r="AP22" s="1011" t="n"/>
      <c r="AQ22" s="1011" t="n"/>
      <c r="AR22" s="1011" t="n"/>
      <c r="AS22" s="1013" t="n"/>
      <c r="AT22" s="1010" t="n"/>
      <c r="AU22" s="1014" t="n"/>
      <c r="AV22" s="1015" t="n"/>
      <c r="AW22" s="1011" t="n"/>
      <c r="AX22" s="1011" t="n"/>
      <c r="AY22" s="1011" t="n"/>
      <c r="AZ22" s="1013" t="n"/>
      <c r="BA22" s="1010" t="n"/>
      <c r="BB22" s="1011" t="n"/>
      <c r="BC22" s="1011" t="n"/>
      <c r="BD22" s="1013" t="n"/>
      <c r="BE22" s="936">
        <f>I22-SUM(AB22:BD22)</f>
        <v/>
      </c>
    </row>
    <row r="23">
      <c r="A23" s="61" t="n"/>
      <c r="B23" s="40" t="n"/>
      <c r="C23" s="1000">
        <f>SUM(AB23:AJ23)</f>
        <v/>
      </c>
      <c r="D23" s="1001">
        <f>SUM(AK23:AS23)</f>
        <v/>
      </c>
      <c r="E23" s="1001">
        <f>SUM(AT23:AU23)</f>
        <v/>
      </c>
      <c r="F23" s="1001">
        <f>SUM(AV23:AZ23)</f>
        <v/>
      </c>
      <c r="G23" s="1001">
        <f>SUM(BA23:BD23)</f>
        <v/>
      </c>
      <c r="H23" s="1001">
        <f>SUM(V23:AA23)</f>
        <v/>
      </c>
      <c r="I23" s="1002">
        <f>SUM(C23:H23)</f>
        <v/>
      </c>
      <c r="J23" s="1003" t="n"/>
      <c r="K23" s="1003" t="n"/>
      <c r="L23" s="1017" t="n"/>
      <c r="M23" s="1005" t="n"/>
      <c r="N23" s="1006" t="n"/>
      <c r="O23" s="1000" t="n"/>
      <c r="P23" s="1007" t="n"/>
      <c r="Q23" s="1008" t="n"/>
      <c r="R23" s="990">
        <f>R22+SUM(N23:Q23)-SUM(I23:M23)</f>
        <v/>
      </c>
      <c r="S23" s="71" t="n"/>
      <c r="T23" s="1007" t="n"/>
      <c r="U23" s="1016" t="n"/>
      <c r="V23" s="1009" t="n"/>
      <c r="W23" s="1010" t="n"/>
      <c r="X23" s="1011" t="n"/>
      <c r="Y23" s="1011" t="n"/>
      <c r="Z23" s="1012" t="n"/>
      <c r="AA23" s="1013" t="n"/>
      <c r="AB23" s="1009" t="n"/>
      <c r="AC23" s="1010" t="n"/>
      <c r="AD23" s="1011" t="n"/>
      <c r="AE23" s="1011" t="n"/>
      <c r="AF23" s="1011" t="n"/>
      <c r="AG23" s="1011" t="n"/>
      <c r="AH23" s="1011" t="n"/>
      <c r="AI23" s="1011" t="n"/>
      <c r="AJ23" s="1014" t="n"/>
      <c r="AK23" s="1015" t="n"/>
      <c r="AL23" s="1011" t="n"/>
      <c r="AM23" s="1011" t="n"/>
      <c r="AN23" s="1011" t="n"/>
      <c r="AO23" s="1011" t="n"/>
      <c r="AP23" s="1011" t="n"/>
      <c r="AQ23" s="1011" t="n"/>
      <c r="AR23" s="1011" t="n"/>
      <c r="AS23" s="1013" t="n"/>
      <c r="AT23" s="1010" t="n"/>
      <c r="AU23" s="1014" t="n"/>
      <c r="AV23" s="1015" t="n"/>
      <c r="AW23" s="1011" t="n"/>
      <c r="AX23" s="1011" t="n"/>
      <c r="AY23" s="1011" t="n"/>
      <c r="AZ23" s="1013" t="n"/>
      <c r="BA23" s="1010" t="n"/>
      <c r="BB23" s="1011" t="n"/>
      <c r="BC23" s="1011" t="n"/>
      <c r="BD23" s="1013" t="n"/>
      <c r="BE23" s="936">
        <f>I23-SUM(AB23:BD23)</f>
        <v/>
      </c>
    </row>
    <row r="24">
      <c r="A24" s="61" t="n"/>
      <c r="B24" s="40" t="n"/>
      <c r="C24" s="1000">
        <f>SUM(AB24:AJ24)</f>
        <v/>
      </c>
      <c r="D24" s="1001">
        <f>SUM(AK24:AS24)</f>
        <v/>
      </c>
      <c r="E24" s="1001">
        <f>SUM(AT24:AU24)</f>
        <v/>
      </c>
      <c r="F24" s="1001">
        <f>SUM(AV24:AZ24)</f>
        <v/>
      </c>
      <c r="G24" s="1001">
        <f>SUM(BA24:BD24)</f>
        <v/>
      </c>
      <c r="H24" s="1001">
        <f>SUM(V24:AA24)</f>
        <v/>
      </c>
      <c r="I24" s="1002">
        <f>SUM(C24:H24)</f>
        <v/>
      </c>
      <c r="J24" s="1003" t="n"/>
      <c r="K24" s="1003" t="n"/>
      <c r="L24" s="1017" t="n"/>
      <c r="M24" s="1005" t="n"/>
      <c r="N24" s="1006" t="n"/>
      <c r="O24" s="1000" t="n"/>
      <c r="P24" s="1007" t="n"/>
      <c r="Q24" s="1008" t="n"/>
      <c r="R24" s="990">
        <f>R23+SUM(N24:Q24)-SUM(I24:M24)</f>
        <v/>
      </c>
      <c r="S24" s="71" t="n"/>
      <c r="T24" s="1007" t="n"/>
      <c r="U24" s="1016" t="n"/>
      <c r="V24" s="1009" t="n"/>
      <c r="W24" s="1010" t="n"/>
      <c r="X24" s="1011" t="n"/>
      <c r="Y24" s="1011" t="n"/>
      <c r="Z24" s="1012" t="n"/>
      <c r="AA24" s="1013" t="n"/>
      <c r="AB24" s="1009" t="n"/>
      <c r="AC24" s="1010" t="n"/>
      <c r="AD24" s="1011" t="n"/>
      <c r="AE24" s="1011" t="n"/>
      <c r="AF24" s="1011" t="n"/>
      <c r="AG24" s="1011" t="n"/>
      <c r="AH24" s="1011" t="n"/>
      <c r="AI24" s="1011" t="n"/>
      <c r="AJ24" s="1014" t="n"/>
      <c r="AK24" s="1015" t="n"/>
      <c r="AL24" s="1011" t="n"/>
      <c r="AM24" s="1011" t="n"/>
      <c r="AN24" s="1011" t="n"/>
      <c r="AO24" s="1011" t="n"/>
      <c r="AP24" s="1011" t="n"/>
      <c r="AQ24" s="1011" t="n"/>
      <c r="AR24" s="1011" t="n"/>
      <c r="AS24" s="1013" t="n"/>
      <c r="AT24" s="1010" t="n"/>
      <c r="AU24" s="1014" t="n"/>
      <c r="AV24" s="1015" t="n"/>
      <c r="AW24" s="1011" t="n"/>
      <c r="AX24" s="1011" t="n"/>
      <c r="AY24" s="1011" t="n"/>
      <c r="AZ24" s="1013" t="n"/>
      <c r="BA24" s="1010" t="n"/>
      <c r="BB24" s="1011" t="n"/>
      <c r="BC24" s="1011" t="n"/>
      <c r="BD24" s="1013" t="n"/>
      <c r="BE24" s="936">
        <f>I24-SUM(AB24:BD24)</f>
        <v/>
      </c>
    </row>
    <row r="25">
      <c r="A25" s="61" t="n"/>
      <c r="B25" s="40" t="n"/>
      <c r="C25" s="1000">
        <f>SUM(AB25:AJ25)</f>
        <v/>
      </c>
      <c r="D25" s="1001">
        <f>SUM(AK25:AS25)</f>
        <v/>
      </c>
      <c r="E25" s="1001">
        <f>SUM(AT25:AU25)</f>
        <v/>
      </c>
      <c r="F25" s="1001">
        <f>SUM(AV25:AZ25)</f>
        <v/>
      </c>
      <c r="G25" s="1001">
        <f>SUM(BA25:BD25)</f>
        <v/>
      </c>
      <c r="H25" s="1001">
        <f>SUM(V25:AA25)</f>
        <v/>
      </c>
      <c r="I25" s="1002">
        <f>SUM(C25:H25)</f>
        <v/>
      </c>
      <c r="J25" s="1003" t="n"/>
      <c r="K25" s="1003" t="n"/>
      <c r="L25" s="1017" t="n"/>
      <c r="M25" s="1005" t="n"/>
      <c r="N25" s="1006" t="n"/>
      <c r="O25" s="1000" t="n"/>
      <c r="P25" s="1007" t="n"/>
      <c r="Q25" s="1008" t="n"/>
      <c r="R25" s="990">
        <f>R24+SUM(N25:Q25)-SUM(I25:M25)</f>
        <v/>
      </c>
      <c r="S25" s="71" t="n"/>
      <c r="T25" s="1007" t="n"/>
      <c r="U25" s="1016" t="n"/>
      <c r="V25" s="1009" t="n"/>
      <c r="W25" s="1010" t="n"/>
      <c r="X25" s="1011" t="n"/>
      <c r="Y25" s="1011" t="n"/>
      <c r="Z25" s="1012" t="n"/>
      <c r="AA25" s="1013" t="n"/>
      <c r="AB25" s="1009" t="n"/>
      <c r="AC25" s="1010" t="n"/>
      <c r="AD25" s="1011" t="n"/>
      <c r="AE25" s="1011" t="n"/>
      <c r="AF25" s="1011" t="n"/>
      <c r="AG25" s="1011" t="n"/>
      <c r="AH25" s="1011" t="n"/>
      <c r="AI25" s="1011" t="n"/>
      <c r="AJ25" s="1014" t="n"/>
      <c r="AK25" s="1015" t="n"/>
      <c r="AL25" s="1011" t="n"/>
      <c r="AM25" s="1011" t="n"/>
      <c r="AN25" s="1011" t="n"/>
      <c r="AO25" s="1011" t="n"/>
      <c r="AP25" s="1011" t="n"/>
      <c r="AQ25" s="1011" t="n"/>
      <c r="AR25" s="1011" t="n"/>
      <c r="AS25" s="1013" t="n"/>
      <c r="AT25" s="1010" t="n"/>
      <c r="AU25" s="1014" t="n"/>
      <c r="AV25" s="1015" t="n"/>
      <c r="AW25" s="1018" t="n"/>
      <c r="AX25" s="1011" t="n"/>
      <c r="AY25" s="1011" t="n"/>
      <c r="AZ25" s="1013" t="n"/>
      <c r="BA25" s="1010" t="n"/>
      <c r="BB25" s="1011" t="n"/>
      <c r="BC25" s="1011" t="n"/>
      <c r="BD25" s="1013" t="n"/>
      <c r="BE25" s="936">
        <f>I25-SUM(AB25:BD25)</f>
        <v/>
      </c>
    </row>
    <row r="26">
      <c r="A26" s="61" t="n"/>
      <c r="B26" s="40" t="n"/>
      <c r="C26" s="1000">
        <f>SUM(AB26:AJ26)</f>
        <v/>
      </c>
      <c r="D26" s="1001">
        <f>SUM(AK26:AS26)</f>
        <v/>
      </c>
      <c r="E26" s="1001">
        <f>SUM(AT26:AU26)</f>
        <v/>
      </c>
      <c r="F26" s="1001">
        <f>SUM(AV26:AZ26)</f>
        <v/>
      </c>
      <c r="G26" s="1001">
        <f>SUM(BA26:BD26)</f>
        <v/>
      </c>
      <c r="H26" s="1001">
        <f>SUM(V26:AA26)</f>
        <v/>
      </c>
      <c r="I26" s="1002">
        <f>SUM(C26:H26)</f>
        <v/>
      </c>
      <c r="J26" s="1003" t="n"/>
      <c r="K26" s="1003" t="n"/>
      <c r="L26" s="1017" t="n"/>
      <c r="M26" s="1005" t="n"/>
      <c r="N26" s="1006" t="n"/>
      <c r="O26" s="1000" t="n"/>
      <c r="P26" s="1007" t="n"/>
      <c r="Q26" s="1008" t="n"/>
      <c r="R26" s="990">
        <f>R25+SUM(N26:Q26)-SUM(I26:M26)</f>
        <v/>
      </c>
      <c r="S26" s="71" t="n"/>
      <c r="T26" s="1019" t="n"/>
      <c r="U26" s="1016" t="n"/>
      <c r="V26" s="1009" t="n"/>
      <c r="W26" s="1010" t="n"/>
      <c r="X26" s="1011" t="n"/>
      <c r="Y26" s="1011" t="n"/>
      <c r="Z26" s="1012" t="n"/>
      <c r="AA26" s="1013" t="n"/>
      <c r="AB26" s="1009" t="n"/>
      <c r="AC26" s="1010" t="n"/>
      <c r="AD26" s="1011" t="n"/>
      <c r="AE26" s="1011" t="n"/>
      <c r="AF26" s="1011" t="n"/>
      <c r="AG26" s="1011" t="n"/>
      <c r="AH26" s="1011" t="n"/>
      <c r="AI26" s="1011" t="n"/>
      <c r="AJ26" s="1014" t="n"/>
      <c r="AK26" s="1015" t="n"/>
      <c r="AL26" s="1011" t="n"/>
      <c r="AM26" s="1011" t="n"/>
      <c r="AN26" s="1011" t="n"/>
      <c r="AO26" s="1011" t="n"/>
      <c r="AP26" s="1011" t="n"/>
      <c r="AQ26" s="1011" t="n"/>
      <c r="AR26" s="1011" t="n"/>
      <c r="AS26" s="1013" t="n"/>
      <c r="AT26" s="1010" t="n"/>
      <c r="AU26" s="1014" t="n"/>
      <c r="AV26" s="1015" t="n"/>
      <c r="AW26" s="1018" t="n"/>
      <c r="AX26" s="1011" t="n"/>
      <c r="AY26" s="1011" t="n"/>
      <c r="AZ26" s="1013" t="n"/>
      <c r="BA26" s="1010" t="n"/>
      <c r="BB26" s="1011" t="n"/>
      <c r="BC26" s="1011" t="n"/>
      <c r="BD26" s="1013" t="n"/>
      <c r="BE26" s="936">
        <f>I26-SUM(AB26:BD26)</f>
        <v/>
      </c>
    </row>
    <row r="27">
      <c r="A27" s="61" t="n"/>
      <c r="B27" s="40" t="n"/>
      <c r="C27" s="1000">
        <f>SUM(AB27:AJ27)</f>
        <v/>
      </c>
      <c r="D27" s="1001">
        <f>SUM(AK27:AS27)</f>
        <v/>
      </c>
      <c r="E27" s="1001">
        <f>SUM(AT27:AU27)</f>
        <v/>
      </c>
      <c r="F27" s="1001">
        <f>SUM(AV27:AZ27)</f>
        <v/>
      </c>
      <c r="G27" s="1001">
        <f>SUM(BA27:BD27)</f>
        <v/>
      </c>
      <c r="H27" s="1001">
        <f>SUM(V27:AA27)</f>
        <v/>
      </c>
      <c r="I27" s="1002">
        <f>SUM(C27:H27)</f>
        <v/>
      </c>
      <c r="J27" s="1003" t="n"/>
      <c r="K27" s="1003" t="n"/>
      <c r="L27" s="1017" t="n"/>
      <c r="M27" s="1005" t="n"/>
      <c r="N27" s="1006" t="n"/>
      <c r="O27" s="1000" t="n"/>
      <c r="P27" s="1007" t="n"/>
      <c r="Q27" s="1008" t="n"/>
      <c r="R27" s="990">
        <f>R26+SUM(N27:Q27)-SUM(I27:M27)</f>
        <v/>
      </c>
      <c r="S27" s="71" t="n"/>
      <c r="T27" s="86" t="n"/>
      <c r="U27" s="1016" t="n"/>
      <c r="V27" s="1009" t="n"/>
      <c r="W27" s="1010" t="n"/>
      <c r="X27" s="1011" t="n"/>
      <c r="Y27" s="1011" t="n"/>
      <c r="Z27" s="1012" t="n"/>
      <c r="AA27" s="1013" t="n"/>
      <c r="AB27" s="1009" t="n"/>
      <c r="AC27" s="1010" t="n"/>
      <c r="AD27" s="1011" t="n"/>
      <c r="AE27" s="1011" t="n"/>
      <c r="AF27" s="1011" t="n"/>
      <c r="AG27" s="1011" t="n"/>
      <c r="AH27" s="1011" t="n"/>
      <c r="AI27" s="1011" t="n"/>
      <c r="AJ27" s="1014" t="n"/>
      <c r="AK27" s="1015" t="n"/>
      <c r="AL27" s="1011" t="n"/>
      <c r="AM27" s="1011" t="n"/>
      <c r="AN27" s="1011" t="n"/>
      <c r="AO27" s="1011" t="n"/>
      <c r="AP27" s="1011" t="n"/>
      <c r="AQ27" s="1011" t="n"/>
      <c r="AR27" s="1011" t="n"/>
      <c r="AS27" s="1013" t="n"/>
      <c r="AT27" s="1010" t="n"/>
      <c r="AU27" s="1014" t="n"/>
      <c r="AV27" s="1015" t="n"/>
      <c r="AW27" s="1011" t="n"/>
      <c r="AX27" s="1011" t="n"/>
      <c r="AY27" s="1011" t="n"/>
      <c r="AZ27" s="1013" t="n"/>
      <c r="BA27" s="1010" t="n"/>
      <c r="BB27" s="1011" t="n"/>
      <c r="BC27" s="1011" t="n"/>
      <c r="BD27" s="1013" t="n"/>
      <c r="BE27" s="936">
        <f>I27-SUM(AB27:BD27)</f>
        <v/>
      </c>
    </row>
    <row r="28">
      <c r="A28" s="61" t="n"/>
      <c r="B28" s="40" t="n"/>
      <c r="C28" s="1000">
        <f>SUM(AB28:AJ28)</f>
        <v/>
      </c>
      <c r="D28" s="1001">
        <f>SUM(AK28:AS28)</f>
        <v/>
      </c>
      <c r="E28" s="1001">
        <f>SUM(AT28:AU28)</f>
        <v/>
      </c>
      <c r="F28" s="1001">
        <f>SUM(AV28:AZ28)</f>
        <v/>
      </c>
      <c r="G28" s="1001">
        <f>SUM(BA28:BD28)</f>
        <v/>
      </c>
      <c r="H28" s="1001">
        <f>SUM(V28:AA28)</f>
        <v/>
      </c>
      <c r="I28" s="1002">
        <f>SUM(C28:H28)</f>
        <v/>
      </c>
      <c r="J28" s="1003" t="n"/>
      <c r="K28" s="1003" t="n"/>
      <c r="L28" s="1017" t="n"/>
      <c r="M28" s="1005" t="n"/>
      <c r="N28" s="1006" t="n"/>
      <c r="O28" s="1000" t="n"/>
      <c r="P28" s="1007" t="n"/>
      <c r="Q28" s="1008" t="n"/>
      <c r="R28" s="990">
        <f>R27+SUM(N28:Q28)-SUM(I28:M28)</f>
        <v/>
      </c>
      <c r="S28" s="71" t="n"/>
      <c r="T28" s="1007" t="n"/>
      <c r="U28" s="1016" t="n"/>
      <c r="V28" s="1009" t="n"/>
      <c r="W28" s="1010" t="n"/>
      <c r="X28" s="1011" t="n"/>
      <c r="Y28" s="1011" t="n"/>
      <c r="Z28" s="1012" t="n"/>
      <c r="AA28" s="1013" t="n"/>
      <c r="AB28" s="1009" t="n"/>
      <c r="AC28" s="1010" t="n"/>
      <c r="AD28" s="1011" t="n"/>
      <c r="AE28" s="1011" t="n"/>
      <c r="AF28" s="1011" t="n"/>
      <c r="AG28" s="1011" t="n"/>
      <c r="AH28" s="1011" t="n"/>
      <c r="AI28" s="1011" t="n"/>
      <c r="AJ28" s="1014" t="n"/>
      <c r="AK28" s="1015" t="n"/>
      <c r="AL28" s="1011" t="n"/>
      <c r="AM28" s="1011" t="n"/>
      <c r="AN28" s="1011" t="n"/>
      <c r="AO28" s="1011" t="n"/>
      <c r="AP28" s="1011" t="n"/>
      <c r="AQ28" s="1011" t="n"/>
      <c r="AR28" s="1011" t="n"/>
      <c r="AS28" s="1013" t="n"/>
      <c r="AT28" s="1010" t="n"/>
      <c r="AU28" s="1014" t="n"/>
      <c r="AV28" s="1015" t="n"/>
      <c r="AW28" s="1011" t="n"/>
      <c r="AX28" s="1011" t="n"/>
      <c r="AY28" s="1011" t="n"/>
      <c r="AZ28" s="1013" t="n"/>
      <c r="BA28" s="1010" t="n"/>
      <c r="BB28" s="1011" t="n"/>
      <c r="BC28" s="1011" t="n"/>
      <c r="BD28" s="1013" t="n"/>
      <c r="BE28" s="936">
        <f>I28-SUM(AB28:BD28)</f>
        <v/>
      </c>
    </row>
    <row r="29">
      <c r="A29" s="61" t="n"/>
      <c r="B29" s="40" t="n"/>
      <c r="C29" s="1000">
        <f>SUM(AB29:AJ29)</f>
        <v/>
      </c>
      <c r="D29" s="1001">
        <f>SUM(AK29:AS29)</f>
        <v/>
      </c>
      <c r="E29" s="1001">
        <f>SUM(AT29:AU29)</f>
        <v/>
      </c>
      <c r="F29" s="1001">
        <f>SUM(AV29:AZ29)</f>
        <v/>
      </c>
      <c r="G29" s="1001">
        <f>SUM(BA29:BD29)</f>
        <v/>
      </c>
      <c r="H29" s="1001">
        <f>SUM(V29:AA29)</f>
        <v/>
      </c>
      <c r="I29" s="1002">
        <f>SUM(C29:H29)</f>
        <v/>
      </c>
      <c r="J29" s="1003" t="n"/>
      <c r="K29" s="1003" t="n"/>
      <c r="L29" s="1017" t="n"/>
      <c r="M29" s="1005" t="n"/>
      <c r="N29" s="1006" t="n"/>
      <c r="O29" s="1000" t="n"/>
      <c r="P29" s="1007" t="n"/>
      <c r="Q29" s="1008" t="n"/>
      <c r="R29" s="990">
        <f>R28+SUM(N29:Q29)-SUM(I29:M29)</f>
        <v/>
      </c>
      <c r="S29" s="71" t="n"/>
      <c r="T29" s="86" t="n"/>
      <c r="U29" s="72" t="n"/>
      <c r="V29" s="1009" t="n"/>
      <c r="W29" s="1010" t="n"/>
      <c r="X29" s="1011" t="n"/>
      <c r="Y29" s="1011" t="n"/>
      <c r="Z29" s="1012" t="n"/>
      <c r="AA29" s="1013" t="n"/>
      <c r="AB29" s="1009" t="n"/>
      <c r="AC29" s="1010" t="n"/>
      <c r="AD29" s="1011" t="n"/>
      <c r="AE29" s="1011" t="n"/>
      <c r="AF29" s="1011" t="n"/>
      <c r="AG29" s="1011" t="n"/>
      <c r="AH29" s="1011" t="n"/>
      <c r="AI29" s="1011" t="n"/>
      <c r="AJ29" s="1014" t="n"/>
      <c r="AK29" s="1015" t="n"/>
      <c r="AL29" s="1011" t="n"/>
      <c r="AM29" s="1011" t="n"/>
      <c r="AN29" s="1011" t="n"/>
      <c r="AO29" s="1011" t="n"/>
      <c r="AP29" s="1011" t="n"/>
      <c r="AQ29" s="1011" t="n"/>
      <c r="AR29" s="1011" t="n"/>
      <c r="AS29" s="1013" t="n"/>
      <c r="AT29" s="1010" t="n"/>
      <c r="AU29" s="1014" t="n"/>
      <c r="AV29" s="1015" t="n"/>
      <c r="AW29" s="1011" t="n"/>
      <c r="AX29" s="1011" t="n"/>
      <c r="AY29" s="1011" t="n"/>
      <c r="AZ29" s="1013" t="n"/>
      <c r="BA29" s="1010" t="n"/>
      <c r="BB29" s="1011" t="n"/>
      <c r="BC29" s="1011" t="n"/>
      <c r="BD29" s="1013" t="n"/>
      <c r="BE29" s="936">
        <f>I29-SUM(AB29:BD29)</f>
        <v/>
      </c>
    </row>
    <row r="30">
      <c r="A30" s="61" t="n"/>
      <c r="B30" s="40" t="n"/>
      <c r="C30" s="1000">
        <f>SUM(AB30:AJ30)</f>
        <v/>
      </c>
      <c r="D30" s="1001">
        <f>SUM(AK30:AS30)</f>
        <v/>
      </c>
      <c r="E30" s="1001">
        <f>SUM(AT30:AU30)</f>
        <v/>
      </c>
      <c r="F30" s="1001">
        <f>SUM(AV30:AZ30)</f>
        <v/>
      </c>
      <c r="G30" s="1001">
        <f>SUM(BA30:BD30)</f>
        <v/>
      </c>
      <c r="H30" s="1001">
        <f>SUM(V30:AA30)</f>
        <v/>
      </c>
      <c r="I30" s="1002">
        <f>SUM(C30:H30)</f>
        <v/>
      </c>
      <c r="J30" s="1003" t="n"/>
      <c r="K30" s="1003" t="n"/>
      <c r="L30" s="1017" t="n"/>
      <c r="M30" s="1005" t="n"/>
      <c r="N30" s="1006" t="n"/>
      <c r="O30" s="1000" t="n"/>
      <c r="P30" s="1007" t="n"/>
      <c r="Q30" s="1008" t="n"/>
      <c r="R30" s="990">
        <f>R29+SUM(N30:Q30)-SUM(I30:M30)</f>
        <v/>
      </c>
      <c r="S30" s="71" t="n"/>
      <c r="T30" s="1007" t="n"/>
      <c r="U30" s="1016" t="n"/>
      <c r="V30" s="1009" t="n"/>
      <c r="W30" s="1010" t="n"/>
      <c r="X30" s="1011" t="n"/>
      <c r="Y30" s="1011" t="n"/>
      <c r="Z30" s="1012" t="n"/>
      <c r="AA30" s="1013" t="n"/>
      <c r="AB30" s="1009" t="n"/>
      <c r="AC30" s="1010" t="n"/>
      <c r="AD30" s="1011" t="n"/>
      <c r="AE30" s="1011" t="n"/>
      <c r="AF30" s="1011" t="n"/>
      <c r="AG30" s="1011" t="n"/>
      <c r="AH30" s="1011" t="n"/>
      <c r="AI30" s="1011" t="n"/>
      <c r="AJ30" s="1014" t="n"/>
      <c r="AK30" s="1015" t="n"/>
      <c r="AL30" s="1011" t="n"/>
      <c r="AM30" s="1011" t="n"/>
      <c r="AN30" s="1011" t="n"/>
      <c r="AO30" s="1011" t="n"/>
      <c r="AP30" s="1011" t="n"/>
      <c r="AQ30" s="1011" t="n"/>
      <c r="AR30" s="1011" t="n"/>
      <c r="AS30" s="1013" t="n"/>
      <c r="AT30" s="1010" t="n"/>
      <c r="AU30" s="1014" t="n"/>
      <c r="AV30" s="1015" t="n"/>
      <c r="AW30" s="1011" t="n"/>
      <c r="AX30" s="1011" t="n"/>
      <c r="AY30" s="1011" t="n"/>
      <c r="AZ30" s="1013" t="n"/>
      <c r="BA30" s="1010" t="n"/>
      <c r="BB30" s="1011" t="n"/>
      <c r="BC30" s="1011" t="n"/>
      <c r="BD30" s="1013" t="n"/>
      <c r="BE30" s="936">
        <f>I30-SUM(AB30:BD30)</f>
        <v/>
      </c>
    </row>
    <row r="31">
      <c r="A31" s="61" t="n"/>
      <c r="B31" s="40" t="n"/>
      <c r="C31" s="1000">
        <f>SUM(AB31:AJ31)</f>
        <v/>
      </c>
      <c r="D31" s="1001">
        <f>SUM(AK31:AS31)</f>
        <v/>
      </c>
      <c r="E31" s="1001">
        <f>SUM(AT31:AU31)</f>
        <v/>
      </c>
      <c r="F31" s="1001">
        <f>SUM(AV31:AZ31)</f>
        <v/>
      </c>
      <c r="G31" s="1001">
        <f>SUM(BA31:BD31)</f>
        <v/>
      </c>
      <c r="H31" s="1001">
        <f>SUM(V31:AA31)</f>
        <v/>
      </c>
      <c r="I31" s="1002">
        <f>SUM(C31:H31)</f>
        <v/>
      </c>
      <c r="J31" s="1003" t="n"/>
      <c r="K31" s="1003" t="n"/>
      <c r="L31" s="1017" t="n"/>
      <c r="M31" s="1005" t="n"/>
      <c r="N31" s="1006" t="n"/>
      <c r="O31" s="1000" t="n"/>
      <c r="P31" s="1007" t="n"/>
      <c r="Q31" s="1008" t="n"/>
      <c r="R31" s="990">
        <f>R30+SUM(N31:Q31)-SUM(I31:M31)</f>
        <v/>
      </c>
      <c r="S31" s="71" t="n"/>
      <c r="T31" s="1007" t="n"/>
      <c r="U31" s="1016" t="n"/>
      <c r="V31" s="1009" t="n"/>
      <c r="W31" s="1010" t="n"/>
      <c r="X31" s="1011" t="n"/>
      <c r="Y31" s="1011" t="n"/>
      <c r="Z31" s="1012" t="n"/>
      <c r="AA31" s="1013" t="n"/>
      <c r="AB31" s="1020" t="n"/>
      <c r="AC31" s="1021" t="n"/>
      <c r="AD31" s="1022" t="n"/>
      <c r="AE31" s="1022" t="n"/>
      <c r="AF31" s="1022" t="n"/>
      <c r="AG31" s="1022" t="n"/>
      <c r="AH31" s="1022" t="n"/>
      <c r="AI31" s="1022" t="n"/>
      <c r="AJ31" s="1023" t="n"/>
      <c r="AK31" s="1015" t="n"/>
      <c r="AL31" s="1011" t="n"/>
      <c r="AM31" s="1011" t="n"/>
      <c r="AN31" s="1011" t="n"/>
      <c r="AO31" s="1011" t="n"/>
      <c r="AP31" s="1011" t="n"/>
      <c r="AQ31" s="1011" t="n"/>
      <c r="AR31" s="1011" t="n"/>
      <c r="AS31" s="1013" t="n"/>
      <c r="AT31" s="1010" t="n"/>
      <c r="AU31" s="1014" t="n"/>
      <c r="AV31" s="1015" t="n"/>
      <c r="AW31" s="1011" t="n"/>
      <c r="AX31" s="1011" t="n"/>
      <c r="AY31" s="1011" t="n"/>
      <c r="AZ31" s="1013" t="n"/>
      <c r="BA31" s="1010" t="n"/>
      <c r="BB31" s="1011" t="n"/>
      <c r="BC31" s="1011" t="n"/>
      <c r="BD31" s="1013" t="n"/>
      <c r="BE31" s="936">
        <f>I31-SUM(AB31:BD31)</f>
        <v/>
      </c>
    </row>
    <row r="32">
      <c r="A32" s="61" t="n"/>
      <c r="B32" s="40" t="n"/>
      <c r="C32" s="1000">
        <f>SUM(AB32:AJ32)</f>
        <v/>
      </c>
      <c r="D32" s="1001">
        <f>SUM(AK32:AS32)</f>
        <v/>
      </c>
      <c r="E32" s="1001">
        <f>SUM(AT32:AU32)</f>
        <v/>
      </c>
      <c r="F32" s="1001">
        <f>SUM(AV32:AZ32)</f>
        <v/>
      </c>
      <c r="G32" s="1001">
        <f>SUM(BA32:BD32)</f>
        <v/>
      </c>
      <c r="H32" s="1001">
        <f>SUM(V32:AA32)</f>
        <v/>
      </c>
      <c r="I32" s="1002">
        <f>SUM(C32:H32)</f>
        <v/>
      </c>
      <c r="J32" s="1003" t="n"/>
      <c r="K32" s="1003" t="n"/>
      <c r="L32" s="1017" t="n"/>
      <c r="M32" s="1005" t="n"/>
      <c r="N32" s="1006" t="n"/>
      <c r="O32" s="1000" t="n"/>
      <c r="P32" s="1007" t="n"/>
      <c r="Q32" s="1008" t="n"/>
      <c r="R32" s="990">
        <f>R31+SUM(N32:Q32)-SUM(I32:M32)</f>
        <v/>
      </c>
      <c r="S32" s="71" t="n"/>
      <c r="T32" s="86" t="n"/>
      <c r="U32" s="1016" t="n"/>
      <c r="V32" s="1009" t="n"/>
      <c r="W32" s="1010" t="n"/>
      <c r="X32" s="1011" t="n"/>
      <c r="Y32" s="1011" t="n"/>
      <c r="Z32" s="1012" t="n"/>
      <c r="AA32" s="1013" t="n"/>
      <c r="AB32" s="1020" t="n"/>
      <c r="AC32" s="1021" t="n"/>
      <c r="AD32" s="1022" t="n"/>
      <c r="AE32" s="1022" t="n"/>
      <c r="AF32" s="1022" t="n"/>
      <c r="AG32" s="1022" t="n"/>
      <c r="AH32" s="1022" t="n"/>
      <c r="AI32" s="1022" t="n"/>
      <c r="AJ32" s="1023" t="n"/>
      <c r="AK32" s="1015" t="n"/>
      <c r="AL32" s="1011" t="n"/>
      <c r="AM32" s="1011" t="n"/>
      <c r="AN32" s="1011" t="n"/>
      <c r="AO32" s="1011" t="n"/>
      <c r="AP32" s="1011" t="n"/>
      <c r="AQ32" s="1011" t="n"/>
      <c r="AR32" s="1011" t="n"/>
      <c r="AS32" s="1013" t="n"/>
      <c r="AT32" s="1010" t="n"/>
      <c r="AU32" s="1014" t="n"/>
      <c r="AV32" s="1015" t="n"/>
      <c r="AW32" s="1011" t="n"/>
      <c r="AX32" s="1011" t="n"/>
      <c r="AY32" s="1011" t="n"/>
      <c r="AZ32" s="1013" t="n"/>
      <c r="BA32" s="1010" t="n"/>
      <c r="BB32" s="1011" t="n"/>
      <c r="BC32" s="1011" t="n"/>
      <c r="BD32" s="1013" t="n"/>
      <c r="BE32" s="936">
        <f>I32-SUM(AB32:BD32)</f>
        <v/>
      </c>
    </row>
    <row r="33">
      <c r="A33" s="61" t="n"/>
      <c r="B33" s="40" t="n"/>
      <c r="C33" s="1000">
        <f>SUM(AB33:AJ33)</f>
        <v/>
      </c>
      <c r="D33" s="1001">
        <f>SUM(AK33:AS33)</f>
        <v/>
      </c>
      <c r="E33" s="1001">
        <f>SUM(AT33:AU33)</f>
        <v/>
      </c>
      <c r="F33" s="1001">
        <f>SUM(AV33:AZ33)</f>
        <v/>
      </c>
      <c r="G33" s="1001">
        <f>SUM(BA33:BD33)</f>
        <v/>
      </c>
      <c r="H33" s="1001">
        <f>SUM(V33:AA33)</f>
        <v/>
      </c>
      <c r="I33" s="1002">
        <f>SUM(C33:H33)</f>
        <v/>
      </c>
      <c r="J33" s="1003" t="n"/>
      <c r="K33" s="1003" t="n"/>
      <c r="L33" s="1017" t="n"/>
      <c r="M33" s="1005" t="n"/>
      <c r="N33" s="1006" t="n"/>
      <c r="O33" s="1000" t="n"/>
      <c r="P33" s="1007" t="n"/>
      <c r="Q33" s="1008" t="n"/>
      <c r="R33" s="990">
        <f>R32+SUM(N33:Q33)-SUM(I33:M33)</f>
        <v/>
      </c>
      <c r="S33" s="71" t="n"/>
      <c r="T33" s="86" t="n"/>
      <c r="U33" s="1016" t="n"/>
      <c r="V33" s="1009" t="n"/>
      <c r="W33" s="1010" t="n"/>
      <c r="X33" s="1011" t="n"/>
      <c r="Y33" s="1011" t="n"/>
      <c r="Z33" s="1012" t="n"/>
      <c r="AA33" s="1013" t="n"/>
      <c r="AB33" s="1020" t="n"/>
      <c r="AC33" s="1021" t="n"/>
      <c r="AD33" s="1022" t="n"/>
      <c r="AE33" s="1022" t="n"/>
      <c r="AF33" s="1022" t="n"/>
      <c r="AG33" s="1022" t="n"/>
      <c r="AH33" s="1022" t="n"/>
      <c r="AI33" s="1022" t="n"/>
      <c r="AJ33" s="1023" t="n"/>
      <c r="AK33" s="1015" t="n"/>
      <c r="AL33" s="1011" t="n"/>
      <c r="AM33" s="1011" t="n"/>
      <c r="AN33" s="1011" t="n"/>
      <c r="AO33" s="1011" t="n"/>
      <c r="AP33" s="1011" t="n"/>
      <c r="AQ33" s="1011" t="n"/>
      <c r="AR33" s="1011" t="n"/>
      <c r="AS33" s="1013" t="n"/>
      <c r="AT33" s="1010" t="n"/>
      <c r="AU33" s="1014" t="n"/>
      <c r="AV33" s="1015" t="n"/>
      <c r="AW33" s="1011" t="n"/>
      <c r="AX33" s="1011" t="n"/>
      <c r="AY33" s="1011" t="n"/>
      <c r="AZ33" s="1013" t="n"/>
      <c r="BA33" s="1010" t="n"/>
      <c r="BB33" s="1011" t="n"/>
      <c r="BC33" s="1011" t="n"/>
      <c r="BD33" s="1013" t="n"/>
      <c r="BE33" s="936">
        <f>I33-SUM(AB33:BD33)</f>
        <v/>
      </c>
    </row>
    <row r="34">
      <c r="A34" s="61" t="n"/>
      <c r="B34" s="40" t="n"/>
      <c r="C34" s="1000">
        <f>SUM(AB34:AJ34)</f>
        <v/>
      </c>
      <c r="D34" s="1001">
        <f>SUM(AK34:AS34)</f>
        <v/>
      </c>
      <c r="E34" s="1001">
        <f>SUM(AT34:AU34)</f>
        <v/>
      </c>
      <c r="F34" s="1001">
        <f>SUM(AV34:AZ34)</f>
        <v/>
      </c>
      <c r="G34" s="1001">
        <f>SUM(BA34:BD34)</f>
        <v/>
      </c>
      <c r="H34" s="1001">
        <f>SUM(V34:AA34)</f>
        <v/>
      </c>
      <c r="I34" s="1002">
        <f>SUM(C34:H34)</f>
        <v/>
      </c>
      <c r="J34" s="1003" t="n"/>
      <c r="K34" s="1003" t="n"/>
      <c r="L34" s="1017" t="n"/>
      <c r="M34" s="1005" t="n"/>
      <c r="N34" s="1006" t="n"/>
      <c r="O34" s="1000" t="n"/>
      <c r="P34" s="1007" t="n"/>
      <c r="Q34" s="1008" t="n"/>
      <c r="R34" s="990">
        <f>R33+SUM(N34:Q34)-SUM(I34:M34)</f>
        <v/>
      </c>
      <c r="S34" s="71" t="n"/>
      <c r="T34" s="86" t="n"/>
      <c r="U34" s="1016" t="n"/>
      <c r="V34" s="1009" t="n"/>
      <c r="W34" s="1010" t="n"/>
      <c r="X34" s="1011" t="n"/>
      <c r="Y34" s="1011" t="n"/>
      <c r="Z34" s="1012" t="n"/>
      <c r="AA34" s="1013" t="n"/>
      <c r="AB34" s="1009" t="n"/>
      <c r="AC34" s="1010" t="n"/>
      <c r="AD34" s="1011" t="n"/>
      <c r="AE34" s="1011" t="n"/>
      <c r="AF34" s="1011" t="n"/>
      <c r="AG34" s="1011" t="n"/>
      <c r="AH34" s="1011" t="n"/>
      <c r="AI34" s="1011" t="n"/>
      <c r="AJ34" s="1014" t="n"/>
      <c r="AK34" s="1015" t="n"/>
      <c r="AL34" s="1011" t="n"/>
      <c r="AM34" s="1011" t="n"/>
      <c r="AN34" s="1011" t="n"/>
      <c r="AO34" s="1011" t="n"/>
      <c r="AP34" s="1011" t="n"/>
      <c r="AQ34" s="1011" t="n"/>
      <c r="AR34" s="1011" t="n"/>
      <c r="AS34" s="1013" t="n"/>
      <c r="AT34" s="1010" t="n"/>
      <c r="AU34" s="1014" t="n"/>
      <c r="AV34" s="1015" t="n"/>
      <c r="AW34" s="1011" t="n"/>
      <c r="AX34" s="1011" t="n"/>
      <c r="AY34" s="1011" t="n"/>
      <c r="AZ34" s="1013" t="n"/>
      <c r="BA34" s="1010" t="n"/>
      <c r="BB34" s="1011" t="n"/>
      <c r="BC34" s="1011" t="n"/>
      <c r="BD34" s="1013" t="n"/>
      <c r="BE34" s="936">
        <f>I34-SUM(AB34:BD34)</f>
        <v/>
      </c>
    </row>
    <row r="35" ht="19.5" customHeight="1">
      <c r="A35" s="61" t="n"/>
      <c r="B35" s="40" t="n"/>
      <c r="C35" s="1000">
        <f>SUM(AB35:AJ35)</f>
        <v/>
      </c>
      <c r="D35" s="1001">
        <f>SUM(AK35:AS35)</f>
        <v/>
      </c>
      <c r="E35" s="1001">
        <f>SUM(AT35:AU35)</f>
        <v/>
      </c>
      <c r="F35" s="1001">
        <f>SUM(AV35:AZ35)</f>
        <v/>
      </c>
      <c r="G35" s="1001">
        <f>SUM(BA35:BD35)</f>
        <v/>
      </c>
      <c r="H35" s="1001">
        <f>SUM(V35:AA35)</f>
        <v/>
      </c>
      <c r="I35" s="1002">
        <f>SUM(C35:H35)</f>
        <v/>
      </c>
      <c r="J35" s="1003" t="n"/>
      <c r="K35" s="1003" t="n"/>
      <c r="L35" s="1017" t="n"/>
      <c r="M35" s="1005" t="n"/>
      <c r="N35" s="1006" t="n"/>
      <c r="O35" s="1000" t="n"/>
      <c r="P35" s="1007" t="n"/>
      <c r="Q35" s="1008" t="n"/>
      <c r="R35" s="990">
        <f>R34+SUM(N35:Q35)-SUM(I35:M35)</f>
        <v/>
      </c>
      <c r="S35" s="71" t="n"/>
      <c r="T35" s="86" t="n"/>
      <c r="U35" s="1016" t="n"/>
      <c r="V35" s="1009" t="n"/>
      <c r="W35" s="1010" t="n"/>
      <c r="X35" s="1011" t="n"/>
      <c r="Y35" s="1011" t="n"/>
      <c r="Z35" s="1012" t="n"/>
      <c r="AA35" s="1013" t="n"/>
      <c r="AB35" s="1020" t="n"/>
      <c r="AC35" s="1021" t="n"/>
      <c r="AD35" s="1022" t="n"/>
      <c r="AE35" s="1022" t="n"/>
      <c r="AF35" s="1022" t="n"/>
      <c r="AG35" s="1022" t="n"/>
      <c r="AH35" s="1022" t="n"/>
      <c r="AI35" s="1022" t="n"/>
      <c r="AJ35" s="1023" t="n"/>
      <c r="AK35" s="1015" t="n"/>
      <c r="AL35" s="1011" t="n"/>
      <c r="AM35" s="1011" t="n"/>
      <c r="AN35" s="1011" t="n"/>
      <c r="AO35" s="1011" t="n"/>
      <c r="AP35" s="1011" t="n"/>
      <c r="AQ35" s="1011" t="n"/>
      <c r="AR35" s="1011" t="n"/>
      <c r="AS35" s="1013" t="n"/>
      <c r="AT35" s="1010" t="n"/>
      <c r="AU35" s="1014" t="n"/>
      <c r="AV35" s="1015" t="n"/>
      <c r="AW35" s="1011" t="n"/>
      <c r="AX35" s="1011" t="n"/>
      <c r="AY35" s="1011" t="n"/>
      <c r="AZ35" s="1013" t="n"/>
      <c r="BA35" s="1010" t="n"/>
      <c r="BB35" s="1011" t="n"/>
      <c r="BC35" s="1011" t="n"/>
      <c r="BD35" s="1013" t="n"/>
      <c r="BE35" s="936">
        <f>I35-SUM(AB35:BD35)</f>
        <v/>
      </c>
    </row>
    <row r="36">
      <c r="A36" s="61" t="n"/>
      <c r="B36" s="40" t="n"/>
      <c r="C36" s="1000">
        <f>SUM(AB36:AJ36)</f>
        <v/>
      </c>
      <c r="D36" s="1001">
        <f>SUM(AK36:AS36)</f>
        <v/>
      </c>
      <c r="E36" s="1001">
        <f>SUM(AT36:AU36)</f>
        <v/>
      </c>
      <c r="F36" s="1001">
        <f>SUM(AV36:AZ36)</f>
        <v/>
      </c>
      <c r="G36" s="1001">
        <f>SUM(BA36:BD36)</f>
        <v/>
      </c>
      <c r="H36" s="1001">
        <f>SUM(V36:AA36)</f>
        <v/>
      </c>
      <c r="I36" s="1002">
        <f>SUM(C36:H36)</f>
        <v/>
      </c>
      <c r="J36" s="1003" t="n"/>
      <c r="K36" s="1003" t="n"/>
      <c r="L36" s="1017" t="n"/>
      <c r="M36" s="1005" t="n"/>
      <c r="N36" s="1006" t="n"/>
      <c r="O36" s="1000" t="n"/>
      <c r="P36" s="1007" t="n"/>
      <c r="Q36" s="1008" t="n"/>
      <c r="R36" s="990">
        <f>R35+SUM(N36:Q36)-SUM(I36:M36)</f>
        <v/>
      </c>
      <c r="S36" s="71" t="n"/>
      <c r="T36" s="86" t="n"/>
      <c r="U36" s="1016" t="n"/>
      <c r="V36" s="1009" t="n"/>
      <c r="W36" s="1010" t="n"/>
      <c r="X36" s="1011" t="n"/>
      <c r="Y36" s="1011" t="n"/>
      <c r="Z36" s="1012" t="n"/>
      <c r="AA36" s="1013" t="n"/>
      <c r="AB36" s="1009" t="n"/>
      <c r="AC36" s="1010" t="n"/>
      <c r="AD36" s="1011" t="n"/>
      <c r="AE36" s="1011" t="n"/>
      <c r="AF36" s="1011" t="n"/>
      <c r="AG36" s="1011" t="n"/>
      <c r="AH36" s="1011" t="n"/>
      <c r="AI36" s="1011" t="n"/>
      <c r="AJ36" s="1014" t="n"/>
      <c r="AK36" s="1015" t="n"/>
      <c r="AL36" s="1011" t="n"/>
      <c r="AM36" s="1011" t="n"/>
      <c r="AN36" s="1011" t="n"/>
      <c r="AO36" s="1011" t="n"/>
      <c r="AP36" s="1011" t="n"/>
      <c r="AQ36" s="1011" t="n"/>
      <c r="AR36" s="1011" t="n"/>
      <c r="AS36" s="1013" t="n"/>
      <c r="AT36" s="1010" t="n"/>
      <c r="AU36" s="1014" t="n"/>
      <c r="AV36" s="1015" t="n"/>
      <c r="AW36" s="1011" t="n"/>
      <c r="AX36" s="1011" t="n"/>
      <c r="AY36" s="1011" t="n"/>
      <c r="AZ36" s="1013" t="n"/>
      <c r="BA36" s="1010" t="n"/>
      <c r="BB36" s="1011" t="n"/>
      <c r="BC36" s="1011" t="n"/>
      <c r="BD36" s="1013" t="n"/>
      <c r="BE36" s="936">
        <f>I36-SUM(AB36:BD36)</f>
        <v/>
      </c>
    </row>
    <row r="37">
      <c r="A37" s="61" t="n"/>
      <c r="B37" s="40" t="n"/>
      <c r="C37" s="1000">
        <f>SUM(AB37:AJ37)</f>
        <v/>
      </c>
      <c r="D37" s="1001">
        <f>SUM(AK37:AS37)</f>
        <v/>
      </c>
      <c r="E37" s="1001">
        <f>SUM(AT37:AU37)</f>
        <v/>
      </c>
      <c r="F37" s="1001">
        <f>SUM(AV37:AZ37)</f>
        <v/>
      </c>
      <c r="G37" s="1001">
        <f>SUM(BA37:BD37)</f>
        <v/>
      </c>
      <c r="H37" s="1001">
        <f>SUM(V37:AA37)</f>
        <v/>
      </c>
      <c r="I37" s="1002">
        <f>SUM(C37:H37)</f>
        <v/>
      </c>
      <c r="J37" s="1024" t="n"/>
      <c r="K37" s="1003" t="n"/>
      <c r="L37" s="1017" t="n"/>
      <c r="M37" s="1005" t="n"/>
      <c r="N37" s="1006" t="n"/>
      <c r="O37" s="1000" t="n"/>
      <c r="P37" s="1007" t="n"/>
      <c r="Q37" s="1008" t="n"/>
      <c r="R37" s="990">
        <f>R36+SUM(N37:Q37)-SUM(I37:M37)</f>
        <v/>
      </c>
      <c r="S37" s="92" t="n"/>
      <c r="T37" s="1007" t="n"/>
      <c r="U37" s="1025" t="n"/>
      <c r="V37" s="1009" t="n"/>
      <c r="W37" s="1010" t="n"/>
      <c r="X37" s="1011" t="n"/>
      <c r="Y37" s="1011" t="n"/>
      <c r="Z37" s="1012" t="n"/>
      <c r="AA37" s="1013" t="n"/>
      <c r="AB37" s="1020" t="n"/>
      <c r="AC37" s="1021" t="n"/>
      <c r="AD37" s="1022" t="n"/>
      <c r="AE37" s="1022" t="n"/>
      <c r="AF37" s="1022" t="n"/>
      <c r="AG37" s="1022" t="n"/>
      <c r="AH37" s="1022" t="n"/>
      <c r="AI37" s="1022" t="n"/>
      <c r="AJ37" s="1023" t="n"/>
      <c r="AK37" s="1015" t="n"/>
      <c r="AL37" s="1011" t="n"/>
      <c r="AM37" s="1011" t="n"/>
      <c r="AN37" s="1011" t="n"/>
      <c r="AO37" s="1011" t="n"/>
      <c r="AP37" s="1011" t="n"/>
      <c r="AQ37" s="1011" t="n"/>
      <c r="AR37" s="1011" t="n"/>
      <c r="AS37" s="1013" t="n"/>
      <c r="AT37" s="1010" t="n"/>
      <c r="AU37" s="1014" t="n"/>
      <c r="AV37" s="1015" t="n"/>
      <c r="AW37" s="1011" t="n"/>
      <c r="AX37" s="1011" t="n"/>
      <c r="AY37" s="1011" t="n"/>
      <c r="AZ37" s="1013" t="n"/>
      <c r="BA37" s="1010" t="n"/>
      <c r="BB37" s="1011" t="n"/>
      <c r="BC37" s="1011" t="n"/>
      <c r="BD37" s="1013" t="n"/>
      <c r="BE37" s="936">
        <f>I37-SUM(AB37:BD37)</f>
        <v/>
      </c>
    </row>
    <row r="38">
      <c r="A38" s="61" t="n"/>
      <c r="B38" s="40" t="n"/>
      <c r="C38" s="1000">
        <f>SUM(AB38:AJ38)</f>
        <v/>
      </c>
      <c r="D38" s="1001">
        <f>SUM(AK38:AS38)</f>
        <v/>
      </c>
      <c r="E38" s="1001">
        <f>SUM(AT38:AU38)</f>
        <v/>
      </c>
      <c r="F38" s="1001">
        <f>SUM(AV38:AZ38)</f>
        <v/>
      </c>
      <c r="G38" s="1001">
        <f>SUM(BA38:BD38)</f>
        <v/>
      </c>
      <c r="H38" s="1001">
        <f>SUM(V38:AA38)</f>
        <v/>
      </c>
      <c r="I38" s="1002">
        <f>SUM(C38:H38)</f>
        <v/>
      </c>
      <c r="J38" s="1003" t="n"/>
      <c r="K38" s="1003" t="n"/>
      <c r="L38" s="1017" t="n"/>
      <c r="M38" s="1005" t="n"/>
      <c r="N38" s="1006" t="n"/>
      <c r="O38" s="1000" t="n"/>
      <c r="P38" s="1007" t="n"/>
      <c r="Q38" s="1008" t="n"/>
      <c r="R38" s="990">
        <f>R37+SUM(N38:Q38)-SUM(I38:M38)</f>
        <v/>
      </c>
      <c r="S38" s="92" t="n"/>
      <c r="T38" s="1026" t="n"/>
      <c r="U38" s="72" t="n"/>
      <c r="V38" s="1009" t="n"/>
      <c r="W38" s="1010" t="n"/>
      <c r="X38" s="1011" t="n"/>
      <c r="Y38" s="1011" t="n"/>
      <c r="Z38" s="1012" t="n"/>
      <c r="AA38" s="1013" t="n"/>
      <c r="AB38" s="1009" t="n"/>
      <c r="AC38" s="1010" t="n"/>
      <c r="AD38" s="1011" t="n"/>
      <c r="AE38" s="1011" t="n"/>
      <c r="AF38" s="1011" t="n"/>
      <c r="AG38" s="1011" t="n"/>
      <c r="AH38" s="1011" t="n"/>
      <c r="AI38" s="1011" t="n"/>
      <c r="AJ38" s="1014" t="n"/>
      <c r="AK38" s="1015" t="n"/>
      <c r="AL38" s="1011" t="n"/>
      <c r="AM38" s="1011" t="n"/>
      <c r="AN38" s="1011" t="n"/>
      <c r="AO38" s="1011" t="n"/>
      <c r="AP38" s="1011" t="n"/>
      <c r="AQ38" s="1011" t="n"/>
      <c r="AR38" s="1011" t="n"/>
      <c r="AS38" s="1013" t="n"/>
      <c r="AT38" s="1010" t="n"/>
      <c r="AU38" s="1014" t="n"/>
      <c r="AV38" s="1015" t="n"/>
      <c r="AW38" s="1011" t="n"/>
      <c r="AX38" s="1011" t="n"/>
      <c r="AY38" s="1011" t="n"/>
      <c r="AZ38" s="1013" t="n"/>
      <c r="BA38" s="1010" t="n"/>
      <c r="BB38" s="1011" t="n"/>
      <c r="BC38" s="1011" t="n"/>
      <c r="BD38" s="1013" t="n"/>
      <c r="BE38" s="936">
        <f>I38-SUM(AB38:BD38)</f>
        <v/>
      </c>
    </row>
    <row r="39">
      <c r="A39" s="61" t="n"/>
      <c r="B39" s="40" t="n"/>
      <c r="C39" s="1000">
        <f>SUM(AB39:AJ39)</f>
        <v/>
      </c>
      <c r="D39" s="1001">
        <f>SUM(AK39:AS39)</f>
        <v/>
      </c>
      <c r="E39" s="1001">
        <f>SUM(AT39:AU39)</f>
        <v/>
      </c>
      <c r="F39" s="1001">
        <f>SUM(AV39:AZ39)</f>
        <v/>
      </c>
      <c r="G39" s="1001">
        <f>SUM(BA39:BD39)</f>
        <v/>
      </c>
      <c r="H39" s="1001">
        <f>SUM(V39:AA39)</f>
        <v/>
      </c>
      <c r="I39" s="1002">
        <f>SUM(C39:H39)</f>
        <v/>
      </c>
      <c r="J39" s="1003" t="n"/>
      <c r="K39" s="1003" t="n"/>
      <c r="L39" s="1017" t="n"/>
      <c r="M39" s="1005" t="n"/>
      <c r="N39" s="1006" t="n"/>
      <c r="O39" s="1000" t="n"/>
      <c r="P39" s="1007" t="n"/>
      <c r="Q39" s="1008" t="n"/>
      <c r="R39" s="990">
        <f>R38+SUM(N39:Q39)-SUM(I39:M39)</f>
        <v/>
      </c>
      <c r="S39" s="71" t="n"/>
      <c r="T39" s="1019" t="n"/>
      <c r="U39" s="72" t="n"/>
      <c r="V39" s="1009" t="n"/>
      <c r="W39" s="1010" t="n"/>
      <c r="X39" s="1011" t="n"/>
      <c r="Y39" s="1011" t="n"/>
      <c r="Z39" s="1012" t="n"/>
      <c r="AA39" s="1013" t="n"/>
      <c r="AB39" s="1009" t="n"/>
      <c r="AC39" s="1010" t="n"/>
      <c r="AD39" s="1011" t="n"/>
      <c r="AE39" s="1011" t="n"/>
      <c r="AF39" s="1011" t="n"/>
      <c r="AG39" s="1011" t="n"/>
      <c r="AH39" s="1011" t="n"/>
      <c r="AI39" s="1011" t="n"/>
      <c r="AJ39" s="1014" t="n"/>
      <c r="AK39" s="1015" t="n"/>
      <c r="AL39" s="1011" t="n"/>
      <c r="AM39" s="1011" t="n"/>
      <c r="AN39" s="1011" t="n"/>
      <c r="AO39" s="1011" t="n"/>
      <c r="AP39" s="1011" t="n"/>
      <c r="AQ39" s="1011" t="n"/>
      <c r="AR39" s="1011" t="n"/>
      <c r="AS39" s="1013" t="n"/>
      <c r="AT39" s="1010" t="n"/>
      <c r="AU39" s="1014" t="n"/>
      <c r="AV39" s="1015" t="n"/>
      <c r="AW39" s="1011" t="n"/>
      <c r="AX39" s="1011" t="n"/>
      <c r="AY39" s="1011" t="n"/>
      <c r="AZ39" s="1013" t="n"/>
      <c r="BA39" s="1010" t="n"/>
      <c r="BB39" s="1011" t="n"/>
      <c r="BC39" s="1011" t="n"/>
      <c r="BD39" s="1013" t="n"/>
      <c r="BE39" s="936">
        <f>I39-SUM(AB39:BD39)</f>
        <v/>
      </c>
    </row>
    <row r="40">
      <c r="A40" s="61" t="n"/>
      <c r="B40" s="40" t="n"/>
      <c r="C40" s="1000">
        <f>SUM(AB40:AJ40)</f>
        <v/>
      </c>
      <c r="D40" s="1001">
        <f>SUM(AK40:AS40)</f>
        <v/>
      </c>
      <c r="E40" s="1001">
        <f>SUM(AT40:AU40)</f>
        <v/>
      </c>
      <c r="F40" s="1001">
        <f>SUM(AV40:AZ40)</f>
        <v/>
      </c>
      <c r="G40" s="1001">
        <f>SUM(BA40:BD40)</f>
        <v/>
      </c>
      <c r="H40" s="1001">
        <f>SUM(V40:AA40)</f>
        <v/>
      </c>
      <c r="I40" s="1002">
        <f>SUM(C40:H40)</f>
        <v/>
      </c>
      <c r="J40" s="1003" t="n"/>
      <c r="K40" s="1003" t="n"/>
      <c r="L40" s="1017" t="n"/>
      <c r="M40" s="1005" t="n"/>
      <c r="N40" s="1006" t="n"/>
      <c r="O40" s="1000" t="n"/>
      <c r="P40" s="1007" t="n"/>
      <c r="Q40" s="1008" t="n"/>
      <c r="R40" s="990">
        <f>R39+SUM(N40:Q40)-SUM(I40:M40)</f>
        <v/>
      </c>
      <c r="S40" s="71" t="n"/>
      <c r="T40" s="1007" t="n"/>
      <c r="U40" s="1016" t="n"/>
      <c r="V40" s="1009" t="n"/>
      <c r="W40" s="1010" t="n"/>
      <c r="X40" s="1011" t="n"/>
      <c r="Y40" s="1011" t="n"/>
      <c r="Z40" s="1012" t="n"/>
      <c r="AA40" s="1013" t="n"/>
      <c r="AB40" s="1009" t="n"/>
      <c r="AC40" s="1010" t="n"/>
      <c r="AD40" s="1011" t="n"/>
      <c r="AE40" s="1011" t="n"/>
      <c r="AF40" s="1011" t="n"/>
      <c r="AG40" s="1011" t="n"/>
      <c r="AH40" s="1011" t="n"/>
      <c r="AI40" s="1011" t="n"/>
      <c r="AJ40" s="1014" t="n"/>
      <c r="AK40" s="1015" t="n"/>
      <c r="AL40" s="1011" t="n"/>
      <c r="AM40" s="1011" t="n"/>
      <c r="AN40" s="1011" t="n"/>
      <c r="AO40" s="1011" t="n"/>
      <c r="AP40" s="1011" t="n"/>
      <c r="AQ40" s="1011" t="n"/>
      <c r="AR40" s="1011" t="n"/>
      <c r="AS40" s="1013" t="n"/>
      <c r="AT40" s="1010" t="n"/>
      <c r="AU40" s="1014" t="n"/>
      <c r="AV40" s="1015" t="n"/>
      <c r="AW40" s="1011" t="n"/>
      <c r="AX40" s="1011" t="n"/>
      <c r="AY40" s="1011" t="n"/>
      <c r="AZ40" s="1013" t="n"/>
      <c r="BA40" s="1010" t="n"/>
      <c r="BB40" s="1011" t="n"/>
      <c r="BC40" s="1011" t="n"/>
      <c r="BD40" s="1013" t="n"/>
      <c r="BE40" s="936">
        <f>I40-SUM(AB40:BD40)</f>
        <v/>
      </c>
    </row>
    <row r="41">
      <c r="A41" s="61" t="n"/>
      <c r="B41" s="40" t="n"/>
      <c r="C41" s="1000">
        <f>SUM(AB41:AJ41)</f>
        <v/>
      </c>
      <c r="D41" s="1001">
        <f>SUM(AK41:AS41)</f>
        <v/>
      </c>
      <c r="E41" s="1001">
        <f>SUM(AT41:AU41)</f>
        <v/>
      </c>
      <c r="F41" s="1001">
        <f>SUM(AV41:AZ41)</f>
        <v/>
      </c>
      <c r="G41" s="1001">
        <f>SUM(BA41:BD41)</f>
        <v/>
      </c>
      <c r="H41" s="1001">
        <f>SUM(V41:AA41)</f>
        <v/>
      </c>
      <c r="I41" s="1002">
        <f>SUM(C41:H41)</f>
        <v/>
      </c>
      <c r="J41" s="1024" t="n"/>
      <c r="K41" s="1003" t="n"/>
      <c r="L41" s="1017" t="n"/>
      <c r="M41" s="1005" t="n"/>
      <c r="N41" s="1006" t="n"/>
      <c r="O41" s="1000" t="n"/>
      <c r="P41" s="1007" t="n"/>
      <c r="Q41" s="1008" t="n"/>
      <c r="R41" s="990">
        <f>R40+SUM(N41:Q41)-SUM(I41:M41)</f>
        <v/>
      </c>
      <c r="S41" s="92" t="n"/>
      <c r="T41" s="1019" t="n"/>
      <c r="U41" s="72" t="n"/>
      <c r="V41" s="1009" t="n"/>
      <c r="W41" s="1010" t="n"/>
      <c r="X41" s="1011" t="n"/>
      <c r="Y41" s="1011" t="n"/>
      <c r="Z41" s="1012" t="n"/>
      <c r="AA41" s="1013" t="n"/>
      <c r="AB41" s="1020" t="n"/>
      <c r="AC41" s="1021" t="n"/>
      <c r="AD41" s="1022" t="n"/>
      <c r="AE41" s="1022" t="n"/>
      <c r="AF41" s="1022" t="n"/>
      <c r="AG41" s="1022" t="n"/>
      <c r="AH41" s="1022" t="n"/>
      <c r="AI41" s="1022" t="n"/>
      <c r="AJ41" s="1023" t="n"/>
      <c r="AK41" s="1015" t="n"/>
      <c r="AL41" s="1011" t="n"/>
      <c r="AM41" s="1011" t="n"/>
      <c r="AN41" s="1011" t="n"/>
      <c r="AO41" s="1011" t="n"/>
      <c r="AP41" s="1011" t="n"/>
      <c r="AQ41" s="1011" t="n"/>
      <c r="AR41" s="1011" t="n"/>
      <c r="AS41" s="1013" t="n"/>
      <c r="AT41" s="1010" t="n"/>
      <c r="AU41" s="1014" t="n"/>
      <c r="AV41" s="1015" t="n"/>
      <c r="AW41" s="1011" t="n"/>
      <c r="AX41" s="1011" t="n"/>
      <c r="AY41" s="1011" t="n"/>
      <c r="AZ41" s="1013" t="n"/>
      <c r="BA41" s="1010" t="n"/>
      <c r="BB41" s="1011" t="n"/>
      <c r="BC41" s="1011" t="n"/>
      <c r="BD41" s="1013" t="n"/>
      <c r="BE41" s="936">
        <f>I41-SUM(AB41:BD41)</f>
        <v/>
      </c>
    </row>
    <row r="42">
      <c r="A42" s="61" t="n"/>
      <c r="B42" s="40" t="n"/>
      <c r="C42" s="1000">
        <f>SUM(AB42:AJ42)</f>
        <v/>
      </c>
      <c r="D42" s="1001">
        <f>SUM(AK42:AS42)</f>
        <v/>
      </c>
      <c r="E42" s="1001">
        <f>SUM(AT42:AU42)</f>
        <v/>
      </c>
      <c r="F42" s="1001">
        <f>SUM(AV42:AZ42)</f>
        <v/>
      </c>
      <c r="G42" s="1001">
        <f>SUM(BA42:BD42)</f>
        <v/>
      </c>
      <c r="H42" s="1001">
        <f>SUM(V42:AA42)</f>
        <v/>
      </c>
      <c r="I42" s="1002">
        <f>SUM(C42:H42)</f>
        <v/>
      </c>
      <c r="J42" s="1003" t="n"/>
      <c r="K42" s="1003" t="n"/>
      <c r="L42" s="1017" t="n"/>
      <c r="M42" s="1005" t="n"/>
      <c r="N42" s="1006" t="n"/>
      <c r="O42" s="1000" t="n"/>
      <c r="P42" s="1007" t="n"/>
      <c r="Q42" s="1008" t="n"/>
      <c r="R42" s="990">
        <f>R41+SUM(N42:Q42)-SUM(I42:M42)</f>
        <v/>
      </c>
      <c r="S42" s="71" t="n"/>
      <c r="T42" s="1007" t="n"/>
      <c r="U42" s="1016" t="n"/>
      <c r="V42" s="1009" t="n"/>
      <c r="W42" s="1010" t="n"/>
      <c r="X42" s="1011" t="n"/>
      <c r="Y42" s="1011" t="n"/>
      <c r="Z42" s="1012" t="n"/>
      <c r="AA42" s="1013" t="n"/>
      <c r="AB42" s="1010" t="n"/>
      <c r="AC42" s="1010" t="n"/>
      <c r="AD42" s="1011" t="n"/>
      <c r="AE42" s="1011" t="n"/>
      <c r="AF42" s="1011" t="n"/>
      <c r="AG42" s="1011" t="n"/>
      <c r="AH42" s="1011" t="n"/>
      <c r="AI42" s="1011" t="n"/>
      <c r="AJ42" s="1014" t="n"/>
      <c r="AK42" s="1015" t="n"/>
      <c r="AL42" s="1011" t="n"/>
      <c r="AM42" s="1011" t="n"/>
      <c r="AN42" s="1011" t="n"/>
      <c r="AO42" s="1011" t="n"/>
      <c r="AP42" s="1027" t="n"/>
      <c r="AQ42" s="1011" t="n"/>
      <c r="AR42" s="1011" t="n"/>
      <c r="AS42" s="1013" t="n"/>
      <c r="AT42" s="1010" t="n"/>
      <c r="AU42" s="1014" t="n"/>
      <c r="AV42" s="1015" t="n"/>
      <c r="AW42" s="1011" t="n"/>
      <c r="AX42" s="1011" t="n"/>
      <c r="AY42" s="1011" t="n"/>
      <c r="AZ42" s="1013" t="n"/>
      <c r="BA42" s="1010" t="n"/>
      <c r="BB42" s="1011" t="n"/>
      <c r="BC42" s="1011" t="n"/>
      <c r="BD42" s="1013" t="n"/>
      <c r="BE42" s="936">
        <f>I42-SUM(AB42:BD42)</f>
        <v/>
      </c>
    </row>
    <row r="43" ht="16.2" customHeight="1">
      <c r="A43" s="61" t="n"/>
      <c r="B43" s="40" t="n"/>
      <c r="C43" s="1000">
        <f>SUM(AB43:AJ43)</f>
        <v/>
      </c>
      <c r="D43" s="1001">
        <f>SUM(AK43:AS43)</f>
        <v/>
      </c>
      <c r="E43" s="1001">
        <f>SUM(AT43:AU43)</f>
        <v/>
      </c>
      <c r="F43" s="1001">
        <f>SUM(AV43:AZ43)</f>
        <v/>
      </c>
      <c r="G43" s="1001">
        <f>SUM(BA43:BD43)</f>
        <v/>
      </c>
      <c r="H43" s="1001">
        <f>SUM(V43:AA43)</f>
        <v/>
      </c>
      <c r="I43" s="1002">
        <f>SUM(C43:H43)</f>
        <v/>
      </c>
      <c r="J43" s="1003" t="n"/>
      <c r="K43" s="1003" t="n"/>
      <c r="L43" s="1017" t="n"/>
      <c r="M43" s="1005" t="n"/>
      <c r="N43" s="1006" t="n"/>
      <c r="O43" s="1000" t="n"/>
      <c r="P43" s="1007" t="n"/>
      <c r="Q43" s="1008" t="n"/>
      <c r="R43" s="990">
        <f>R42+SUM(N43:Q43)-SUM(I43:M43)</f>
        <v/>
      </c>
      <c r="S43" s="71" t="n"/>
      <c r="T43" s="86" t="n"/>
      <c r="U43" s="1016" t="n"/>
      <c r="V43" s="1009" t="n"/>
      <c r="W43" s="1010" t="n"/>
      <c r="X43" s="1011" t="n"/>
      <c r="Y43" s="1011" t="n"/>
      <c r="Z43" s="1012" t="n"/>
      <c r="AA43" s="1013" t="n"/>
      <c r="AB43" s="1010" t="n"/>
      <c r="AC43" s="1010" t="n"/>
      <c r="AD43" s="1011" t="n"/>
      <c r="AE43" s="1011" t="n"/>
      <c r="AF43" s="1011" t="n"/>
      <c r="AG43" s="1011" t="n"/>
      <c r="AH43" s="1011" t="n"/>
      <c r="AI43" s="1011" t="n"/>
      <c r="AJ43" s="1014" t="n"/>
      <c r="AK43" s="1015" t="n"/>
      <c r="AL43" s="1011" t="n"/>
      <c r="AM43" s="1011" t="n"/>
      <c r="AN43" s="1011" t="n"/>
      <c r="AO43" s="1011" t="n"/>
      <c r="AP43" s="1027" t="n"/>
      <c r="AQ43" s="1011" t="n"/>
      <c r="AR43" s="1011" t="n"/>
      <c r="AS43" s="1013" t="n"/>
      <c r="AT43" s="1010" t="n"/>
      <c r="AU43" s="1014" t="n"/>
      <c r="AV43" s="1015" t="n"/>
      <c r="AW43" s="1011" t="n"/>
      <c r="AX43" s="1011" t="n"/>
      <c r="AY43" s="1011" t="n"/>
      <c r="AZ43" s="1013" t="n"/>
      <c r="BA43" s="1010" t="n"/>
      <c r="BB43" s="1011" t="n"/>
      <c r="BC43" s="1011" t="n"/>
      <c r="BD43" s="1013" t="n"/>
      <c r="BE43" s="936">
        <f>I43-SUM(AB43:BD43)</f>
        <v/>
      </c>
    </row>
    <row r="44">
      <c r="A44" s="61" t="n"/>
      <c r="B44" s="40" t="n"/>
      <c r="C44" s="1000">
        <f>SUM(AB44:AJ44)</f>
        <v/>
      </c>
      <c r="D44" s="1001">
        <f>SUM(AK44:AS44)</f>
        <v/>
      </c>
      <c r="E44" s="1001">
        <f>SUM(AT44:AU44)</f>
        <v/>
      </c>
      <c r="F44" s="1001">
        <f>SUM(AV44:AZ44)</f>
        <v/>
      </c>
      <c r="G44" s="1001">
        <f>SUM(BA44:BD44)</f>
        <v/>
      </c>
      <c r="H44" s="1001">
        <f>SUM(V44:AA44)</f>
        <v/>
      </c>
      <c r="I44" s="1002">
        <f>SUM(C44:H44)</f>
        <v/>
      </c>
      <c r="J44" s="1003" t="n"/>
      <c r="K44" s="1003" t="n"/>
      <c r="L44" s="1017" t="n"/>
      <c r="M44" s="1005" t="n"/>
      <c r="N44" s="1006" t="n"/>
      <c r="O44" s="1000" t="n"/>
      <c r="P44" s="1007" t="n"/>
      <c r="Q44" s="1008" t="n"/>
      <c r="R44" s="990">
        <f>R43+SUM(N44:Q44)-SUM(I44:M44)</f>
        <v/>
      </c>
      <c r="S44" s="71" t="n"/>
      <c r="T44" s="86" t="n"/>
      <c r="U44" s="1016" t="n"/>
      <c r="V44" s="1009" t="n"/>
      <c r="W44" s="1010" t="n"/>
      <c r="X44" s="1011" t="n"/>
      <c r="Y44" s="1011" t="n"/>
      <c r="Z44" s="1012" t="n"/>
      <c r="AA44" s="1013" t="n"/>
      <c r="AB44" s="1028" t="n"/>
      <c r="AC44" s="1028" t="n"/>
      <c r="AD44" s="1022" t="n"/>
      <c r="AE44" s="1022" t="n"/>
      <c r="AF44" s="1022" t="n"/>
      <c r="AG44" s="1022" t="n"/>
      <c r="AH44" s="1022" t="n"/>
      <c r="AI44" s="1022" t="n"/>
      <c r="AJ44" s="1023" t="n"/>
      <c r="AK44" s="1015" t="n"/>
      <c r="AL44" s="1011" t="n"/>
      <c r="AM44" s="1011" t="n"/>
      <c r="AN44" s="1011" t="n"/>
      <c r="AO44" s="1011" t="n"/>
      <c r="AP44" s="1027" t="n"/>
      <c r="AQ44" s="1011" t="n"/>
      <c r="AR44" s="1011" t="n"/>
      <c r="AS44" s="1013" t="n"/>
      <c r="AT44" s="1010" t="n"/>
      <c r="AU44" s="1014" t="n"/>
      <c r="AV44" s="1015" t="n"/>
      <c r="AW44" s="1011" t="n"/>
      <c r="AX44" s="1011" t="n"/>
      <c r="AY44" s="1011" t="n"/>
      <c r="AZ44" s="1013" t="n"/>
      <c r="BA44" s="1010" t="n"/>
      <c r="BB44" s="1011" t="n"/>
      <c r="BC44" s="1011" t="n"/>
      <c r="BD44" s="1013" t="n"/>
      <c r="BE44" s="936">
        <f>I44-SUM(AB44:BD44)</f>
        <v/>
      </c>
    </row>
    <row r="45">
      <c r="A45" s="61" t="n"/>
      <c r="B45" s="40" t="n"/>
      <c r="C45" s="1000">
        <f>SUM(AB45:AJ45)</f>
        <v/>
      </c>
      <c r="D45" s="1001">
        <f>SUM(AK45:AS45)</f>
        <v/>
      </c>
      <c r="E45" s="1001">
        <f>SUM(AT45:AU45)</f>
        <v/>
      </c>
      <c r="F45" s="1001">
        <f>SUM(AV45:AZ45)</f>
        <v/>
      </c>
      <c r="G45" s="1001">
        <f>SUM(BA45:BD45)</f>
        <v/>
      </c>
      <c r="H45" s="1001">
        <f>SUM(V45:AA45)</f>
        <v/>
      </c>
      <c r="I45" s="1002">
        <f>SUM(C45:H45)</f>
        <v/>
      </c>
      <c r="J45" s="1003" t="n"/>
      <c r="K45" s="1003" t="n"/>
      <c r="L45" s="1017" t="n"/>
      <c r="M45" s="1005" t="n"/>
      <c r="N45" s="1006" t="n"/>
      <c r="O45" s="1000" t="n"/>
      <c r="P45" s="1007" t="n"/>
      <c r="Q45" s="1008" t="n"/>
      <c r="R45" s="990">
        <f>R44+SUM(N45:Q45)-SUM(I45:M45)</f>
        <v/>
      </c>
      <c r="S45" s="71" t="n"/>
      <c r="T45" s="86" t="n"/>
      <c r="U45" s="1016" t="n"/>
      <c r="V45" s="1009" t="n"/>
      <c r="W45" s="1010" t="n"/>
      <c r="X45" s="1011" t="n"/>
      <c r="Y45" s="1011" t="n"/>
      <c r="Z45" s="1012" t="n"/>
      <c r="AA45" s="1013" t="n"/>
      <c r="AB45" s="1028" t="n"/>
      <c r="AC45" s="1028" t="n"/>
      <c r="AD45" s="1022" t="n"/>
      <c r="AE45" s="1022" t="n"/>
      <c r="AF45" s="1022" t="n"/>
      <c r="AG45" s="1022" t="n"/>
      <c r="AH45" s="1022" t="n"/>
      <c r="AI45" s="1022" t="n"/>
      <c r="AJ45" s="1023" t="n"/>
      <c r="AK45" s="1015" t="n"/>
      <c r="AL45" s="1011" t="n"/>
      <c r="AM45" s="1011" t="n"/>
      <c r="AN45" s="1011" t="n"/>
      <c r="AO45" s="1011" t="n"/>
      <c r="AP45" s="1011" t="n"/>
      <c r="AQ45" s="1011" t="n"/>
      <c r="AR45" s="1011" t="n"/>
      <c r="AS45" s="1013" t="n"/>
      <c r="AT45" s="1010" t="n"/>
      <c r="AU45" s="1014" t="n"/>
      <c r="AV45" s="1015" t="n"/>
      <c r="AW45" s="1011" t="n"/>
      <c r="AX45" s="1011" t="n"/>
      <c r="AY45" s="1011" t="n"/>
      <c r="AZ45" s="1013" t="n"/>
      <c r="BA45" s="1010" t="n"/>
      <c r="BB45" s="1011" t="n"/>
      <c r="BC45" s="1011" t="n"/>
      <c r="BD45" s="1013" t="n"/>
      <c r="BE45" s="936">
        <f>I45-SUM(AB45:BD45)</f>
        <v/>
      </c>
    </row>
    <row r="46">
      <c r="A46" s="61" t="n"/>
      <c r="B46" s="40" t="n"/>
      <c r="C46" s="1000">
        <f>SUM(AB46:AJ46)</f>
        <v/>
      </c>
      <c r="D46" s="1001">
        <f>SUM(AK46:AS46)</f>
        <v/>
      </c>
      <c r="E46" s="1001">
        <f>SUM(AT46:AU46)</f>
        <v/>
      </c>
      <c r="F46" s="1001">
        <f>SUM(AV46:AZ46)</f>
        <v/>
      </c>
      <c r="G46" s="1001">
        <f>SUM(BA46:BD46)</f>
        <v/>
      </c>
      <c r="H46" s="1001">
        <f>SUM(V46:AA46)</f>
        <v/>
      </c>
      <c r="I46" s="1002">
        <f>SUM(C46:H46)</f>
        <v/>
      </c>
      <c r="J46" s="1003" t="n"/>
      <c r="K46" s="1003" t="n"/>
      <c r="L46" s="1017" t="n"/>
      <c r="M46" s="1005" t="n"/>
      <c r="N46" s="1006" t="n"/>
      <c r="O46" s="1000" t="n"/>
      <c r="P46" s="1007" t="n"/>
      <c r="Q46" s="1008" t="n"/>
      <c r="R46" s="990">
        <f>R45+SUM(N46:Q46)-SUM(I46:M46)</f>
        <v/>
      </c>
      <c r="S46" s="71" t="n"/>
      <c r="T46" s="86" t="n"/>
      <c r="U46" s="1016" t="n"/>
      <c r="V46" s="1009" t="n"/>
      <c r="W46" s="1010" t="n"/>
      <c r="X46" s="1011" t="n"/>
      <c r="Y46" s="1011" t="n"/>
      <c r="Z46" s="1012" t="n"/>
      <c r="AA46" s="1013" t="n"/>
      <c r="AB46" s="1021" t="n"/>
      <c r="AC46" s="1021" t="n"/>
      <c r="AD46" s="1022" t="n"/>
      <c r="AE46" s="1022" t="n"/>
      <c r="AF46" s="1022" t="n"/>
      <c r="AG46" s="1022" t="n"/>
      <c r="AH46" s="1022" t="n"/>
      <c r="AI46" s="1022" t="n"/>
      <c r="AJ46" s="1023" t="n"/>
      <c r="AK46" s="1015" t="n"/>
      <c r="AL46" s="1011" t="n"/>
      <c r="AM46" s="1011" t="n"/>
      <c r="AN46" s="1011" t="n"/>
      <c r="AO46" s="1011" t="n"/>
      <c r="AP46" s="1011" t="n"/>
      <c r="AQ46" s="1011" t="n"/>
      <c r="AR46" s="1011" t="n"/>
      <c r="AS46" s="1013" t="n"/>
      <c r="AT46" s="1010" t="n"/>
      <c r="AU46" s="1014" t="n"/>
      <c r="AV46" s="1015" t="n"/>
      <c r="AW46" s="1011" t="n"/>
      <c r="AX46" s="1011" t="n"/>
      <c r="AY46" s="1011" t="n"/>
      <c r="AZ46" s="1013" t="n"/>
      <c r="BA46" s="1010" t="n"/>
      <c r="BB46" s="1011" t="n"/>
      <c r="BC46" s="1011" t="n"/>
      <c r="BD46" s="1013" t="n"/>
      <c r="BE46" s="936" t="n"/>
    </row>
    <row r="47">
      <c r="A47" s="61" t="n"/>
      <c r="B47" s="40" t="n"/>
      <c r="C47" s="1000">
        <f>SUM(AB47:AJ47)</f>
        <v/>
      </c>
      <c r="D47" s="1001">
        <f>SUM(AK47:AS47)</f>
        <v/>
      </c>
      <c r="E47" s="1001">
        <f>SUM(AT47:AU47)</f>
        <v/>
      </c>
      <c r="F47" s="1001">
        <f>SUM(AV47:AZ47)</f>
        <v/>
      </c>
      <c r="G47" s="1001">
        <f>SUM(BA47:BD47)</f>
        <v/>
      </c>
      <c r="H47" s="1001">
        <f>SUM(V47:AA47)</f>
        <v/>
      </c>
      <c r="I47" s="1002">
        <f>SUM(C47:H47)</f>
        <v/>
      </c>
      <c r="J47" s="1003" t="n"/>
      <c r="K47" s="1003" t="n"/>
      <c r="L47" s="1017" t="n"/>
      <c r="M47" s="1005" t="n"/>
      <c r="N47" s="1006" t="n"/>
      <c r="O47" s="1000" t="n"/>
      <c r="P47" s="1007" t="n"/>
      <c r="Q47" s="1008" t="n"/>
      <c r="R47" s="990">
        <f>R46+SUM(N47:Q47)-SUM(I47:M47)</f>
        <v/>
      </c>
      <c r="S47" s="105" t="n"/>
      <c r="T47" s="86" t="n"/>
      <c r="U47" s="1016" t="n"/>
      <c r="V47" s="1009" t="n"/>
      <c r="W47" s="1010" t="n"/>
      <c r="X47" s="1011" t="n"/>
      <c r="Y47" s="1011" t="n"/>
      <c r="Z47" s="1012" t="n"/>
      <c r="AA47" s="1013" t="n"/>
      <c r="AB47" s="1021" t="n"/>
      <c r="AC47" s="1021" t="n"/>
      <c r="AD47" s="1022" t="n"/>
      <c r="AE47" s="1022" t="n"/>
      <c r="AF47" s="1022" t="n"/>
      <c r="AG47" s="1022" t="n"/>
      <c r="AH47" s="1022" t="n"/>
      <c r="AI47" s="1022" t="n"/>
      <c r="AJ47" s="1023" t="n"/>
      <c r="AK47" s="1015" t="n"/>
      <c r="AL47" s="1011" t="n"/>
      <c r="AM47" s="1011" t="n"/>
      <c r="AN47" s="1011" t="n"/>
      <c r="AO47" s="1011" t="n"/>
      <c r="AP47" s="1018" t="n"/>
      <c r="AQ47" s="1011" t="n"/>
      <c r="AR47" s="1011" t="n"/>
      <c r="AS47" s="1013" t="n"/>
      <c r="AT47" s="1010" t="n"/>
      <c r="AU47" s="1014" t="n"/>
      <c r="AV47" s="1015" t="n"/>
      <c r="AW47" s="1011" t="n"/>
      <c r="AX47" s="1011" t="n"/>
      <c r="AY47" s="1011" t="n"/>
      <c r="AZ47" s="1013" t="n"/>
      <c r="BA47" s="1010" t="n"/>
      <c r="BB47" s="1011" t="n"/>
      <c r="BC47" s="1011" t="n"/>
      <c r="BD47" s="1013" t="n"/>
      <c r="BE47" s="936">
        <f>I47-SUM(AB47:BD47)</f>
        <v/>
      </c>
    </row>
    <row r="48">
      <c r="A48" s="61" t="n"/>
      <c r="B48" s="40" t="n"/>
      <c r="C48" s="1000">
        <f>SUM(AB48:AJ48)</f>
        <v/>
      </c>
      <c r="D48" s="1001">
        <f>SUM(AK48:AS48)</f>
        <v/>
      </c>
      <c r="E48" s="1001">
        <f>SUM(AT48:AU48)</f>
        <v/>
      </c>
      <c r="F48" s="1001">
        <f>SUM(AV48:AZ48)</f>
        <v/>
      </c>
      <c r="G48" s="1001">
        <f>SUM(BA48:BD48)</f>
        <v/>
      </c>
      <c r="H48" s="1001">
        <f>SUM(V48:AA48)</f>
        <v/>
      </c>
      <c r="I48" s="1002">
        <f>SUM(C48:H48)</f>
        <v/>
      </c>
      <c r="J48" s="1003" t="n"/>
      <c r="K48" s="1003" t="n"/>
      <c r="L48" s="1017" t="n"/>
      <c r="M48" s="1005" t="n"/>
      <c r="N48" s="1006" t="n"/>
      <c r="O48" s="1000" t="n"/>
      <c r="P48" s="1007" t="n"/>
      <c r="Q48" s="1008" t="n"/>
      <c r="R48" s="990">
        <f>R47+SUM(N48:Q48)-SUM(I48:M48)</f>
        <v/>
      </c>
      <c r="S48" s="71" t="n"/>
      <c r="T48" s="1019" t="n"/>
      <c r="U48" s="72" t="n"/>
      <c r="V48" s="1009" t="n"/>
      <c r="W48" s="1010" t="n"/>
      <c r="X48" s="1011" t="n"/>
      <c r="Y48" s="1011" t="n"/>
      <c r="Z48" s="1012" t="n"/>
      <c r="AA48" s="1013" t="n"/>
      <c r="AB48" s="1021" t="n"/>
      <c r="AC48" s="1021" t="n"/>
      <c r="AD48" s="1022" t="n"/>
      <c r="AE48" s="1022" t="n"/>
      <c r="AF48" s="1022" t="n"/>
      <c r="AG48" s="1022" t="n"/>
      <c r="AH48" s="1022" t="n"/>
      <c r="AI48" s="1022" t="n"/>
      <c r="AJ48" s="1023" t="n"/>
      <c r="AK48" s="1015" t="n"/>
      <c r="AL48" s="1011" t="n"/>
      <c r="AM48" s="1011" t="n"/>
      <c r="AN48" s="1011" t="n"/>
      <c r="AO48" s="1011" t="n"/>
      <c r="AP48" s="1027" t="n"/>
      <c r="AQ48" s="1011" t="n"/>
      <c r="AR48" s="1011" t="n"/>
      <c r="AS48" s="1013" t="n"/>
      <c r="AT48" s="1010" t="n"/>
      <c r="AU48" s="1014" t="n"/>
      <c r="AV48" s="1015" t="n"/>
      <c r="AW48" s="1011" t="n"/>
      <c r="AX48" s="1011" t="n"/>
      <c r="AY48" s="1011" t="n"/>
      <c r="AZ48" s="1013" t="n"/>
      <c r="BA48" s="1010" t="n"/>
      <c r="BB48" s="1011" t="n"/>
      <c r="BC48" s="1011" t="n"/>
      <c r="BD48" s="1013" t="n"/>
      <c r="BE48" s="936">
        <f>I48-SUM(AB48:BD48)</f>
        <v/>
      </c>
    </row>
    <row r="49">
      <c r="A49" s="61" t="n"/>
      <c r="B49" s="40" t="n"/>
      <c r="C49" s="1000">
        <f>SUM(AB49:AJ49)</f>
        <v/>
      </c>
      <c r="D49" s="1001">
        <f>SUM(AK49:AS49)</f>
        <v/>
      </c>
      <c r="E49" s="1001">
        <f>SUM(AT49:AU49)</f>
        <v/>
      </c>
      <c r="F49" s="1001">
        <f>SUM(AV49:AZ49)</f>
        <v/>
      </c>
      <c r="G49" s="1001">
        <f>SUM(BA49:BD49)</f>
        <v/>
      </c>
      <c r="H49" s="1001">
        <f>SUM(V49:AA49)</f>
        <v/>
      </c>
      <c r="I49" s="1002">
        <f>SUM(C49:H49)</f>
        <v/>
      </c>
      <c r="J49" s="1003" t="n"/>
      <c r="K49" s="1003" t="n"/>
      <c r="L49" s="1017" t="n"/>
      <c r="M49" s="1005" t="n"/>
      <c r="N49" s="1006" t="n"/>
      <c r="O49" s="1000" t="n"/>
      <c r="P49" s="1007" t="n"/>
      <c r="Q49" s="1008" t="n"/>
      <c r="R49" s="990">
        <f>R48+SUM(N49:Q49)-SUM(I49:M49)</f>
        <v/>
      </c>
      <c r="S49" s="71" t="n"/>
      <c r="T49" s="86" t="n"/>
      <c r="U49" s="72" t="n"/>
      <c r="V49" s="1009" t="n"/>
      <c r="W49" s="1010" t="n"/>
      <c r="X49" s="1011" t="n"/>
      <c r="Y49" s="1011" t="n"/>
      <c r="Z49" s="1012" t="n"/>
      <c r="AA49" s="1013" t="n"/>
      <c r="AB49" s="1010" t="n"/>
      <c r="AC49" s="1010" t="n"/>
      <c r="AD49" s="1011" t="n"/>
      <c r="AE49" s="1011" t="n"/>
      <c r="AF49" s="1011" t="n"/>
      <c r="AG49" s="1011" t="n"/>
      <c r="AH49" s="1011" t="n"/>
      <c r="AI49" s="1011" t="n"/>
      <c r="AJ49" s="1014" t="n"/>
      <c r="AK49" s="1015" t="n"/>
      <c r="AL49" s="1011" t="n"/>
      <c r="AM49" s="1011" t="n"/>
      <c r="AN49" s="1011" t="n"/>
      <c r="AO49" s="1011" t="n"/>
      <c r="AP49" s="1027" t="n"/>
      <c r="AQ49" s="1011" t="n"/>
      <c r="AR49" s="1011" t="n"/>
      <c r="AS49" s="1013" t="n"/>
      <c r="AT49" s="1010" t="n"/>
      <c r="AU49" s="1014" t="n"/>
      <c r="AV49" s="1015" t="n"/>
      <c r="AW49" s="1011" t="n"/>
      <c r="AX49" s="1011" t="n"/>
      <c r="AY49" s="1011" t="n"/>
      <c r="AZ49" s="1013" t="n"/>
      <c r="BA49" s="1010" t="n"/>
      <c r="BB49" s="1011" t="n"/>
      <c r="BC49" s="1011" t="n"/>
      <c r="BD49" s="1013" t="n"/>
      <c r="BE49" s="936">
        <f>I49-SUM(AB49:BD49)</f>
        <v/>
      </c>
    </row>
    <row r="50">
      <c r="A50" s="61" t="n"/>
      <c r="B50" s="40" t="n"/>
      <c r="C50" s="1000">
        <f>SUM(AB50:AJ50)</f>
        <v/>
      </c>
      <c r="D50" s="1001">
        <f>SUM(AK50:AS50)</f>
        <v/>
      </c>
      <c r="E50" s="1001">
        <f>SUM(AT50:AU50)</f>
        <v/>
      </c>
      <c r="F50" s="1001">
        <f>SUM(AV50:AZ50)</f>
        <v/>
      </c>
      <c r="G50" s="1001">
        <f>SUM(BA50:BD50)</f>
        <v/>
      </c>
      <c r="H50" s="1001">
        <f>SUM(V50:AA50)</f>
        <v/>
      </c>
      <c r="I50" s="1002">
        <f>SUM(C50:H50)</f>
        <v/>
      </c>
      <c r="J50" s="1003" t="n"/>
      <c r="K50" s="1003" t="n"/>
      <c r="L50" s="1017" t="n"/>
      <c r="M50" s="1005" t="n"/>
      <c r="N50" s="1006" t="n"/>
      <c r="O50" s="1000" t="n"/>
      <c r="P50" s="1007" t="n"/>
      <c r="Q50" s="1008" t="n"/>
      <c r="R50" s="990">
        <f>R49+SUM(N50:Q50)-SUM(I50:M50)</f>
        <v/>
      </c>
      <c r="S50" s="71" t="n"/>
      <c r="T50" s="1007" t="n"/>
      <c r="U50" s="1016" t="n"/>
      <c r="V50" s="1009" t="n"/>
      <c r="W50" s="1010" t="n"/>
      <c r="X50" s="1011" t="n"/>
      <c r="Y50" s="1011" t="n"/>
      <c r="Z50" s="1012" t="n"/>
      <c r="AA50" s="1013" t="n"/>
      <c r="AB50" s="1009" t="n"/>
      <c r="AC50" s="1010" t="n"/>
      <c r="AD50" s="1011" t="n"/>
      <c r="AE50" s="1011" t="n"/>
      <c r="AF50" s="1011" t="n"/>
      <c r="AG50" s="1011" t="n"/>
      <c r="AH50" s="1011" t="n"/>
      <c r="AI50" s="1011" t="n"/>
      <c r="AJ50" s="1014" t="n"/>
      <c r="AK50" s="1015" t="n"/>
      <c r="AL50" s="1011" t="n"/>
      <c r="AM50" s="1011" t="n"/>
      <c r="AN50" s="1011" t="n"/>
      <c r="AO50" s="1011" t="n"/>
      <c r="AP50" s="1011" t="n"/>
      <c r="AQ50" s="1011" t="n"/>
      <c r="AR50" s="1011" t="n"/>
      <c r="AS50" s="1013" t="n"/>
      <c r="AT50" s="1010" t="n"/>
      <c r="AU50" s="1014" t="n"/>
      <c r="AV50" s="1015" t="n"/>
      <c r="AW50" s="1011" t="n"/>
      <c r="AX50" s="1011" t="n"/>
      <c r="AY50" s="1011" t="n"/>
      <c r="AZ50" s="1013" t="n"/>
      <c r="BA50" s="1010" t="n"/>
      <c r="BB50" s="1011" t="n"/>
      <c r="BC50" s="1011" t="n"/>
      <c r="BD50" s="1013" t="n"/>
      <c r="BE50" s="936">
        <f>I50-SUM(AB50:BD50)</f>
        <v/>
      </c>
    </row>
    <row r="51">
      <c r="A51" s="61" t="n"/>
      <c r="B51" s="40" t="n"/>
      <c r="C51" s="1000">
        <f>SUM(AB51:AJ51)</f>
        <v/>
      </c>
      <c r="D51" s="1001">
        <f>SUM(AK51:AS51)</f>
        <v/>
      </c>
      <c r="E51" s="1001">
        <f>SUM(AT51:AU51)</f>
        <v/>
      </c>
      <c r="F51" s="1001">
        <f>SUM(AV51:AZ51)</f>
        <v/>
      </c>
      <c r="G51" s="1001">
        <f>SUM(BA51:BD51)</f>
        <v/>
      </c>
      <c r="H51" s="1001">
        <f>SUM(V51:AA51)</f>
        <v/>
      </c>
      <c r="I51" s="1002">
        <f>SUM(C51:H51)</f>
        <v/>
      </c>
      <c r="J51" s="1003" t="n"/>
      <c r="K51" s="1003" t="n"/>
      <c r="L51" s="1017" t="n"/>
      <c r="M51" s="1005" t="n"/>
      <c r="N51" s="1006" t="n"/>
      <c r="O51" s="1000" t="n"/>
      <c r="P51" s="1007" t="n"/>
      <c r="Q51" s="1008" t="n"/>
      <c r="R51" s="990">
        <f>R50+SUM(N51:Q51)-SUM(I51:M51)</f>
        <v/>
      </c>
      <c r="S51" s="71" t="n"/>
      <c r="T51" s="1007" t="n"/>
      <c r="U51" s="72" t="n"/>
      <c r="V51" s="1009" t="n"/>
      <c r="W51" s="1010" t="n"/>
      <c r="X51" s="1011" t="n"/>
      <c r="Y51" s="1011" t="n"/>
      <c r="Z51" s="1012" t="n"/>
      <c r="AA51" s="1013" t="n"/>
      <c r="AB51" s="1009" t="n"/>
      <c r="AC51" s="1010" t="n"/>
      <c r="AD51" s="1011" t="n"/>
      <c r="AE51" s="1011" t="n"/>
      <c r="AF51" s="1011" t="n"/>
      <c r="AG51" s="1011" t="n"/>
      <c r="AH51" s="1011" t="n"/>
      <c r="AI51" s="1011" t="n"/>
      <c r="AJ51" s="1014" t="n"/>
      <c r="AK51" s="1015" t="n"/>
      <c r="AL51" s="1011" t="n"/>
      <c r="AM51" s="1011" t="n"/>
      <c r="AN51" s="1011" t="n"/>
      <c r="AO51" s="1011" t="n"/>
      <c r="AP51" s="1011" t="n"/>
      <c r="AQ51" s="1011" t="n"/>
      <c r="AR51" s="1011" t="n"/>
      <c r="AS51" s="1013" t="n"/>
      <c r="AT51" s="1010" t="n"/>
      <c r="AU51" s="1014" t="n"/>
      <c r="AV51" s="1015" t="n"/>
      <c r="AW51" s="1011" t="n"/>
      <c r="AX51" s="1011" t="n"/>
      <c r="AY51" s="1011" t="n"/>
      <c r="AZ51" s="1013" t="n"/>
      <c r="BA51" s="1010" t="n"/>
      <c r="BB51" s="1011" t="n"/>
      <c r="BC51" s="1011" t="n"/>
      <c r="BD51" s="1013" t="n"/>
      <c r="BE51" s="936">
        <f>I51-SUM(AB51:BD51)</f>
        <v/>
      </c>
    </row>
    <row r="52">
      <c r="A52" s="61" t="n"/>
      <c r="B52" s="40" t="n"/>
      <c r="C52" s="1000">
        <f>SUM(AB52:AJ52)</f>
        <v/>
      </c>
      <c r="D52" s="1001">
        <f>SUM(AK52:AS52)</f>
        <v/>
      </c>
      <c r="E52" s="1001">
        <f>SUM(AT52:AU52)</f>
        <v/>
      </c>
      <c r="F52" s="1001">
        <f>SUM(AV52:AZ52)</f>
        <v/>
      </c>
      <c r="G52" s="1001">
        <f>SUM(BA52:BD52)</f>
        <v/>
      </c>
      <c r="H52" s="1001">
        <f>SUM(V52:AA52)</f>
        <v/>
      </c>
      <c r="I52" s="1002">
        <f>SUM(C52:H52)</f>
        <v/>
      </c>
      <c r="J52" s="1003" t="n"/>
      <c r="K52" s="1003" t="n"/>
      <c r="L52" s="1017" t="n"/>
      <c r="M52" s="1005" t="n"/>
      <c r="N52" s="1006" t="n"/>
      <c r="O52" s="1000" t="n"/>
      <c r="P52" s="1007" t="n"/>
      <c r="Q52" s="1008" t="n"/>
      <c r="R52" s="990">
        <f>R51+SUM(N52:Q52)-SUM(I52:M52)</f>
        <v/>
      </c>
      <c r="S52" s="71" t="n"/>
      <c r="T52" s="1007" t="n"/>
      <c r="U52" s="1016" t="n"/>
      <c r="V52" s="1009" t="n"/>
      <c r="W52" s="1010" t="n"/>
      <c r="X52" s="1011" t="n"/>
      <c r="Y52" s="1011" t="n"/>
      <c r="Z52" s="1012" t="n"/>
      <c r="AA52" s="1013" t="n"/>
      <c r="AB52" s="1009" t="n"/>
      <c r="AC52" s="1010" t="n"/>
      <c r="AD52" s="1011" t="n"/>
      <c r="AE52" s="1011" t="n"/>
      <c r="AF52" s="1011" t="n"/>
      <c r="AG52" s="1011" t="n"/>
      <c r="AH52" s="1011" t="n"/>
      <c r="AI52" s="1011" t="n"/>
      <c r="AJ52" s="1014" t="n"/>
      <c r="AK52" s="1015" t="n"/>
      <c r="AL52" s="1011" t="n"/>
      <c r="AM52" s="1011" t="n"/>
      <c r="AN52" s="1011" t="n"/>
      <c r="AO52" s="1011" t="n"/>
      <c r="AP52" s="1011" t="n"/>
      <c r="AQ52" s="1011" t="n"/>
      <c r="AR52" s="1011" t="n"/>
      <c r="AS52" s="1013" t="n"/>
      <c r="AT52" s="1010" t="n"/>
      <c r="AU52" s="1014" t="n"/>
      <c r="AV52" s="1015" t="n"/>
      <c r="AW52" s="1011" t="n"/>
      <c r="AX52" s="1011" t="n"/>
      <c r="AY52" s="1011" t="n"/>
      <c r="AZ52" s="1013" t="n"/>
      <c r="BA52" s="1010" t="n"/>
      <c r="BB52" s="1011" t="n"/>
      <c r="BC52" s="1011" t="n"/>
      <c r="BD52" s="1013" t="n"/>
      <c r="BE52" s="936">
        <f>I52-SUM(AB52:BD52)</f>
        <v/>
      </c>
    </row>
    <row r="53">
      <c r="A53" s="61" t="n"/>
      <c r="B53" s="40" t="n"/>
      <c r="C53" s="1000">
        <f>SUM(AB53:AJ53)</f>
        <v/>
      </c>
      <c r="D53" s="1001">
        <f>SUM(AK53:AS53)</f>
        <v/>
      </c>
      <c r="E53" s="1001">
        <f>SUM(AT53:AU53)</f>
        <v/>
      </c>
      <c r="F53" s="1001">
        <f>SUM(AV53:AZ53)</f>
        <v/>
      </c>
      <c r="G53" s="1001">
        <f>SUM(BA53:BD53)</f>
        <v/>
      </c>
      <c r="H53" s="1001">
        <f>SUM(V53:AA53)</f>
        <v/>
      </c>
      <c r="I53" s="1002">
        <f>SUM(C53:H53)</f>
        <v/>
      </c>
      <c r="J53" s="1003" t="n"/>
      <c r="K53" s="1003" t="n"/>
      <c r="L53" s="1017" t="n"/>
      <c r="M53" s="1005" t="n"/>
      <c r="N53" s="1006" t="n"/>
      <c r="O53" s="1000" t="n"/>
      <c r="P53" s="1007" t="n"/>
      <c r="Q53" s="1008" t="n"/>
      <c r="R53" s="990">
        <f>R52+SUM(N53:Q53)-SUM(I53:M53)</f>
        <v/>
      </c>
      <c r="S53" s="71" t="n"/>
      <c r="T53" s="1007" t="n"/>
      <c r="U53" s="72" t="n"/>
      <c r="V53" s="1009" t="n"/>
      <c r="W53" s="1010" t="n"/>
      <c r="X53" s="1011" t="n"/>
      <c r="Y53" s="1011" t="n"/>
      <c r="Z53" s="1012" t="n"/>
      <c r="AA53" s="1013" t="n"/>
      <c r="AB53" s="1009" t="n"/>
      <c r="AC53" s="1010" t="n"/>
      <c r="AD53" s="1011" t="n"/>
      <c r="AE53" s="1011" t="n"/>
      <c r="AF53" s="1011" t="n"/>
      <c r="AG53" s="1011" t="n"/>
      <c r="AH53" s="1011" t="n"/>
      <c r="AI53" s="1011" t="n"/>
      <c r="AJ53" s="1014" t="n"/>
      <c r="AK53" s="1015" t="n"/>
      <c r="AL53" s="1011" t="n"/>
      <c r="AM53" s="1011" t="n"/>
      <c r="AN53" s="1011" t="n"/>
      <c r="AO53" s="1011" t="n"/>
      <c r="AP53" s="1011" t="n"/>
      <c r="AQ53" s="1011" t="n"/>
      <c r="AR53" s="1011" t="n"/>
      <c r="AS53" s="1013" t="n"/>
      <c r="AT53" s="1010" t="n"/>
      <c r="AU53" s="1014" t="n"/>
      <c r="AV53" s="1015" t="n"/>
      <c r="AW53" s="1011" t="n"/>
      <c r="AX53" s="1011" t="n"/>
      <c r="AY53" s="1011" t="n"/>
      <c r="AZ53" s="1013" t="n"/>
      <c r="BA53" s="1010" t="n"/>
      <c r="BB53" s="1011" t="n"/>
      <c r="BC53" s="1011" t="n"/>
      <c r="BD53" s="1013" t="n"/>
      <c r="BE53" s="936">
        <f>I53-SUM(AB53:BD53)</f>
        <v/>
      </c>
    </row>
    <row r="54">
      <c r="A54" s="61" t="n"/>
      <c r="B54" s="40" t="n"/>
      <c r="C54" s="1000">
        <f>SUM(AB54:AJ54)</f>
        <v/>
      </c>
      <c r="D54" s="1001">
        <f>SUM(AK54:AS54)</f>
        <v/>
      </c>
      <c r="E54" s="1001">
        <f>SUM(AT54:AU54)</f>
        <v/>
      </c>
      <c r="F54" s="1001">
        <f>SUM(AV54:AZ54)</f>
        <v/>
      </c>
      <c r="G54" s="1001">
        <f>SUM(BA54:BD54)</f>
        <v/>
      </c>
      <c r="H54" s="1001">
        <f>SUM(V54:AA54)</f>
        <v/>
      </c>
      <c r="I54" s="1002">
        <f>SUM(C54:H54)</f>
        <v/>
      </c>
      <c r="J54" s="1003" t="n"/>
      <c r="K54" s="1003" t="n"/>
      <c r="L54" s="1017" t="n"/>
      <c r="M54" s="1005" t="n"/>
      <c r="N54" s="1006" t="n"/>
      <c r="O54" s="1000" t="n"/>
      <c r="P54" s="1007" t="n"/>
      <c r="Q54" s="1008" t="n"/>
      <c r="R54" s="990">
        <f>R53+SUM(N54:Q54)-SUM(I54:M54)</f>
        <v/>
      </c>
      <c r="S54" s="71" t="n"/>
      <c r="T54" s="1007" t="n"/>
      <c r="U54" s="72" t="n"/>
      <c r="V54" s="1009" t="n"/>
      <c r="W54" s="1010" t="n"/>
      <c r="X54" s="1011" t="n"/>
      <c r="Y54" s="1011" t="n"/>
      <c r="Z54" s="1012" t="n"/>
      <c r="AA54" s="1013" t="n"/>
      <c r="AB54" s="1009" t="n"/>
      <c r="AC54" s="1010" t="n"/>
      <c r="AD54" s="1011" t="n"/>
      <c r="AE54" s="1011" t="n"/>
      <c r="AF54" s="1011" t="n"/>
      <c r="AG54" s="1011" t="n"/>
      <c r="AH54" s="1011" t="n"/>
      <c r="AI54" s="1011" t="n"/>
      <c r="AJ54" s="1014" t="n"/>
      <c r="AK54" s="1015" t="n"/>
      <c r="AL54" s="1011" t="n"/>
      <c r="AM54" s="1011" t="n"/>
      <c r="AN54" s="1011" t="n"/>
      <c r="AO54" s="1011" t="n"/>
      <c r="AP54" s="1011" t="n"/>
      <c r="AQ54" s="1011" t="n"/>
      <c r="AR54" s="1011" t="n"/>
      <c r="AS54" s="1013" t="n"/>
      <c r="AT54" s="1010" t="n"/>
      <c r="AU54" s="1014" t="n"/>
      <c r="AV54" s="1015" t="n"/>
      <c r="AW54" s="1011" t="n"/>
      <c r="AX54" s="1011" t="n"/>
      <c r="AY54" s="1011" t="n"/>
      <c r="AZ54" s="1013" t="n"/>
      <c r="BA54" s="1010" t="n"/>
      <c r="BB54" s="1011" t="n"/>
      <c r="BC54" s="1011" t="n"/>
      <c r="BD54" s="1013" t="n"/>
      <c r="BE54" s="936">
        <f>I54-SUM(AB54:BD54)</f>
        <v/>
      </c>
    </row>
    <row r="55">
      <c r="A55" s="61" t="n"/>
      <c r="B55" s="40" t="n"/>
      <c r="C55" s="1000">
        <f>SUM(AB55:AJ55)</f>
        <v/>
      </c>
      <c r="D55" s="1001">
        <f>SUM(AK55:AS55)</f>
        <v/>
      </c>
      <c r="E55" s="1001">
        <f>SUM(AT55:AU55)</f>
        <v/>
      </c>
      <c r="F55" s="1001">
        <f>SUM(AV55:AZ55)</f>
        <v/>
      </c>
      <c r="G55" s="1001">
        <f>SUM(BA55:BD55)</f>
        <v/>
      </c>
      <c r="H55" s="1001">
        <f>SUM(V55:AA55)</f>
        <v/>
      </c>
      <c r="I55" s="1002">
        <f>SUM(C55:H55)</f>
        <v/>
      </c>
      <c r="J55" s="1003" t="n"/>
      <c r="K55" s="1003" t="n"/>
      <c r="L55" s="1017" t="n"/>
      <c r="M55" s="1005" t="n"/>
      <c r="N55" s="1006" t="n"/>
      <c r="O55" s="1000" t="n"/>
      <c r="P55" s="1007" t="n"/>
      <c r="Q55" s="1008" t="n"/>
      <c r="R55" s="990">
        <f>R54+SUM(N55:Q55)-SUM(I55:M55)</f>
        <v/>
      </c>
      <c r="S55" s="71" t="n"/>
      <c r="T55" s="1007" t="n"/>
      <c r="U55" s="72" t="n"/>
      <c r="V55" s="1009" t="n"/>
      <c r="W55" s="1010" t="n"/>
      <c r="X55" s="1011" t="n"/>
      <c r="Y55" s="1011" t="n"/>
      <c r="Z55" s="1012" t="n"/>
      <c r="AA55" s="1013" t="n"/>
      <c r="AB55" s="1009" t="n"/>
      <c r="AC55" s="1010" t="n"/>
      <c r="AD55" s="1011" t="n"/>
      <c r="AE55" s="1011" t="n"/>
      <c r="AF55" s="1011" t="n"/>
      <c r="AG55" s="1011" t="n"/>
      <c r="AH55" s="1011" t="n"/>
      <c r="AI55" s="1011" t="n"/>
      <c r="AJ55" s="1014" t="n"/>
      <c r="AK55" s="1015" t="n"/>
      <c r="AL55" s="1011" t="n"/>
      <c r="AM55" s="1011" t="n"/>
      <c r="AN55" s="1011" t="n"/>
      <c r="AO55" s="1011" t="n"/>
      <c r="AP55" s="1011" t="n"/>
      <c r="AQ55" s="1011" t="n"/>
      <c r="AR55" s="1011" t="n"/>
      <c r="AS55" s="1013" t="n"/>
      <c r="AT55" s="1010" t="n"/>
      <c r="AU55" s="1014" t="n"/>
      <c r="AV55" s="1015" t="n"/>
      <c r="AW55" s="1011" t="n"/>
      <c r="AX55" s="1011" t="n"/>
      <c r="AY55" s="1011" t="n"/>
      <c r="AZ55" s="1013" t="n"/>
      <c r="BA55" s="1010" t="n"/>
      <c r="BB55" s="1011" t="n"/>
      <c r="BC55" s="1011" t="n"/>
      <c r="BD55" s="1013" t="n"/>
      <c r="BE55" s="936">
        <f>I55-SUM(AB55:BD55)</f>
        <v/>
      </c>
    </row>
    <row r="56">
      <c r="A56" s="61" t="n"/>
      <c r="B56" s="40" t="n"/>
      <c r="C56" s="1000">
        <f>SUM(AB56:AJ56)</f>
        <v/>
      </c>
      <c r="D56" s="1001">
        <f>SUM(AK56:AS56)</f>
        <v/>
      </c>
      <c r="E56" s="1001">
        <f>SUM(AT56:AU56)</f>
        <v/>
      </c>
      <c r="F56" s="1001">
        <f>SUM(AV56:AZ56)</f>
        <v/>
      </c>
      <c r="G56" s="1001">
        <f>SUM(BA56:BD56)</f>
        <v/>
      </c>
      <c r="H56" s="1001">
        <f>SUM(V56:AA56)</f>
        <v/>
      </c>
      <c r="I56" s="1002">
        <f>SUM(C56:H56)</f>
        <v/>
      </c>
      <c r="J56" s="1003" t="n"/>
      <c r="K56" s="1003" t="n"/>
      <c r="L56" s="1017" t="n"/>
      <c r="M56" s="1005" t="n"/>
      <c r="N56" s="1006" t="n"/>
      <c r="O56" s="1000" t="n"/>
      <c r="P56" s="1007" t="n"/>
      <c r="Q56" s="1008" t="n"/>
      <c r="R56" s="990">
        <f>R55+SUM(N56:Q56)-SUM(I56:M56)</f>
        <v/>
      </c>
      <c r="S56" s="71" t="n"/>
      <c r="T56" s="1007" t="n"/>
      <c r="U56" s="72" t="n"/>
      <c r="V56" s="1009" t="n"/>
      <c r="W56" s="1010" t="n"/>
      <c r="X56" s="1011" t="n"/>
      <c r="Y56" s="1011" t="n"/>
      <c r="Z56" s="1012" t="n"/>
      <c r="AA56" s="1013" t="n"/>
      <c r="AB56" s="1020" t="n"/>
      <c r="AC56" s="1021" t="n"/>
      <c r="AD56" s="1022" t="n"/>
      <c r="AE56" s="1022" t="n"/>
      <c r="AF56" s="1022" t="n"/>
      <c r="AG56" s="1022" t="n"/>
      <c r="AH56" s="1022" t="n"/>
      <c r="AI56" s="1022" t="n"/>
      <c r="AJ56" s="1023" t="n"/>
      <c r="AK56" s="1015" t="n"/>
      <c r="AL56" s="1011" t="n"/>
      <c r="AM56" s="1011" t="n"/>
      <c r="AN56" s="1011" t="n"/>
      <c r="AO56" s="1011" t="n"/>
      <c r="AP56" s="1011" t="n"/>
      <c r="AQ56" s="1011" t="n"/>
      <c r="AR56" s="1011" t="n"/>
      <c r="AS56" s="1013" t="n"/>
      <c r="AT56" s="1010" t="n"/>
      <c r="AU56" s="1014" t="n"/>
      <c r="AV56" s="1015" t="n"/>
      <c r="AW56" s="1011" t="n"/>
      <c r="AX56" s="1011" t="n"/>
      <c r="AY56" s="1011" t="n"/>
      <c r="AZ56" s="1013" t="n"/>
      <c r="BA56" s="1010" t="n"/>
      <c r="BB56" s="1011" t="n"/>
      <c r="BC56" s="1011" t="n"/>
      <c r="BD56" s="1013" t="n"/>
      <c r="BE56" s="936">
        <f>I56-SUM(AB56:BD56)</f>
        <v/>
      </c>
    </row>
    <row r="57">
      <c r="A57" s="61" t="n"/>
      <c r="B57" s="40" t="n"/>
      <c r="C57" s="1000">
        <f>SUM(AB57:AJ57)</f>
        <v/>
      </c>
      <c r="D57" s="1001">
        <f>SUM(AK57:AS57)</f>
        <v/>
      </c>
      <c r="E57" s="1001">
        <f>SUM(AT57:AU57)</f>
        <v/>
      </c>
      <c r="F57" s="1001">
        <f>SUM(AV57:AZ57)</f>
        <v/>
      </c>
      <c r="G57" s="1001">
        <f>SUM(BA57:BD57)</f>
        <v/>
      </c>
      <c r="H57" s="1001">
        <f>SUM(V57:AA57)</f>
        <v/>
      </c>
      <c r="I57" s="1002">
        <f>SUM(C57:H57)</f>
        <v/>
      </c>
      <c r="J57" s="1003" t="n"/>
      <c r="K57" s="1003" t="n"/>
      <c r="L57" s="1017" t="n"/>
      <c r="M57" s="1005" t="n"/>
      <c r="N57" s="1006" t="n"/>
      <c r="O57" s="1000" t="n"/>
      <c r="P57" s="1007" t="n"/>
      <c r="Q57" s="1008" t="n"/>
      <c r="R57" s="990">
        <f>R56+SUM(N57:Q57)-SUM(I57:M57)</f>
        <v/>
      </c>
      <c r="S57" s="71" t="n"/>
      <c r="T57" s="1026" t="n"/>
      <c r="U57" s="72" t="n"/>
      <c r="V57" s="1009" t="n"/>
      <c r="W57" s="1010" t="n"/>
      <c r="X57" s="1011" t="n"/>
      <c r="Y57" s="1011" t="n"/>
      <c r="Z57" s="1012" t="n"/>
      <c r="AA57" s="1013" t="n"/>
      <c r="AB57" s="1009" t="n"/>
      <c r="AC57" s="1010" t="n"/>
      <c r="AD57" s="1011" t="n"/>
      <c r="AE57" s="1011" t="n"/>
      <c r="AF57" s="1011" t="n"/>
      <c r="AG57" s="1011" t="n"/>
      <c r="AH57" s="1011" t="n"/>
      <c r="AI57" s="1011" t="n"/>
      <c r="AJ57" s="1014" t="n"/>
      <c r="AK57" s="1015" t="n"/>
      <c r="AL57" s="1011" t="n"/>
      <c r="AM57" s="1011" t="n"/>
      <c r="AN57" s="1011" t="n"/>
      <c r="AO57" s="1011" t="n"/>
      <c r="AP57" s="1011" t="n"/>
      <c r="AQ57" s="1011" t="n"/>
      <c r="AR57" s="1011" t="n"/>
      <c r="AS57" s="1013" t="n"/>
      <c r="AT57" s="1010" t="n"/>
      <c r="AU57" s="1014" t="n"/>
      <c r="AV57" s="1015" t="n"/>
      <c r="AW57" s="1011" t="n"/>
      <c r="AX57" s="1011" t="n"/>
      <c r="AY57" s="1011" t="n"/>
      <c r="AZ57" s="1013" t="n"/>
      <c r="BA57" s="1010" t="n"/>
      <c r="BB57" s="1011" t="n"/>
      <c r="BC57" s="1011" t="n"/>
      <c r="BD57" s="1013" t="n"/>
      <c r="BE57" s="936">
        <f>I57-SUM(AB57:BD57)</f>
        <v/>
      </c>
    </row>
    <row r="58">
      <c r="A58" s="61" t="n"/>
      <c r="B58" s="40" t="n"/>
      <c r="C58" s="1000">
        <f>SUM(AB58:AJ58)</f>
        <v/>
      </c>
      <c r="D58" s="1001">
        <f>SUM(AK58:AS58)</f>
        <v/>
      </c>
      <c r="E58" s="1001">
        <f>SUM(AT58:AU58)</f>
        <v/>
      </c>
      <c r="F58" s="1001">
        <f>SUM(AV58:AZ58)</f>
        <v/>
      </c>
      <c r="G58" s="1001">
        <f>SUM(BA58:BD58)</f>
        <v/>
      </c>
      <c r="H58" s="1001">
        <f>SUM(V58:AA58)</f>
        <v/>
      </c>
      <c r="I58" s="1002">
        <f>SUM(C58:H58)</f>
        <v/>
      </c>
      <c r="J58" s="1003" t="n"/>
      <c r="K58" s="1003" t="n"/>
      <c r="L58" s="1017" t="n"/>
      <c r="M58" s="1005" t="n"/>
      <c r="N58" s="1006" t="n"/>
      <c r="O58" s="1000" t="n"/>
      <c r="P58" s="1007" t="n"/>
      <c r="Q58" s="1008" t="n"/>
      <c r="R58" s="990">
        <f>R57+SUM(N58:Q58)-SUM(I58:M58)</f>
        <v/>
      </c>
      <c r="S58" s="71" t="n"/>
      <c r="T58" s="1019" t="n"/>
      <c r="U58" s="72" t="n"/>
      <c r="V58" s="1009" t="n"/>
      <c r="W58" s="1010" t="n"/>
      <c r="X58" s="1011" t="n"/>
      <c r="Y58" s="1011" t="n"/>
      <c r="Z58" s="1012" t="n"/>
      <c r="AA58" s="1013" t="n"/>
      <c r="AB58" s="1020" t="n"/>
      <c r="AC58" s="1021" t="n"/>
      <c r="AD58" s="1022" t="n"/>
      <c r="AE58" s="1022" t="n"/>
      <c r="AF58" s="1022" t="n"/>
      <c r="AG58" s="1022" t="n"/>
      <c r="AH58" s="1022" t="n"/>
      <c r="AI58" s="1022" t="n"/>
      <c r="AJ58" s="1023" t="n"/>
      <c r="AK58" s="1015" t="n"/>
      <c r="AL58" s="1011" t="n"/>
      <c r="AM58" s="1011" t="n"/>
      <c r="AN58" s="1011" t="n"/>
      <c r="AO58" s="1011" t="n"/>
      <c r="AP58" s="1011" t="n"/>
      <c r="AQ58" s="1011" t="n"/>
      <c r="AR58" s="1011" t="n"/>
      <c r="AS58" s="1013" t="n"/>
      <c r="AT58" s="1010" t="n"/>
      <c r="AU58" s="1014" t="n"/>
      <c r="AV58" s="1015" t="n"/>
      <c r="AW58" s="1011" t="n"/>
      <c r="AX58" s="1011" t="n"/>
      <c r="AY58" s="1011" t="n"/>
      <c r="AZ58" s="1013" t="n"/>
      <c r="BA58" s="1010" t="n"/>
      <c r="BB58" s="1011" t="n"/>
      <c r="BC58" s="1011" t="n"/>
      <c r="BD58" s="1013" t="n"/>
      <c r="BE58" s="936">
        <f>I58-SUM(AB58:BD58)</f>
        <v/>
      </c>
    </row>
    <row r="59">
      <c r="A59" s="61" t="n"/>
      <c r="B59" s="40" t="n"/>
      <c r="C59" s="1000">
        <f>SUM(AB59:AJ59)</f>
        <v/>
      </c>
      <c r="D59" s="1001">
        <f>SUM(AK59:AS59)</f>
        <v/>
      </c>
      <c r="E59" s="1001">
        <f>SUM(AT59:AU59)</f>
        <v/>
      </c>
      <c r="F59" s="1001">
        <f>SUM(AV59:AZ59)</f>
        <v/>
      </c>
      <c r="G59" s="1001">
        <f>SUM(BA59:BD59)</f>
        <v/>
      </c>
      <c r="H59" s="1001">
        <f>SUM(V59:AA59)</f>
        <v/>
      </c>
      <c r="I59" s="1002">
        <f>SUM(C59:H59)</f>
        <v/>
      </c>
      <c r="J59" s="1003" t="n"/>
      <c r="K59" s="1003" t="n"/>
      <c r="L59" s="1017" t="n"/>
      <c r="M59" s="1005" t="n"/>
      <c r="N59" s="1006" t="n"/>
      <c r="O59" s="1000" t="n"/>
      <c r="P59" s="1007" t="n"/>
      <c r="Q59" s="1008" t="n"/>
      <c r="R59" s="990">
        <f>R58+SUM(N59:Q59)-SUM(I59:M59)</f>
        <v/>
      </c>
      <c r="S59" s="71" t="n"/>
      <c r="T59" s="1026" t="n"/>
      <c r="U59" s="72" t="n"/>
      <c r="V59" s="1009" t="n"/>
      <c r="W59" s="1010" t="n"/>
      <c r="X59" s="1011" t="n"/>
      <c r="Y59" s="1011" t="n"/>
      <c r="Z59" s="1012" t="n"/>
      <c r="AA59" s="1013" t="n"/>
      <c r="AB59" s="1010" t="n"/>
      <c r="AC59" s="1010" t="n"/>
      <c r="AD59" s="1011" t="n"/>
      <c r="AE59" s="1011" t="n"/>
      <c r="AF59" s="1011" t="n"/>
      <c r="AG59" s="1011" t="n"/>
      <c r="AH59" s="1011" t="n"/>
      <c r="AI59" s="1011" t="n"/>
      <c r="AJ59" s="1014" t="n"/>
      <c r="AK59" s="1015" t="n"/>
      <c r="AL59" s="1011" t="n"/>
      <c r="AM59" s="1011" t="n"/>
      <c r="AN59" s="1011" t="n"/>
      <c r="AO59" s="1011" t="n"/>
      <c r="AP59" s="1011" t="n"/>
      <c r="AQ59" s="1011" t="n"/>
      <c r="AR59" s="1011" t="n"/>
      <c r="AS59" s="1013" t="n"/>
      <c r="AT59" s="1010" t="n"/>
      <c r="AU59" s="1014" t="n"/>
      <c r="AV59" s="1015" t="n"/>
      <c r="AW59" s="1011" t="n"/>
      <c r="AX59" s="1011" t="n"/>
      <c r="AY59" s="1011" t="n"/>
      <c r="AZ59" s="1013" t="n"/>
      <c r="BA59" s="1010" t="n"/>
      <c r="BB59" s="1011" t="n"/>
      <c r="BC59" s="1011" t="n"/>
      <c r="BD59" s="1013" t="n"/>
      <c r="BE59" s="936">
        <f>I59-SUM(AB59:BD59)</f>
        <v/>
      </c>
    </row>
    <row r="60" ht="15" customHeight="1">
      <c r="A60" s="61" t="n"/>
      <c r="B60" s="40" t="n"/>
      <c r="C60" s="1000">
        <f>SUM(AB60:AJ60)</f>
        <v/>
      </c>
      <c r="D60" s="1001">
        <f>SUM(AK60:AS60)</f>
        <v/>
      </c>
      <c r="E60" s="1001">
        <f>SUM(AT60:AU60)</f>
        <v/>
      </c>
      <c r="F60" s="1001">
        <f>SUM(AV60:AZ60)</f>
        <v/>
      </c>
      <c r="G60" s="1001">
        <f>SUM(BA60:BD60)</f>
        <v/>
      </c>
      <c r="H60" s="1001">
        <f>SUM(V60:AA60)</f>
        <v/>
      </c>
      <c r="I60" s="1002">
        <f>SUM(C60:H60)</f>
        <v/>
      </c>
      <c r="J60" s="1003" t="n"/>
      <c r="K60" s="1003" t="n"/>
      <c r="L60" s="1017" t="n"/>
      <c r="M60" s="1005" t="n"/>
      <c r="N60" s="1006" t="n"/>
      <c r="O60" s="1000" t="n"/>
      <c r="P60" s="1007" t="n"/>
      <c r="Q60" s="1008" t="n"/>
      <c r="R60" s="990">
        <f>R59+SUM(N60:Q60)-SUM(I60:M60)</f>
        <v/>
      </c>
      <c r="S60" s="71" t="n"/>
      <c r="T60" s="1026" t="n"/>
      <c r="U60" s="72" t="n"/>
      <c r="V60" s="1009" t="n"/>
      <c r="W60" s="1010" t="n"/>
      <c r="X60" s="1011" t="n"/>
      <c r="Y60" s="1011" t="n"/>
      <c r="Z60" s="1012" t="n"/>
      <c r="AA60" s="1013" t="n"/>
      <c r="AB60" s="1010" t="n"/>
      <c r="AC60" s="1010" t="n"/>
      <c r="AD60" s="1011" t="n"/>
      <c r="AE60" s="1011" t="n"/>
      <c r="AF60" s="1011" t="n"/>
      <c r="AG60" s="1011" t="n"/>
      <c r="AH60" s="1011" t="n"/>
      <c r="AI60" s="1011" t="n"/>
      <c r="AJ60" s="1014" t="n"/>
      <c r="AK60" s="1015" t="n"/>
      <c r="AL60" s="1011" t="n"/>
      <c r="AM60" s="1011" t="n"/>
      <c r="AN60" s="1011" t="n"/>
      <c r="AO60" s="1011" t="n"/>
      <c r="AP60" s="1011" t="n"/>
      <c r="AQ60" s="1011" t="n"/>
      <c r="AR60" s="1011" t="n"/>
      <c r="AS60" s="1013" t="n"/>
      <c r="AT60" s="1010" t="n"/>
      <c r="AU60" s="1014" t="n"/>
      <c r="AV60" s="1015" t="n"/>
      <c r="AW60" s="1011" t="n"/>
      <c r="AX60" s="1011" t="n"/>
      <c r="AY60" s="1011" t="n"/>
      <c r="AZ60" s="1013" t="n"/>
      <c r="BA60" s="1010" t="n"/>
      <c r="BB60" s="1011" t="n"/>
      <c r="BC60" s="1011" t="n"/>
      <c r="BD60" s="1013" t="n"/>
      <c r="BE60" s="936">
        <f>I60-SUM(AB60:BD60)</f>
        <v/>
      </c>
    </row>
    <row r="61">
      <c r="A61" s="61" t="n"/>
      <c r="B61" s="40" t="n"/>
      <c r="C61" s="1000">
        <f>SUM(AB61:AJ61)</f>
        <v/>
      </c>
      <c r="D61" s="1001">
        <f>SUM(AK61:AS61)</f>
        <v/>
      </c>
      <c r="E61" s="1001">
        <f>SUM(AT61:AU61)</f>
        <v/>
      </c>
      <c r="F61" s="1001">
        <f>SUM(AV61:AZ61)</f>
        <v/>
      </c>
      <c r="G61" s="1001">
        <f>SUM(BA61:BD61)</f>
        <v/>
      </c>
      <c r="H61" s="1001">
        <f>SUM(V61:AA61)</f>
        <v/>
      </c>
      <c r="I61" s="1002">
        <f>SUM(C61:H61)</f>
        <v/>
      </c>
      <c r="J61" s="1003" t="n"/>
      <c r="K61" s="1003" t="n"/>
      <c r="L61" s="1017" t="n"/>
      <c r="M61" s="1005" t="n"/>
      <c r="N61" s="1006" t="n"/>
      <c r="O61" s="1000" t="n"/>
      <c r="P61" s="1007" t="n"/>
      <c r="Q61" s="1008" t="n"/>
      <c r="R61" s="990">
        <f>R60+SUM(N61:Q61)-SUM(I61:M61)</f>
        <v/>
      </c>
      <c r="S61" s="71" t="n"/>
      <c r="T61" s="1026" t="n"/>
      <c r="U61" s="72" t="n"/>
      <c r="V61" s="1009" t="n"/>
      <c r="W61" s="1010" t="n"/>
      <c r="X61" s="1011" t="n"/>
      <c r="Y61" s="1011" t="n"/>
      <c r="Z61" s="1012" t="n"/>
      <c r="AA61" s="1013" t="n"/>
      <c r="AB61" s="1010" t="n"/>
      <c r="AC61" s="1010" t="n"/>
      <c r="AD61" s="1011" t="n"/>
      <c r="AE61" s="1011" t="n"/>
      <c r="AF61" s="1011" t="n"/>
      <c r="AG61" s="1011" t="n"/>
      <c r="AH61" s="1011" t="n"/>
      <c r="AI61" s="1011" t="n"/>
      <c r="AJ61" s="1014" t="n"/>
      <c r="AK61" s="1015" t="n"/>
      <c r="AL61" s="1011" t="n"/>
      <c r="AM61" s="1011" t="n"/>
      <c r="AN61" s="1011" t="n"/>
      <c r="AO61" s="1011" t="n"/>
      <c r="AP61" s="1011" t="n"/>
      <c r="AQ61" s="1011" t="n"/>
      <c r="AR61" s="1011" t="n"/>
      <c r="AS61" s="1013" t="n"/>
      <c r="AT61" s="1010" t="n"/>
      <c r="AU61" s="1014" t="n"/>
      <c r="AV61" s="1015" t="n"/>
      <c r="AW61" s="1011" t="n"/>
      <c r="AX61" s="1011" t="n"/>
      <c r="AY61" s="1011" t="n"/>
      <c r="AZ61" s="1013" t="n"/>
      <c r="BA61" s="1010" t="n"/>
      <c r="BB61" s="1011" t="n"/>
      <c r="BC61" s="1011" t="n"/>
      <c r="BD61" s="1013" t="n"/>
      <c r="BE61" s="936">
        <f>I61-SUM(AB61:BD61)</f>
        <v/>
      </c>
    </row>
    <row r="62">
      <c r="A62" s="61" t="n"/>
      <c r="B62" s="40" t="n"/>
      <c r="C62" s="1000">
        <f>SUM(AB62:AJ62)</f>
        <v/>
      </c>
      <c r="D62" s="1001">
        <f>SUM(AK62:AS62)</f>
        <v/>
      </c>
      <c r="E62" s="1001">
        <f>SUM(AT62:AU62)</f>
        <v/>
      </c>
      <c r="F62" s="1001">
        <f>SUM(AV62:AZ62)</f>
        <v/>
      </c>
      <c r="G62" s="1001">
        <f>SUM(BA62:BD62)</f>
        <v/>
      </c>
      <c r="H62" s="1001">
        <f>SUM(V62:AA62)</f>
        <v/>
      </c>
      <c r="I62" s="1002">
        <f>SUM(C62:H62)</f>
        <v/>
      </c>
      <c r="J62" s="1003" t="n"/>
      <c r="K62" s="1003" t="n"/>
      <c r="L62" s="1017" t="n"/>
      <c r="M62" s="1005" t="n"/>
      <c r="N62" s="1006" t="n"/>
      <c r="O62" s="1000" t="n"/>
      <c r="P62" s="1007" t="n"/>
      <c r="Q62" s="1008" t="n"/>
      <c r="R62" s="990">
        <f>R61+SUM(N62:Q62)-SUM(I62:M62)</f>
        <v/>
      </c>
      <c r="S62" s="71" t="n"/>
      <c r="T62" s="1007" t="n"/>
      <c r="U62" s="72" t="n"/>
      <c r="V62" s="1009" t="n"/>
      <c r="W62" s="1010" t="n"/>
      <c r="X62" s="1011" t="n"/>
      <c r="Y62" s="1011" t="n"/>
      <c r="Z62" s="1012" t="n"/>
      <c r="AA62" s="1013" t="n"/>
      <c r="AB62" s="106" t="n"/>
      <c r="AC62" s="106" t="n"/>
      <c r="AD62" s="1022" t="n"/>
      <c r="AE62" s="1022" t="n"/>
      <c r="AF62" s="1022" t="n"/>
      <c r="AG62" s="1022" t="n"/>
      <c r="AH62" s="1022" t="n"/>
      <c r="AI62" s="1022" t="n"/>
      <c r="AJ62" s="1023" t="n"/>
      <c r="AK62" s="1015" t="n"/>
      <c r="AL62" s="1011" t="n"/>
      <c r="AM62" s="1011" t="n"/>
      <c r="AN62" s="1011" t="n"/>
      <c r="AO62" s="1011" t="n"/>
      <c r="AP62" s="1011" t="n"/>
      <c r="AQ62" s="1011" t="n"/>
      <c r="AR62" s="1011" t="n"/>
      <c r="AS62" s="1013" t="n"/>
      <c r="AT62" s="1010" t="n"/>
      <c r="AU62" s="1014" t="n"/>
      <c r="AV62" s="1015" t="n"/>
      <c r="AW62" s="1011" t="n"/>
      <c r="AX62" s="1011" t="n"/>
      <c r="AY62" s="1011" t="n"/>
      <c r="AZ62" s="1013" t="n"/>
      <c r="BA62" s="1010" t="n"/>
      <c r="BB62" s="1011" t="n"/>
      <c r="BC62" s="1011" t="n"/>
      <c r="BD62" s="1013" t="n"/>
      <c r="BE62" s="936">
        <f>I62-SUM(AB62:BD62)</f>
        <v/>
      </c>
    </row>
    <row r="63">
      <c r="A63" s="61" t="n"/>
      <c r="B63" s="40" t="n"/>
      <c r="C63" s="1000">
        <f>SUM(AB63:AJ63)</f>
        <v/>
      </c>
      <c r="D63" s="1001">
        <f>SUM(AK63:AS63)</f>
        <v/>
      </c>
      <c r="E63" s="1001">
        <f>SUM(AT63:AU63)</f>
        <v/>
      </c>
      <c r="F63" s="1001">
        <f>SUM(AV63:AZ63)</f>
        <v/>
      </c>
      <c r="G63" s="1001">
        <f>SUM(BA63:BD63)</f>
        <v/>
      </c>
      <c r="H63" s="1001">
        <f>SUM(V63:AA63)</f>
        <v/>
      </c>
      <c r="I63" s="1002">
        <f>SUM(C63:H63)</f>
        <v/>
      </c>
      <c r="J63" s="1003" t="n"/>
      <c r="K63" s="1003" t="n"/>
      <c r="L63" s="1017" t="n"/>
      <c r="M63" s="1005" t="n"/>
      <c r="N63" s="1006" t="n"/>
      <c r="O63" s="1000" t="n"/>
      <c r="P63" s="1007" t="n"/>
      <c r="Q63" s="1008" t="n"/>
      <c r="R63" s="990">
        <f>R62+SUM(N63:Q63)-SUM(I63:M63)</f>
        <v/>
      </c>
      <c r="S63" s="71" t="n"/>
      <c r="T63" s="1007" t="n"/>
      <c r="U63" s="72" t="n"/>
      <c r="V63" s="1009" t="n"/>
      <c r="W63" s="1010" t="n"/>
      <c r="X63" s="1011" t="n"/>
      <c r="Y63" s="1011" t="n"/>
      <c r="Z63" s="1012" t="n"/>
      <c r="AA63" s="1013" t="n"/>
      <c r="AB63" s="1010" t="n"/>
      <c r="AC63" s="1010" t="n"/>
      <c r="AD63" s="1011" t="n"/>
      <c r="AE63" s="1011" t="n"/>
      <c r="AF63" s="1011" t="n"/>
      <c r="AG63" s="1011" t="n"/>
      <c r="AH63" s="1011" t="n"/>
      <c r="AI63" s="1011" t="n"/>
      <c r="AJ63" s="1014" t="n"/>
      <c r="AK63" s="1015" t="n"/>
      <c r="AL63" s="1011" t="n"/>
      <c r="AM63" s="1011" t="n"/>
      <c r="AN63" s="1011" t="n"/>
      <c r="AO63" s="1011" t="n"/>
      <c r="AP63" s="1011" t="n"/>
      <c r="AQ63" s="1011" t="n"/>
      <c r="AR63" s="1011" t="n"/>
      <c r="AS63" s="1013" t="n"/>
      <c r="AT63" s="1010" t="n"/>
      <c r="AU63" s="1014" t="n"/>
      <c r="AV63" s="1015" t="n"/>
      <c r="AW63" s="1011" t="n"/>
      <c r="AX63" s="1011" t="n"/>
      <c r="AY63" s="1011" t="n"/>
      <c r="AZ63" s="1013" t="n"/>
      <c r="BA63" s="1010" t="n"/>
      <c r="BB63" s="1011" t="n"/>
      <c r="BC63" s="1011" t="n"/>
      <c r="BD63" s="1013" t="n"/>
      <c r="BE63" s="936">
        <f>I63-SUM(AB63:BD63)</f>
        <v/>
      </c>
    </row>
    <row r="64">
      <c r="A64" s="61" t="n"/>
      <c r="B64" s="40" t="n"/>
      <c r="C64" s="1000">
        <f>SUM(AB64:AJ64)</f>
        <v/>
      </c>
      <c r="D64" s="1001">
        <f>SUM(AK64:AS64)</f>
        <v/>
      </c>
      <c r="E64" s="1001">
        <f>SUM(AT64:AU64)</f>
        <v/>
      </c>
      <c r="F64" s="1001">
        <f>SUM(AV64:AZ64)</f>
        <v/>
      </c>
      <c r="G64" s="1001">
        <f>SUM(BA64:BD64)</f>
        <v/>
      </c>
      <c r="H64" s="1001">
        <f>SUM(V64:AA64)</f>
        <v/>
      </c>
      <c r="I64" s="1002">
        <f>SUM(C64:H64)</f>
        <v/>
      </c>
      <c r="J64" s="1003" t="n"/>
      <c r="K64" s="1003" t="n"/>
      <c r="L64" s="1017" t="n"/>
      <c r="M64" s="1005" t="n"/>
      <c r="N64" s="1006" t="n"/>
      <c r="O64" s="1000" t="n"/>
      <c r="P64" s="1007" t="n"/>
      <c r="Q64" s="1008" t="n"/>
      <c r="R64" s="990">
        <f>R63+SUM(N64:Q64)-SUM(I64:M64)</f>
        <v/>
      </c>
      <c r="S64" s="71" t="n"/>
      <c r="T64" s="1007" t="n"/>
      <c r="U64" s="72" t="n"/>
      <c r="V64" s="1009" t="n"/>
      <c r="W64" s="1010" t="n"/>
      <c r="X64" s="1011" t="n"/>
      <c r="Y64" s="1011" t="n"/>
      <c r="Z64" s="1012" t="n"/>
      <c r="AA64" s="1013" t="n"/>
      <c r="AB64" s="106" t="n"/>
      <c r="AC64" s="106" t="n"/>
      <c r="AD64" s="1022" t="n"/>
      <c r="AE64" s="1022" t="n"/>
      <c r="AF64" s="1022" t="n"/>
      <c r="AG64" s="1022" t="n"/>
      <c r="AH64" s="1022" t="n"/>
      <c r="AI64" s="1022" t="n"/>
      <c r="AJ64" s="1023" t="n"/>
      <c r="AK64" s="1015" t="n"/>
      <c r="AL64" s="1011" t="n"/>
      <c r="AM64" s="1011" t="n"/>
      <c r="AN64" s="1011" t="n"/>
      <c r="AO64" s="1011" t="n"/>
      <c r="AP64" s="1011" t="n"/>
      <c r="AQ64" s="1011" t="n"/>
      <c r="AR64" s="1011" t="n"/>
      <c r="AS64" s="1013" t="n"/>
      <c r="AT64" s="1010" t="n"/>
      <c r="AU64" s="1014" t="n"/>
      <c r="AV64" s="1015" t="n"/>
      <c r="AW64" s="1011" t="n"/>
      <c r="AX64" s="1011" t="n"/>
      <c r="AY64" s="1011" t="n"/>
      <c r="AZ64" s="1013" t="n"/>
      <c r="BA64" s="1010" t="n"/>
      <c r="BB64" s="1011" t="n"/>
      <c r="BC64" s="1011" t="n"/>
      <c r="BD64" s="1013" t="n"/>
      <c r="BE64" s="936">
        <f>I64-SUM(AB64:BD64)</f>
        <v/>
      </c>
    </row>
    <row r="65">
      <c r="A65" s="61" t="n"/>
      <c r="B65" s="40" t="n"/>
      <c r="C65" s="1000">
        <f>SUM(AB65:AJ65)</f>
        <v/>
      </c>
      <c r="D65" s="1001">
        <f>SUM(AK65:AS65)</f>
        <v/>
      </c>
      <c r="E65" s="1001">
        <f>SUM(AT65:AU65)</f>
        <v/>
      </c>
      <c r="F65" s="1001">
        <f>SUM(AV65:AZ65)</f>
        <v/>
      </c>
      <c r="G65" s="1001">
        <f>SUM(BA65:BD65)</f>
        <v/>
      </c>
      <c r="H65" s="1001">
        <f>SUM(V65:AA65)</f>
        <v/>
      </c>
      <c r="I65" s="1002">
        <f>SUM(C65:H65)</f>
        <v/>
      </c>
      <c r="J65" s="1003" t="n"/>
      <c r="K65" s="1003" t="n"/>
      <c r="L65" s="1017" t="n"/>
      <c r="M65" s="1005" t="n"/>
      <c r="N65" s="1006" t="n"/>
      <c r="O65" s="1000" t="n"/>
      <c r="P65" s="1007" t="n"/>
      <c r="Q65" s="1008" t="n"/>
      <c r="R65" s="990">
        <f>R64+SUM(N65:Q65)-SUM(I65:M65)</f>
        <v/>
      </c>
      <c r="S65" s="71" t="n"/>
      <c r="T65" s="1007" t="n"/>
      <c r="U65" s="72" t="n"/>
      <c r="V65" s="1009" t="n"/>
      <c r="W65" s="1010" t="n"/>
      <c r="X65" s="1011" t="n"/>
      <c r="Y65" s="1011" t="n"/>
      <c r="Z65" s="1012" t="n"/>
      <c r="AA65" s="1013" t="n"/>
      <c r="AB65" s="1010" t="n"/>
      <c r="AC65" s="1010" t="n"/>
      <c r="AD65" s="1011" t="n"/>
      <c r="AE65" s="1011" t="n"/>
      <c r="AF65" s="1011" t="n"/>
      <c r="AG65" s="1011" t="n"/>
      <c r="AH65" s="1011" t="n"/>
      <c r="AI65" s="1011" t="n"/>
      <c r="AJ65" s="1014" t="n"/>
      <c r="AK65" s="1015" t="n"/>
      <c r="AL65" s="1011" t="n"/>
      <c r="AM65" s="1011" t="n"/>
      <c r="AN65" s="1011" t="n"/>
      <c r="AO65" s="1011" t="n"/>
      <c r="AP65" s="1011" t="n"/>
      <c r="AQ65" s="1011" t="n"/>
      <c r="AR65" s="1011" t="n"/>
      <c r="AS65" s="1013" t="n"/>
      <c r="AT65" s="1010" t="n"/>
      <c r="AU65" s="1014" t="n"/>
      <c r="AV65" s="1015" t="n"/>
      <c r="AW65" s="1011" t="n"/>
      <c r="AX65" s="1011" t="n"/>
      <c r="AY65" s="1011" t="n"/>
      <c r="AZ65" s="1013" t="n"/>
      <c r="BA65" s="1010" t="n"/>
      <c r="BB65" s="1011" t="n"/>
      <c r="BC65" s="1011" t="n"/>
      <c r="BD65" s="1013" t="n"/>
      <c r="BE65" s="936">
        <f>I65-SUM(AB65:BD65)</f>
        <v/>
      </c>
    </row>
    <row r="66">
      <c r="A66" s="61" t="n"/>
      <c r="B66" s="40" t="n"/>
      <c r="C66" s="1000">
        <f>SUM(AB66:AJ66)</f>
        <v/>
      </c>
      <c r="D66" s="1001">
        <f>SUM(AK66:AS66)</f>
        <v/>
      </c>
      <c r="E66" s="1001">
        <f>SUM(AT66:AU66)</f>
        <v/>
      </c>
      <c r="F66" s="1001">
        <f>SUM(AV66:AZ66)</f>
        <v/>
      </c>
      <c r="G66" s="1001">
        <f>SUM(BA66:BD66)</f>
        <v/>
      </c>
      <c r="H66" s="1001">
        <f>SUM(V66:AA66)</f>
        <v/>
      </c>
      <c r="I66" s="1002">
        <f>SUM(C66:H66)</f>
        <v/>
      </c>
      <c r="J66" s="1003" t="n"/>
      <c r="K66" s="1003" t="n"/>
      <c r="L66" s="1017" t="n"/>
      <c r="M66" s="1005" t="n"/>
      <c r="N66" s="1006" t="n"/>
      <c r="O66" s="1000" t="n"/>
      <c r="P66" s="1007" t="n"/>
      <c r="Q66" s="1008" t="n"/>
      <c r="R66" s="990">
        <f>R65+SUM(N66:Q66)-SUM(I66:M66)</f>
        <v/>
      </c>
      <c r="S66" s="71" t="n"/>
      <c r="T66" s="1007" t="n"/>
      <c r="U66" s="72" t="n"/>
      <c r="V66" s="1009" t="n"/>
      <c r="W66" s="1010" t="n"/>
      <c r="X66" s="1011" t="n"/>
      <c r="Y66" s="1011" t="n"/>
      <c r="Z66" s="1012" t="n"/>
      <c r="AA66" s="1013" t="n"/>
      <c r="AB66" s="106" t="n"/>
      <c r="AC66" s="106" t="n"/>
      <c r="AD66" s="1011" t="n"/>
      <c r="AE66" s="1011" t="n"/>
      <c r="AF66" s="1011" t="n"/>
      <c r="AG66" s="1011" t="n"/>
      <c r="AH66" s="1011" t="n"/>
      <c r="AI66" s="1011" t="n"/>
      <c r="AJ66" s="1014" t="n"/>
      <c r="AK66" s="1015" t="n"/>
      <c r="AL66" s="1011" t="n"/>
      <c r="AM66" s="1011" t="n"/>
      <c r="AN66" s="1011" t="n"/>
      <c r="AO66" s="1011" t="n"/>
      <c r="AP66" s="1011" t="n"/>
      <c r="AQ66" s="1011" t="n"/>
      <c r="AR66" s="1011" t="n"/>
      <c r="AS66" s="1013" t="n"/>
      <c r="AT66" s="1010" t="n"/>
      <c r="AU66" s="1014" t="n"/>
      <c r="AV66" s="1015" t="n"/>
      <c r="AW66" s="1011" t="n"/>
      <c r="AX66" s="1011" t="n"/>
      <c r="AY66" s="1011" t="n"/>
      <c r="AZ66" s="1013" t="n"/>
      <c r="BA66" s="1010" t="n"/>
      <c r="BB66" s="1011" t="n"/>
      <c r="BC66" s="1011" t="n"/>
      <c r="BD66" s="1013" t="n"/>
      <c r="BE66" s="936">
        <f>I66-SUM(AB66:BD66)</f>
        <v/>
      </c>
    </row>
    <row r="67">
      <c r="A67" s="61" t="n"/>
      <c r="B67" s="40" t="n"/>
      <c r="C67" s="1000">
        <f>SUM(AB67:AJ67)</f>
        <v/>
      </c>
      <c r="D67" s="1001">
        <f>SUM(AK67:AS67)</f>
        <v/>
      </c>
      <c r="E67" s="1001">
        <f>SUM(AT67:AU67)</f>
        <v/>
      </c>
      <c r="F67" s="1001">
        <f>SUM(AV67:AZ67)</f>
        <v/>
      </c>
      <c r="G67" s="1001">
        <f>SUM(BA67:BD67)</f>
        <v/>
      </c>
      <c r="H67" s="1001">
        <f>SUM(V67:AA67)</f>
        <v/>
      </c>
      <c r="I67" s="1002">
        <f>SUM(C67:H67)</f>
        <v/>
      </c>
      <c r="J67" s="1003" t="n"/>
      <c r="K67" s="1003" t="n"/>
      <c r="L67" s="1017" t="n"/>
      <c r="M67" s="1005" t="n"/>
      <c r="N67" s="1006" t="n"/>
      <c r="O67" s="1000" t="n"/>
      <c r="P67" s="1007" t="n"/>
      <c r="Q67" s="1008" t="n"/>
      <c r="R67" s="990">
        <f>R66+SUM(N67:Q67)-SUM(I67:M67)</f>
        <v/>
      </c>
      <c r="S67" s="71" t="n"/>
      <c r="T67" s="1007" t="n"/>
      <c r="U67" s="72" t="n"/>
      <c r="V67" s="1009" t="n"/>
      <c r="W67" s="1010" t="n"/>
      <c r="X67" s="1011" t="n"/>
      <c r="Y67" s="1011" t="n"/>
      <c r="Z67" s="1012" t="n"/>
      <c r="AA67" s="1013" t="n"/>
      <c r="AB67" s="1010" t="n"/>
      <c r="AC67" s="1010" t="n"/>
      <c r="AD67" s="1011" t="n"/>
      <c r="AE67" s="1011" t="n"/>
      <c r="AF67" s="1011" t="n"/>
      <c r="AG67" s="1011" t="n"/>
      <c r="AH67" s="1011" t="n"/>
      <c r="AI67" s="1011" t="n"/>
      <c r="AJ67" s="1014" t="n"/>
      <c r="AK67" s="1015" t="n"/>
      <c r="AL67" s="1011" t="n"/>
      <c r="AM67" s="1011" t="n"/>
      <c r="AN67" s="1011" t="n"/>
      <c r="AO67" s="1011" t="n"/>
      <c r="AP67" s="1011" t="n"/>
      <c r="AQ67" s="1011" t="n"/>
      <c r="AR67" s="1011" t="n"/>
      <c r="AS67" s="1013" t="n"/>
      <c r="AT67" s="1010" t="n"/>
      <c r="AU67" s="1014" t="n"/>
      <c r="AV67" s="1015" t="n"/>
      <c r="AW67" s="1011" t="n"/>
      <c r="AX67" s="1011" t="n"/>
      <c r="AY67" s="1011" t="n"/>
      <c r="AZ67" s="1013" t="n"/>
      <c r="BA67" s="1010" t="n"/>
      <c r="BB67" s="1011" t="n"/>
      <c r="BC67" s="1011" t="n"/>
      <c r="BD67" s="1013" t="n"/>
      <c r="BE67" s="936">
        <f>I67-SUM(AB67:BD67)</f>
        <v/>
      </c>
    </row>
    <row r="68">
      <c r="A68" s="61" t="n"/>
      <c r="B68" s="40" t="n"/>
      <c r="C68" s="1000">
        <f>SUM(AB68:AJ68)</f>
        <v/>
      </c>
      <c r="D68" s="1001">
        <f>SUM(AK68:AS68)</f>
        <v/>
      </c>
      <c r="E68" s="1001">
        <f>SUM(AT68:AU68)</f>
        <v/>
      </c>
      <c r="F68" s="1001">
        <f>SUM(AV68:AZ68)</f>
        <v/>
      </c>
      <c r="G68" s="1001">
        <f>SUM(BA68:BD68)</f>
        <v/>
      </c>
      <c r="H68" s="1001">
        <f>SUM(V68:AA68)</f>
        <v/>
      </c>
      <c r="I68" s="1002">
        <f>SUM(C68:H68)</f>
        <v/>
      </c>
      <c r="J68" s="1003" t="n"/>
      <c r="K68" s="1003" t="n"/>
      <c r="L68" s="1017" t="n"/>
      <c r="M68" s="1005" t="n"/>
      <c r="N68" s="1006" t="n"/>
      <c r="O68" s="1000" t="n"/>
      <c r="P68" s="1007" t="n"/>
      <c r="Q68" s="1008" t="n"/>
      <c r="R68" s="990">
        <f>R67+SUM(N68:Q68)-SUM(I68:M68)</f>
        <v/>
      </c>
      <c r="S68" s="71" t="n"/>
      <c r="T68" s="1007" t="n"/>
      <c r="U68" s="72" t="n"/>
      <c r="V68" s="1009" t="n"/>
      <c r="W68" s="1010" t="n"/>
      <c r="X68" s="1011" t="n"/>
      <c r="Y68" s="1011" t="n"/>
      <c r="Z68" s="1012" t="n"/>
      <c r="AA68" s="1013" t="n"/>
      <c r="AB68" s="106" t="n"/>
      <c r="AC68" s="106" t="n"/>
      <c r="AD68" s="1011" t="n"/>
      <c r="AE68" s="1011" t="n"/>
      <c r="AF68" s="1011" t="n"/>
      <c r="AG68" s="1011" t="n"/>
      <c r="AH68" s="1011" t="n"/>
      <c r="AI68" s="1011" t="n"/>
      <c r="AJ68" s="1014" t="n"/>
      <c r="AK68" s="1015" t="n"/>
      <c r="AL68" s="1011" t="n"/>
      <c r="AM68" s="1011" t="n"/>
      <c r="AN68" s="1011" t="n"/>
      <c r="AO68" s="1011" t="n"/>
      <c r="AP68" s="1011" t="n"/>
      <c r="AQ68" s="1011" t="n"/>
      <c r="AR68" s="1011" t="n"/>
      <c r="AS68" s="1013" t="n"/>
      <c r="AT68" s="1010" t="n"/>
      <c r="AU68" s="1014" t="n"/>
      <c r="AV68" s="1015" t="n"/>
      <c r="AW68" s="1011" t="n"/>
      <c r="AX68" s="1011" t="n"/>
      <c r="AY68" s="1011" t="n"/>
      <c r="AZ68" s="1013" t="n"/>
      <c r="BA68" s="1010" t="n"/>
      <c r="BB68" s="1011" t="n"/>
      <c r="BC68" s="1011" t="n"/>
      <c r="BD68" s="1013" t="n"/>
      <c r="BE68" s="936">
        <f>I68-SUM(AB68:BD68)</f>
        <v/>
      </c>
    </row>
    <row r="69">
      <c r="A69" s="61" t="n"/>
      <c r="B69" s="40" t="n"/>
      <c r="C69" s="1000">
        <f>SUM(AB69:AJ69)</f>
        <v/>
      </c>
      <c r="D69" s="1001">
        <f>SUM(AK69:AS69)</f>
        <v/>
      </c>
      <c r="E69" s="1001">
        <f>SUM(AT69:AU69)</f>
        <v/>
      </c>
      <c r="F69" s="1001">
        <f>SUM(AV69:AZ69)</f>
        <v/>
      </c>
      <c r="G69" s="1001">
        <f>SUM(BA69:BD69)</f>
        <v/>
      </c>
      <c r="H69" s="1001">
        <f>SUM(V69:AA69)</f>
        <v/>
      </c>
      <c r="I69" s="1002">
        <f>SUM(C69:H69)</f>
        <v/>
      </c>
      <c r="J69" s="1003" t="n"/>
      <c r="K69" s="1003" t="n"/>
      <c r="L69" s="1017" t="n"/>
      <c r="M69" s="1005" t="n"/>
      <c r="N69" s="1006" t="n"/>
      <c r="O69" s="1000" t="n"/>
      <c r="P69" s="1007" t="n"/>
      <c r="Q69" s="1008" t="n"/>
      <c r="R69" s="990">
        <f>R68+SUM(N69:Q69)-SUM(I69:M69)</f>
        <v/>
      </c>
      <c r="S69" s="71" t="n"/>
      <c r="T69" s="1007" t="n"/>
      <c r="U69" s="72" t="n"/>
      <c r="V69" s="1009" t="n"/>
      <c r="W69" s="1010" t="n"/>
      <c r="X69" s="1011" t="n"/>
      <c r="Y69" s="1011" t="n"/>
      <c r="Z69" s="1012" t="n"/>
      <c r="AA69" s="1013" t="n"/>
      <c r="AB69" s="1010" t="n"/>
      <c r="AC69" s="1010" t="n"/>
      <c r="AD69" s="1011" t="n"/>
      <c r="AE69" s="1011" t="n"/>
      <c r="AF69" s="1011" t="n"/>
      <c r="AG69" s="1011" t="n"/>
      <c r="AH69" s="1011" t="n"/>
      <c r="AI69" s="1011" t="n"/>
      <c r="AJ69" s="1014" t="n"/>
      <c r="AK69" s="1015" t="n"/>
      <c r="AL69" s="1011" t="n"/>
      <c r="AM69" s="1011" t="n"/>
      <c r="AN69" s="1011" t="n"/>
      <c r="AO69" s="1011" t="n"/>
      <c r="AP69" s="1011" t="n"/>
      <c r="AQ69" s="1011" t="n"/>
      <c r="AR69" s="1011" t="n"/>
      <c r="AS69" s="1013" t="n"/>
      <c r="AT69" s="1010" t="n"/>
      <c r="AU69" s="1014" t="n"/>
      <c r="AV69" s="1015" t="n"/>
      <c r="AW69" s="1011" t="n"/>
      <c r="AX69" s="1011" t="n"/>
      <c r="AY69" s="1011" t="n"/>
      <c r="AZ69" s="1013" t="n"/>
      <c r="BA69" s="1010" t="n"/>
      <c r="BB69" s="1011" t="n"/>
      <c r="BC69" s="1011" t="n"/>
      <c r="BD69" s="1013" t="n"/>
      <c r="BE69" s="936">
        <f>I69-SUM(AB69:BD69)</f>
        <v/>
      </c>
    </row>
    <row r="70">
      <c r="A70" s="61" t="n"/>
      <c r="B70" s="40" t="n"/>
      <c r="C70" s="1000">
        <f>SUM(AB70:AJ70)</f>
        <v/>
      </c>
      <c r="D70" s="1001">
        <f>SUM(AK70:AS70)</f>
        <v/>
      </c>
      <c r="E70" s="1001">
        <f>SUM(AT70:AU70)</f>
        <v/>
      </c>
      <c r="F70" s="1001">
        <f>SUM(AV70:AZ70)</f>
        <v/>
      </c>
      <c r="G70" s="1001">
        <f>SUM(BA70:BD70)</f>
        <v/>
      </c>
      <c r="H70" s="1001">
        <f>SUM(V70:AA70)</f>
        <v/>
      </c>
      <c r="I70" s="1002">
        <f>SUM(C70:H70)</f>
        <v/>
      </c>
      <c r="J70" s="1003" t="n"/>
      <c r="K70" s="1003" t="n"/>
      <c r="L70" s="1024" t="n"/>
      <c r="M70" s="1005" t="n"/>
      <c r="N70" s="1006" t="n"/>
      <c r="O70" s="1000" t="n"/>
      <c r="P70" s="1007" t="n"/>
      <c r="Q70" s="1008" t="n"/>
      <c r="R70" s="990">
        <f>R69+SUM(N70:Q70)-SUM(I70:M70)</f>
        <v/>
      </c>
      <c r="S70" s="71" t="n"/>
      <c r="T70" s="1007" t="n"/>
      <c r="U70" s="72" t="n"/>
      <c r="V70" s="1009" t="n"/>
      <c r="W70" s="1010" t="n"/>
      <c r="X70" s="1011" t="n"/>
      <c r="Y70" s="1011" t="n"/>
      <c r="Z70" s="1012" t="n"/>
      <c r="AA70" s="1013" t="n"/>
      <c r="AB70" s="1009" t="n"/>
      <c r="AC70" s="1010" t="n"/>
      <c r="AD70" s="1011" t="n"/>
      <c r="AE70" s="1011" t="n"/>
      <c r="AF70" s="1011" t="n"/>
      <c r="AG70" s="1011" t="n"/>
      <c r="AH70" s="1011" t="n"/>
      <c r="AI70" s="1011" t="n"/>
      <c r="AJ70" s="1014" t="n"/>
      <c r="AK70" s="1015" t="n"/>
      <c r="AL70" s="1011" t="n"/>
      <c r="AM70" s="1011" t="n"/>
      <c r="AN70" s="1011" t="n"/>
      <c r="AO70" s="1011" t="n"/>
      <c r="AP70" s="1011" t="n"/>
      <c r="AQ70" s="1011" t="n"/>
      <c r="AR70" s="1011" t="n"/>
      <c r="AS70" s="1013" t="n"/>
      <c r="AT70" s="1010" t="n"/>
      <c r="AU70" s="1014" t="n"/>
      <c r="AV70" s="1015" t="n"/>
      <c r="AW70" s="1011" t="n"/>
      <c r="AX70" s="1011" t="n"/>
      <c r="AY70" s="1011" t="n"/>
      <c r="AZ70" s="1013" t="n"/>
      <c r="BA70" s="1010" t="n"/>
      <c r="BB70" s="1011" t="n"/>
      <c r="BC70" s="1011" t="n"/>
      <c r="BD70" s="1013" t="n"/>
      <c r="BE70" s="936">
        <f>I70-SUM(AB70:BD70)</f>
        <v/>
      </c>
    </row>
    <row r="71">
      <c r="A71" s="61" t="n"/>
      <c r="B71" s="40" t="n"/>
      <c r="C71" s="1000">
        <f>SUM(AB71:AJ71)</f>
        <v/>
      </c>
      <c r="D71" s="1001">
        <f>SUM(AK71:AS71)</f>
        <v/>
      </c>
      <c r="E71" s="1001">
        <f>SUM(AT71:AU71)</f>
        <v/>
      </c>
      <c r="F71" s="1001">
        <f>SUM(AV71:AZ71)</f>
        <v/>
      </c>
      <c r="G71" s="1001">
        <f>SUM(BA71:BD71)</f>
        <v/>
      </c>
      <c r="H71" s="1001">
        <f>SUM(V71:AA71)</f>
        <v/>
      </c>
      <c r="I71" s="1002">
        <f>SUM(C71:H71)</f>
        <v/>
      </c>
      <c r="J71" s="1003" t="n"/>
      <c r="K71" s="1003" t="n"/>
      <c r="L71" s="1017" t="n"/>
      <c r="M71" s="1005" t="n"/>
      <c r="N71" s="1006" t="n"/>
      <c r="O71" s="1000" t="n"/>
      <c r="P71" s="1007" t="n"/>
      <c r="Q71" s="1008" t="n"/>
      <c r="R71" s="990">
        <f>R70+SUM(N71:Q71)-SUM(I71:M71)</f>
        <v/>
      </c>
      <c r="S71" s="71" t="n"/>
      <c r="T71" s="1007" t="n"/>
      <c r="U71" s="72" t="n"/>
      <c r="V71" s="1009" t="n"/>
      <c r="W71" s="1010" t="n"/>
      <c r="X71" s="1011" t="n"/>
      <c r="Y71" s="1011" t="n"/>
      <c r="Z71" s="1012" t="n"/>
      <c r="AA71" s="1013" t="n"/>
      <c r="AB71" s="1009" t="n"/>
      <c r="AC71" s="1010" t="n"/>
      <c r="AD71" s="1011" t="n"/>
      <c r="AE71" s="1011" t="n"/>
      <c r="AF71" s="1011" t="n"/>
      <c r="AG71" s="1011" t="n"/>
      <c r="AH71" s="1011" t="n"/>
      <c r="AI71" s="1011" t="n"/>
      <c r="AJ71" s="1014" t="n"/>
      <c r="AK71" s="1015" t="n"/>
      <c r="AL71" s="1011" t="n"/>
      <c r="AM71" s="1011" t="n"/>
      <c r="AN71" s="1011" t="n"/>
      <c r="AO71" s="1011" t="n"/>
      <c r="AP71" s="1011" t="n"/>
      <c r="AQ71" s="1011" t="n"/>
      <c r="AR71" s="1011" t="n"/>
      <c r="AS71" s="1013" t="n"/>
      <c r="AT71" s="1010" t="n"/>
      <c r="AU71" s="1014" t="n"/>
      <c r="AV71" s="1015" t="n"/>
      <c r="AW71" s="1011" t="n"/>
      <c r="AX71" s="1011" t="n"/>
      <c r="AY71" s="1011" t="n"/>
      <c r="AZ71" s="1013" t="n"/>
      <c r="BA71" s="1010" t="n"/>
      <c r="BB71" s="1011" t="n"/>
      <c r="BC71" s="1011" t="n"/>
      <c r="BD71" s="1013" t="n"/>
      <c r="BE71" s="936">
        <f>I71-SUM(AB71:BD71)</f>
        <v/>
      </c>
    </row>
    <row r="72">
      <c r="A72" s="61" t="n"/>
      <c r="B72" s="40" t="n"/>
      <c r="C72" s="1000">
        <f>SUM(AB72:AJ72)</f>
        <v/>
      </c>
      <c r="D72" s="1001">
        <f>SUM(AK72:AS72)</f>
        <v/>
      </c>
      <c r="E72" s="1001">
        <f>SUM(AT72:AU72)</f>
        <v/>
      </c>
      <c r="F72" s="1001">
        <f>SUM(AV72:AZ72)</f>
        <v/>
      </c>
      <c r="G72" s="1001">
        <f>SUM(BA72:BD72)</f>
        <v/>
      </c>
      <c r="H72" s="1001">
        <f>SUM(V72:AA72)</f>
        <v/>
      </c>
      <c r="I72" s="1002">
        <f>SUM(C72:H72)</f>
        <v/>
      </c>
      <c r="J72" s="1003" t="n"/>
      <c r="K72" s="1003" t="n"/>
      <c r="L72" s="1017" t="n"/>
      <c r="M72" s="1005" t="n"/>
      <c r="N72" s="1006" t="n"/>
      <c r="O72" s="1000" t="n"/>
      <c r="P72" s="1007" t="n"/>
      <c r="Q72" s="1008" t="n"/>
      <c r="R72" s="990">
        <f>R71+SUM(N72:Q72)-SUM(I72:M72)</f>
        <v/>
      </c>
      <c r="S72" s="71" t="n"/>
      <c r="T72" s="1007" t="n"/>
      <c r="U72" s="72" t="n"/>
      <c r="V72" s="1009" t="n"/>
      <c r="W72" s="1010" t="n"/>
      <c r="X72" s="1011" t="n"/>
      <c r="Y72" s="1011" t="n"/>
      <c r="Z72" s="1012" t="n"/>
      <c r="AA72" s="1013" t="n"/>
      <c r="AB72" s="1009" t="n"/>
      <c r="AC72" s="1010" t="n"/>
      <c r="AD72" s="1011" t="n"/>
      <c r="AE72" s="1011" t="n"/>
      <c r="AF72" s="1011" t="n"/>
      <c r="AG72" s="1011" t="n"/>
      <c r="AH72" s="1011" t="n"/>
      <c r="AI72" s="1011" t="n"/>
      <c r="AJ72" s="1014" t="n"/>
      <c r="AK72" s="1015" t="n"/>
      <c r="AL72" s="1011" t="n"/>
      <c r="AM72" s="1011" t="n"/>
      <c r="AN72" s="1011" t="n"/>
      <c r="AO72" s="1011" t="n"/>
      <c r="AP72" s="1011" t="n"/>
      <c r="AQ72" s="1011" t="n"/>
      <c r="AR72" s="1011" t="n"/>
      <c r="AS72" s="1013" t="n"/>
      <c r="AT72" s="1010" t="n"/>
      <c r="AU72" s="1014" t="n"/>
      <c r="AV72" s="1015" t="n"/>
      <c r="AW72" s="1011" t="n"/>
      <c r="AX72" s="1011" t="n"/>
      <c r="AY72" s="1011" t="n"/>
      <c r="AZ72" s="1013" t="n"/>
      <c r="BA72" s="1010" t="n"/>
      <c r="BB72" s="1011" t="n"/>
      <c r="BC72" s="1011" t="n"/>
      <c r="BD72" s="1013" t="n"/>
      <c r="BE72" s="936">
        <f>I72-SUM(AB72:BD72)</f>
        <v/>
      </c>
    </row>
    <row r="73">
      <c r="A73" s="61" t="n"/>
      <c r="B73" s="40" t="n"/>
      <c r="C73" s="1000">
        <f>SUM(AB73:AJ73)</f>
        <v/>
      </c>
      <c r="D73" s="1001">
        <f>SUM(AK73:AS73)</f>
        <v/>
      </c>
      <c r="E73" s="1001">
        <f>SUM(AT73:AU73)</f>
        <v/>
      </c>
      <c r="F73" s="1001">
        <f>SUM(AV73:AZ73)</f>
        <v/>
      </c>
      <c r="G73" s="1001">
        <f>SUM(BA73:BD73)</f>
        <v/>
      </c>
      <c r="H73" s="1001">
        <f>SUM(V73:AA73)</f>
        <v/>
      </c>
      <c r="I73" s="1002">
        <f>SUM(C73:H73)</f>
        <v/>
      </c>
      <c r="J73" s="1003" t="n"/>
      <c r="K73" s="1003" t="n"/>
      <c r="L73" s="1017" t="n"/>
      <c r="M73" s="1005" t="n"/>
      <c r="N73" s="1006" t="n"/>
      <c r="O73" s="1000" t="n"/>
      <c r="P73" s="1007" t="n"/>
      <c r="Q73" s="1008" t="n"/>
      <c r="R73" s="990">
        <f>R72+SUM(N73:Q73)-SUM(I73:M73)</f>
        <v/>
      </c>
      <c r="S73" s="71" t="n"/>
      <c r="T73" s="1007" t="n"/>
      <c r="U73" s="72" t="n"/>
      <c r="V73" s="1009" t="n"/>
      <c r="W73" s="1010" t="n"/>
      <c r="X73" s="1011" t="n"/>
      <c r="Y73" s="1011" t="n"/>
      <c r="Z73" s="1012" t="n"/>
      <c r="AA73" s="1013" t="n"/>
      <c r="AB73" s="1009" t="n"/>
      <c r="AC73" s="1010" t="n"/>
      <c r="AD73" s="1011" t="n"/>
      <c r="AE73" s="1011" t="n"/>
      <c r="AF73" s="1011" t="n"/>
      <c r="AG73" s="1011" t="n"/>
      <c r="AH73" s="1011" t="n"/>
      <c r="AI73" s="1011" t="n"/>
      <c r="AJ73" s="1014" t="n"/>
      <c r="AK73" s="1015" t="n"/>
      <c r="AL73" s="1011" t="n"/>
      <c r="AM73" s="1011" t="n"/>
      <c r="AN73" s="1011" t="n"/>
      <c r="AO73" s="1011" t="n"/>
      <c r="AP73" s="1011" t="n"/>
      <c r="AQ73" s="1011" t="n"/>
      <c r="AR73" s="1011" t="n"/>
      <c r="AS73" s="1013" t="n"/>
      <c r="AT73" s="1010" t="n"/>
      <c r="AU73" s="1014" t="n"/>
      <c r="AV73" s="1015" t="n"/>
      <c r="AW73" s="1011" t="n"/>
      <c r="AX73" s="1011" t="n"/>
      <c r="AY73" s="1011" t="n"/>
      <c r="AZ73" s="1013" t="n"/>
      <c r="BA73" s="1010" t="n"/>
      <c r="BB73" s="1011" t="n"/>
      <c r="BC73" s="1011" t="n"/>
      <c r="BD73" s="1013" t="n"/>
      <c r="BE73" s="936">
        <f>I73-SUM(AB73:BD73)</f>
        <v/>
      </c>
    </row>
    <row r="74">
      <c r="A74" s="61" t="n"/>
      <c r="B74" s="40" t="n"/>
      <c r="C74" s="1000">
        <f>SUM(AB74:AJ74)</f>
        <v/>
      </c>
      <c r="D74" s="1001">
        <f>SUM(AK74:AS74)</f>
        <v/>
      </c>
      <c r="E74" s="1001">
        <f>SUM(AT74:AU74)</f>
        <v/>
      </c>
      <c r="F74" s="1001">
        <f>SUM(AV74:AZ74)</f>
        <v/>
      </c>
      <c r="G74" s="1001">
        <f>SUM(BA74:BD74)</f>
        <v/>
      </c>
      <c r="H74" s="1001">
        <f>SUM(V74:AA74)</f>
        <v/>
      </c>
      <c r="I74" s="1002">
        <f>SUM(C74:H74)</f>
        <v/>
      </c>
      <c r="J74" s="1003" t="n"/>
      <c r="K74" s="1003" t="n"/>
      <c r="L74" s="1017" t="n"/>
      <c r="M74" s="1005" t="n"/>
      <c r="N74" s="1006" t="n"/>
      <c r="O74" s="1000" t="n"/>
      <c r="P74" s="1007" t="n"/>
      <c r="Q74" s="1008" t="n"/>
      <c r="R74" s="990">
        <f>R73+SUM(N74:Q74)-SUM(I74:M74)</f>
        <v/>
      </c>
      <c r="S74" s="71" t="n"/>
      <c r="T74" s="1007" t="n"/>
      <c r="U74" s="72" t="n"/>
      <c r="V74" s="1009" t="n"/>
      <c r="W74" s="1010" t="n"/>
      <c r="X74" s="1011" t="n"/>
      <c r="Y74" s="1011" t="n"/>
      <c r="Z74" s="1012" t="n"/>
      <c r="AA74" s="1013" t="n"/>
      <c r="AB74" s="1009" t="n"/>
      <c r="AC74" s="1010" t="n"/>
      <c r="AD74" s="1011" t="n"/>
      <c r="AE74" s="1011" t="n"/>
      <c r="AF74" s="1011" t="n"/>
      <c r="AG74" s="1011" t="n"/>
      <c r="AH74" s="1011" t="n"/>
      <c r="AI74" s="1011" t="n"/>
      <c r="AJ74" s="1014" t="n"/>
      <c r="AK74" s="1015" t="n"/>
      <c r="AL74" s="1011" t="n"/>
      <c r="AM74" s="1011" t="n"/>
      <c r="AN74" s="1011" t="n"/>
      <c r="AO74" s="1011" t="n"/>
      <c r="AP74" s="1011" t="n"/>
      <c r="AQ74" s="1011" t="n"/>
      <c r="AR74" s="1011" t="n"/>
      <c r="AS74" s="1013" t="n"/>
      <c r="AT74" s="1010" t="n"/>
      <c r="AU74" s="1014" t="n"/>
      <c r="AV74" s="1015" t="n"/>
      <c r="AW74" s="1011" t="n"/>
      <c r="AX74" s="1011" t="n"/>
      <c r="AY74" s="1011" t="n"/>
      <c r="AZ74" s="1013" t="n"/>
      <c r="BA74" s="1010" t="n"/>
      <c r="BB74" s="1011" t="n"/>
      <c r="BC74" s="1011" t="n"/>
      <c r="BD74" s="1013" t="n"/>
      <c r="BE74" s="936">
        <f>I74-SUM(AB74:BD74)</f>
        <v/>
      </c>
    </row>
    <row r="75">
      <c r="A75" s="61" t="n"/>
      <c r="B75" s="40" t="n"/>
      <c r="C75" s="1000">
        <f>SUM(AB75:AJ75)</f>
        <v/>
      </c>
      <c r="D75" s="1001">
        <f>SUM(AK75:AS75)</f>
        <v/>
      </c>
      <c r="E75" s="1001">
        <f>SUM(AT75:AU75)</f>
        <v/>
      </c>
      <c r="F75" s="1001">
        <f>SUM(AV75:AZ75)</f>
        <v/>
      </c>
      <c r="G75" s="1001">
        <f>SUM(BA75:BD75)</f>
        <v/>
      </c>
      <c r="H75" s="1001">
        <f>SUM(V75:AA75)</f>
        <v/>
      </c>
      <c r="I75" s="1002">
        <f>SUM(C75:H75)</f>
        <v/>
      </c>
      <c r="J75" s="1003" t="n"/>
      <c r="K75" s="1003" t="n"/>
      <c r="L75" s="1017" t="n"/>
      <c r="M75" s="1005" t="n"/>
      <c r="N75" s="1006" t="n"/>
      <c r="O75" s="1000" t="n"/>
      <c r="P75" s="1007" t="n"/>
      <c r="Q75" s="1008" t="n"/>
      <c r="R75" s="990">
        <f>R74+SUM(N75:Q75)-SUM(I75:M75)</f>
        <v/>
      </c>
      <c r="S75" s="71" t="n"/>
      <c r="T75" s="1007" t="n"/>
      <c r="U75" s="72" t="n"/>
      <c r="V75" s="1009" t="n"/>
      <c r="W75" s="1010" t="n"/>
      <c r="X75" s="1011" t="n"/>
      <c r="Y75" s="1011" t="n"/>
      <c r="Z75" s="1012" t="n"/>
      <c r="AA75" s="1013" t="n"/>
      <c r="AB75" s="1009" t="n"/>
      <c r="AC75" s="1010" t="n"/>
      <c r="AD75" s="1011" t="n"/>
      <c r="AE75" s="1011" t="n"/>
      <c r="AF75" s="1011" t="n"/>
      <c r="AG75" s="1011" t="n"/>
      <c r="AH75" s="1011" t="n"/>
      <c r="AI75" s="1011" t="n"/>
      <c r="AJ75" s="1014" t="n"/>
      <c r="AK75" s="1015" t="n"/>
      <c r="AL75" s="1011" t="n"/>
      <c r="AM75" s="1011" t="n"/>
      <c r="AN75" s="1011" t="n"/>
      <c r="AO75" s="1011" t="n"/>
      <c r="AP75" s="1011" t="n"/>
      <c r="AQ75" s="1011" t="n"/>
      <c r="AR75" s="1011" t="n"/>
      <c r="AS75" s="1013" t="n"/>
      <c r="AT75" s="1010" t="n"/>
      <c r="AU75" s="1014" t="n"/>
      <c r="AV75" s="1015" t="n"/>
      <c r="AW75" s="1011" t="n"/>
      <c r="AX75" s="1011" t="n"/>
      <c r="AY75" s="1011" t="n"/>
      <c r="AZ75" s="1013" t="n"/>
      <c r="BA75" s="1010" t="n"/>
      <c r="BB75" s="1011" t="n"/>
      <c r="BC75" s="1011" t="n"/>
      <c r="BD75" s="1013" t="n"/>
      <c r="BE75" s="936">
        <f>I75-SUM(AB75:BD75)</f>
        <v/>
      </c>
    </row>
    <row r="76">
      <c r="A76" s="61" t="n"/>
      <c r="B76" s="40" t="n"/>
      <c r="C76" s="1000">
        <f>SUM(AB76:AJ76)</f>
        <v/>
      </c>
      <c r="D76" s="1001">
        <f>SUM(AK76:AS76)</f>
        <v/>
      </c>
      <c r="E76" s="1001">
        <f>SUM(AT76:AU76)</f>
        <v/>
      </c>
      <c r="F76" s="1001">
        <f>SUM(AV76:AZ76)</f>
        <v/>
      </c>
      <c r="G76" s="1001">
        <f>SUM(BA76:BD76)</f>
        <v/>
      </c>
      <c r="H76" s="1001">
        <f>SUM(V76:AA76)</f>
        <v/>
      </c>
      <c r="I76" s="1002">
        <f>SUM(C76:H76)</f>
        <v/>
      </c>
      <c r="J76" s="1003" t="n"/>
      <c r="K76" s="1003" t="n"/>
      <c r="L76" s="1017" t="n"/>
      <c r="M76" s="1005" t="n"/>
      <c r="N76" s="1006" t="n"/>
      <c r="O76" s="1000" t="n"/>
      <c r="P76" s="1007" t="n"/>
      <c r="Q76" s="1008" t="n"/>
      <c r="R76" s="990">
        <f>R75+SUM(N76:Q76)-SUM(I76:M76)</f>
        <v/>
      </c>
      <c r="S76" s="71" t="n"/>
      <c r="T76" s="1019" t="n"/>
      <c r="U76" s="72" t="n"/>
      <c r="V76" s="1009" t="n"/>
      <c r="W76" s="1010" t="n"/>
      <c r="X76" s="1011" t="n"/>
      <c r="Y76" s="1011" t="n"/>
      <c r="Z76" s="1012" t="n"/>
      <c r="AA76" s="1013" t="n"/>
      <c r="AB76" s="1009" t="n"/>
      <c r="AC76" s="1010" t="n"/>
      <c r="AD76" s="1011" t="n"/>
      <c r="AE76" s="1011" t="n"/>
      <c r="AF76" s="1011" t="n"/>
      <c r="AG76" s="1011" t="n"/>
      <c r="AH76" s="1011" t="n"/>
      <c r="AI76" s="1011" t="n"/>
      <c r="AJ76" s="1014" t="n"/>
      <c r="AK76" s="1015" t="n"/>
      <c r="AL76" s="1011" t="n"/>
      <c r="AM76" s="1011" t="n"/>
      <c r="AN76" s="1011" t="n"/>
      <c r="AO76" s="1011" t="n"/>
      <c r="AP76" s="1011" t="n"/>
      <c r="AQ76" s="1011" t="n"/>
      <c r="AR76" s="1011" t="n"/>
      <c r="AS76" s="1013" t="n"/>
      <c r="AT76" s="1010" t="n"/>
      <c r="AU76" s="1014" t="n"/>
      <c r="AV76" s="1015" t="n"/>
      <c r="AW76" s="1011" t="n"/>
      <c r="AX76" s="1011" t="n"/>
      <c r="AY76" s="1011" t="n"/>
      <c r="AZ76" s="1013" t="n"/>
      <c r="BA76" s="1010" t="n"/>
      <c r="BB76" s="1011" t="n"/>
      <c r="BC76" s="1011" t="n"/>
      <c r="BD76" s="1013" t="n"/>
      <c r="BE76" s="936">
        <f>I76-SUM(AB76:BD76)</f>
        <v/>
      </c>
    </row>
    <row r="77">
      <c r="A77" s="61" t="n"/>
      <c r="B77" s="40" t="n"/>
      <c r="C77" s="1000">
        <f>SUM(AB77:AJ77)</f>
        <v/>
      </c>
      <c r="D77" s="1001">
        <f>SUM(AK77:AS77)</f>
        <v/>
      </c>
      <c r="E77" s="1001">
        <f>SUM(AT77:AU77)</f>
        <v/>
      </c>
      <c r="F77" s="1001">
        <f>SUM(AV77:AZ77)</f>
        <v/>
      </c>
      <c r="G77" s="1001">
        <f>SUM(BA77:BD77)</f>
        <v/>
      </c>
      <c r="H77" s="1001">
        <f>SUM(V77:AA77)</f>
        <v/>
      </c>
      <c r="I77" s="1002">
        <f>SUM(C77:H77)</f>
        <v/>
      </c>
      <c r="J77" s="1003" t="n"/>
      <c r="K77" s="1003" t="n"/>
      <c r="L77" s="1017" t="n"/>
      <c r="M77" s="1005" t="n"/>
      <c r="N77" s="1006" t="n"/>
      <c r="O77" s="1000" t="n"/>
      <c r="P77" s="1007" t="n"/>
      <c r="Q77" s="1008" t="n"/>
      <c r="R77" s="990">
        <f>R76+SUM(N77:Q77)-SUM(I77:M77)</f>
        <v/>
      </c>
      <c r="S77" s="71" t="n"/>
      <c r="T77" s="1026" t="n"/>
      <c r="U77" s="72" t="n"/>
      <c r="V77" s="1009" t="n"/>
      <c r="W77" s="1010" t="n"/>
      <c r="X77" s="1011" t="n"/>
      <c r="Y77" s="1011" t="n"/>
      <c r="Z77" s="1012" t="n"/>
      <c r="AA77" s="1013" t="n"/>
      <c r="AB77" s="1009" t="n"/>
      <c r="AC77" s="1010" t="n"/>
      <c r="AD77" s="1011" t="n"/>
      <c r="AE77" s="1011" t="n"/>
      <c r="AF77" s="1011" t="n"/>
      <c r="AG77" s="1011" t="n"/>
      <c r="AH77" s="1011" t="n"/>
      <c r="AI77" s="1011" t="n"/>
      <c r="AJ77" s="1014" t="n"/>
      <c r="AK77" s="1015" t="n"/>
      <c r="AL77" s="1011" t="n"/>
      <c r="AM77" s="1011" t="n"/>
      <c r="AN77" s="1011" t="n"/>
      <c r="AO77" s="1011" t="n"/>
      <c r="AP77" s="1011" t="n"/>
      <c r="AQ77" s="1011" t="n"/>
      <c r="AR77" s="1011" t="n"/>
      <c r="AS77" s="1013" t="n"/>
      <c r="AT77" s="1010" t="n"/>
      <c r="AU77" s="1014" t="n"/>
      <c r="AV77" s="1015" t="n"/>
      <c r="AW77" s="1011" t="n"/>
      <c r="AX77" s="1011" t="n"/>
      <c r="AY77" s="1011" t="n"/>
      <c r="AZ77" s="1013" t="n"/>
      <c r="BA77" s="1010" t="n"/>
      <c r="BB77" s="1011" t="n"/>
      <c r="BC77" s="1011" t="n"/>
      <c r="BD77" s="1013" t="n"/>
      <c r="BE77" s="936">
        <f>I77-SUM(AB77:BD77)</f>
        <v/>
      </c>
    </row>
    <row r="78">
      <c r="A78" s="61" t="n"/>
      <c r="B78" s="40" t="n"/>
      <c r="C78" s="1000">
        <f>SUM(AB78:AJ78)</f>
        <v/>
      </c>
      <c r="D78" s="1001">
        <f>SUM(AK78:AS78)</f>
        <v/>
      </c>
      <c r="E78" s="1001">
        <f>SUM(AT78:AU78)</f>
        <v/>
      </c>
      <c r="F78" s="1001">
        <f>SUM(AV78:AZ78)</f>
        <v/>
      </c>
      <c r="G78" s="1001">
        <f>SUM(BA78:BD78)</f>
        <v/>
      </c>
      <c r="H78" s="1001">
        <f>SUM(V78:AA78)</f>
        <v/>
      </c>
      <c r="I78" s="1002">
        <f>SUM(C78:H78)</f>
        <v/>
      </c>
      <c r="J78" s="1003" t="n"/>
      <c r="K78" s="1024" t="n"/>
      <c r="L78" s="1017" t="n"/>
      <c r="M78" s="1005" t="n"/>
      <c r="N78" s="1006" t="n"/>
      <c r="O78" s="1000" t="n"/>
      <c r="P78" s="1007" t="n"/>
      <c r="Q78" s="1008" t="n"/>
      <c r="R78" s="990">
        <f>R77+SUM(N78:Q78)-SUM(I78:M78)</f>
        <v/>
      </c>
      <c r="S78" s="71" t="n"/>
      <c r="T78" s="1026" t="n"/>
      <c r="U78" s="72" t="n"/>
      <c r="V78" s="1009" t="n"/>
      <c r="W78" s="1010" t="n"/>
      <c r="X78" s="1011" t="n"/>
      <c r="Y78" s="1011" t="n"/>
      <c r="Z78" s="1012" t="n"/>
      <c r="AA78" s="1013" t="n"/>
      <c r="AB78" s="1009" t="n"/>
      <c r="AC78" s="1010" t="n"/>
      <c r="AD78" s="1011" t="n"/>
      <c r="AE78" s="1011" t="n"/>
      <c r="AF78" s="1011" t="n"/>
      <c r="AG78" s="1011" t="n"/>
      <c r="AH78" s="1011" t="n"/>
      <c r="AI78" s="1011" t="n"/>
      <c r="AJ78" s="1014" t="n"/>
      <c r="AK78" s="1015" t="n"/>
      <c r="AL78" s="1011" t="n"/>
      <c r="AM78" s="1011" t="n"/>
      <c r="AN78" s="1011" t="n"/>
      <c r="AO78" s="1011" t="n"/>
      <c r="AP78" s="1011" t="n"/>
      <c r="AQ78" s="1011" t="n"/>
      <c r="AR78" s="1011" t="n"/>
      <c r="AS78" s="1013" t="n"/>
      <c r="AT78" s="1010" t="n"/>
      <c r="AU78" s="1014" t="n"/>
      <c r="AV78" s="1015" t="n"/>
      <c r="AW78" s="1011" t="n"/>
      <c r="AX78" s="1011" t="n"/>
      <c r="AY78" s="1011" t="n"/>
      <c r="AZ78" s="1013" t="n"/>
      <c r="BA78" s="1010" t="n"/>
      <c r="BB78" s="1011" t="n"/>
      <c r="BC78" s="1011" t="n"/>
      <c r="BD78" s="1013" t="n"/>
      <c r="BE78" s="936">
        <f>I78-SUM(AB78:BD78)</f>
        <v/>
      </c>
    </row>
    <row r="79">
      <c r="A79" s="61" t="n"/>
      <c r="B79" s="40" t="n"/>
      <c r="C79" s="1000">
        <f>SUM(AB79:AJ79)</f>
        <v/>
      </c>
      <c r="D79" s="1001">
        <f>SUM(AK79:AS79)</f>
        <v/>
      </c>
      <c r="E79" s="1001">
        <f>SUM(AT79:AU79)</f>
        <v/>
      </c>
      <c r="F79" s="1001">
        <f>SUM(AV79:AZ79)</f>
        <v/>
      </c>
      <c r="G79" s="1001">
        <f>SUM(BA79:BD79)</f>
        <v/>
      </c>
      <c r="H79" s="1001">
        <f>SUM(V79:AA79)</f>
        <v/>
      </c>
      <c r="I79" s="1002">
        <f>SUM(C79:H79)</f>
        <v/>
      </c>
      <c r="J79" s="1003" t="n"/>
      <c r="K79" s="1003" t="n"/>
      <c r="L79" s="1017" t="n"/>
      <c r="M79" s="1005" t="n"/>
      <c r="N79" s="1006" t="n"/>
      <c r="O79" s="1000" t="n"/>
      <c r="P79" s="1007" t="n"/>
      <c r="Q79" s="1008" t="n"/>
      <c r="R79" s="990">
        <f>R78+SUM(N79:Q79)-SUM(I79:M79)</f>
        <v/>
      </c>
      <c r="S79" s="92" t="n"/>
      <c r="T79" s="1007" t="n"/>
      <c r="U79" s="72" t="n"/>
      <c r="V79" s="1009" t="n"/>
      <c r="W79" s="1010" t="n"/>
      <c r="X79" s="1011" t="n"/>
      <c r="Y79" s="1011" t="n"/>
      <c r="Z79" s="1012" t="n"/>
      <c r="AA79" s="1013" t="n"/>
      <c r="AB79" s="1009" t="n"/>
      <c r="AC79" s="1010" t="n"/>
      <c r="AD79" s="1011" t="n"/>
      <c r="AE79" s="1011" t="n"/>
      <c r="AF79" s="1011" t="n"/>
      <c r="AG79" s="1011" t="n"/>
      <c r="AH79" s="1011" t="n"/>
      <c r="AI79" s="1011" t="n"/>
      <c r="AJ79" s="1014" t="n"/>
      <c r="AK79" s="1015" t="n"/>
      <c r="AL79" s="1011" t="n"/>
      <c r="AM79" s="1011" t="n"/>
      <c r="AN79" s="1011" t="n"/>
      <c r="AO79" s="1011" t="n"/>
      <c r="AP79" s="1011" t="n"/>
      <c r="AQ79" s="1011" t="n"/>
      <c r="AR79" s="1011" t="n"/>
      <c r="AS79" s="1013" t="n"/>
      <c r="AT79" s="1010" t="n"/>
      <c r="AU79" s="1014" t="n"/>
      <c r="AV79" s="1015" t="n"/>
      <c r="AW79" s="1011" t="n"/>
      <c r="AX79" s="1011" t="n"/>
      <c r="AY79" s="1011" t="n"/>
      <c r="AZ79" s="1013" t="n"/>
      <c r="BA79" s="1010" t="n"/>
      <c r="BB79" s="1011" t="n"/>
      <c r="BC79" s="1011" t="n"/>
      <c r="BD79" s="1013" t="n"/>
      <c r="BE79" s="936">
        <f>I79-SUM(AB79:BD79)</f>
        <v/>
      </c>
    </row>
    <row r="80">
      <c r="A80" s="61" t="n"/>
      <c r="B80" s="40" t="n"/>
      <c r="C80" s="1000">
        <f>SUM(AB80:AJ80)</f>
        <v/>
      </c>
      <c r="D80" s="1001">
        <f>SUM(AK80:AS80)</f>
        <v/>
      </c>
      <c r="E80" s="1001">
        <f>SUM(AT80:AU80)</f>
        <v/>
      </c>
      <c r="F80" s="1001">
        <f>SUM(AV80:AZ80)</f>
        <v/>
      </c>
      <c r="G80" s="1001">
        <f>SUM(BA80:BD80)</f>
        <v/>
      </c>
      <c r="H80" s="1001">
        <f>SUM(V80:AA80)</f>
        <v/>
      </c>
      <c r="I80" s="1002">
        <f>SUM(C80:H80)</f>
        <v/>
      </c>
      <c r="J80" s="1003" t="n"/>
      <c r="K80" s="1003" t="n"/>
      <c r="L80" s="1017" t="n"/>
      <c r="M80" s="1005" t="n"/>
      <c r="N80" s="1006" t="n"/>
      <c r="O80" s="1000" t="n"/>
      <c r="P80" s="1007" t="n"/>
      <c r="Q80" s="1008" t="n"/>
      <c r="R80" s="990">
        <f>R79+SUM(N80:Q80)-SUM(I80:M80)</f>
        <v/>
      </c>
      <c r="S80" s="71" t="n"/>
      <c r="T80" s="1007" t="n"/>
      <c r="U80" s="72" t="n"/>
      <c r="V80" s="1009" t="n"/>
      <c r="W80" s="1010" t="n"/>
      <c r="X80" s="1011" t="n"/>
      <c r="Y80" s="1011" t="n"/>
      <c r="Z80" s="1012" t="n"/>
      <c r="AA80" s="1013" t="n"/>
      <c r="AB80" s="1009" t="n"/>
      <c r="AC80" s="1010" t="n"/>
      <c r="AD80" s="1011" t="n"/>
      <c r="AE80" s="1011" t="n"/>
      <c r="AF80" s="1011" t="n"/>
      <c r="AG80" s="1011" t="n"/>
      <c r="AH80" s="1011" t="n"/>
      <c r="AI80" s="1011" t="n"/>
      <c r="AJ80" s="1014" t="n"/>
      <c r="AK80" s="1015" t="n"/>
      <c r="AL80" s="1011" t="n"/>
      <c r="AM80" s="1011" t="n"/>
      <c r="AN80" s="1011" t="n"/>
      <c r="AO80" s="1011" t="n"/>
      <c r="AP80" s="1011" t="n"/>
      <c r="AQ80" s="1011" t="n"/>
      <c r="AR80" s="1011" t="n"/>
      <c r="AS80" s="1013" t="n"/>
      <c r="AT80" s="1010" t="n"/>
      <c r="AU80" s="1014" t="n"/>
      <c r="AV80" s="1015" t="n"/>
      <c r="AW80" s="1011" t="n"/>
      <c r="AX80" s="1011" t="n"/>
      <c r="AY80" s="1011" t="n"/>
      <c r="AZ80" s="1013" t="n"/>
      <c r="BA80" s="1010" t="n"/>
      <c r="BB80" s="1011" t="n"/>
      <c r="BC80" s="1011" t="n"/>
      <c r="BD80" s="1013" t="n"/>
      <c r="BE80" s="936">
        <f>I80-SUM(AB80:BD80)</f>
        <v/>
      </c>
    </row>
    <row r="81">
      <c r="A81" s="61" t="n"/>
      <c r="B81" s="40" t="n"/>
      <c r="C81" s="1000">
        <f>SUM(AB81:AJ81)</f>
        <v/>
      </c>
      <c r="D81" s="1001">
        <f>SUM(AK81:AS81)</f>
        <v/>
      </c>
      <c r="E81" s="1001">
        <f>SUM(AT81:AU81)</f>
        <v/>
      </c>
      <c r="F81" s="1001">
        <f>SUM(AV81:AZ81)</f>
        <v/>
      </c>
      <c r="G81" s="1001">
        <f>SUM(BA81:BD81)</f>
        <v/>
      </c>
      <c r="H81" s="1001">
        <f>SUM(V81:AA81)</f>
        <v/>
      </c>
      <c r="I81" s="1002">
        <f>SUM(C81:H81)</f>
        <v/>
      </c>
      <c r="J81" s="1003" t="n"/>
      <c r="K81" s="1003" t="n"/>
      <c r="L81" s="1017" t="n"/>
      <c r="M81" s="1005" t="n"/>
      <c r="N81" s="1006" t="n"/>
      <c r="O81" s="1000" t="n"/>
      <c r="P81" s="1007" t="n"/>
      <c r="Q81" s="1008" t="n"/>
      <c r="R81" s="990">
        <f>R80+SUM(N81:Q81)-SUM(I81:M81)</f>
        <v/>
      </c>
      <c r="S81" s="71" t="n"/>
      <c r="T81" s="1026" t="n"/>
      <c r="U81" s="72" t="n"/>
      <c r="V81" s="1009" t="n"/>
      <c r="W81" s="1010" t="n"/>
      <c r="X81" s="1011" t="n"/>
      <c r="Y81" s="1011" t="n"/>
      <c r="Z81" s="1012" t="n"/>
      <c r="AA81" s="1013" t="n"/>
      <c r="AB81" s="1009" t="n"/>
      <c r="AC81" s="1010" t="n"/>
      <c r="AD81" s="1011" t="n"/>
      <c r="AE81" s="1011" t="n"/>
      <c r="AF81" s="1011" t="n"/>
      <c r="AG81" s="1011" t="n"/>
      <c r="AH81" s="1011" t="n"/>
      <c r="AI81" s="1011" t="n"/>
      <c r="AJ81" s="1014" t="n"/>
      <c r="AK81" s="1015" t="n"/>
      <c r="AL81" s="1011" t="n"/>
      <c r="AM81" s="1011" t="n"/>
      <c r="AN81" s="1011" t="n"/>
      <c r="AO81" s="1011" t="n"/>
      <c r="AP81" s="1011" t="n"/>
      <c r="AQ81" s="1011" t="n"/>
      <c r="AR81" s="1011" t="n"/>
      <c r="AS81" s="1013" t="n"/>
      <c r="AT81" s="1010" t="n"/>
      <c r="AU81" s="1014" t="n"/>
      <c r="AV81" s="1015" t="n"/>
      <c r="AW81" s="1011" t="n"/>
      <c r="AX81" s="1011" t="n"/>
      <c r="AY81" s="1011" t="n"/>
      <c r="AZ81" s="1013" t="n"/>
      <c r="BA81" s="1010" t="n"/>
      <c r="BB81" s="1011" t="n"/>
      <c r="BC81" s="1011" t="n"/>
      <c r="BD81" s="1013" t="n"/>
      <c r="BE81" s="936">
        <f>I81-SUM(AB81:BD81)</f>
        <v/>
      </c>
    </row>
    <row r="82">
      <c r="A82" s="61" t="n"/>
      <c r="B82" s="40" t="n"/>
      <c r="C82" s="1000">
        <f>SUM(AB82:AJ82)</f>
        <v/>
      </c>
      <c r="D82" s="1001">
        <f>SUM(AK82:AS82)</f>
        <v/>
      </c>
      <c r="E82" s="1001">
        <f>SUM(AT82:AU82)</f>
        <v/>
      </c>
      <c r="F82" s="1001">
        <f>SUM(AV82:AZ82)</f>
        <v/>
      </c>
      <c r="G82" s="1001">
        <f>SUM(BA82:BD82)</f>
        <v/>
      </c>
      <c r="H82" s="1001">
        <f>SUM(V82:AA82)</f>
        <v/>
      </c>
      <c r="I82" s="1002">
        <f>SUM(C82:H82)</f>
        <v/>
      </c>
      <c r="J82" s="1003" t="n"/>
      <c r="K82" s="1024" t="n"/>
      <c r="L82" s="1017" t="n"/>
      <c r="M82" s="1005" t="n"/>
      <c r="N82" s="1006" t="n"/>
      <c r="O82" s="1000" t="n"/>
      <c r="P82" s="1007" t="n"/>
      <c r="Q82" s="1008" t="n"/>
      <c r="R82" s="990">
        <f>R81+SUM(N82:Q82)-SUM(I82:M82)</f>
        <v/>
      </c>
      <c r="S82" s="71" t="n"/>
      <c r="T82" s="1026" t="n"/>
      <c r="U82" s="72" t="n"/>
      <c r="V82" s="1009" t="n"/>
      <c r="W82" s="1010" t="n"/>
      <c r="X82" s="1011" t="n"/>
      <c r="Y82" s="1011" t="n"/>
      <c r="Z82" s="1012" t="n"/>
      <c r="AA82" s="1013" t="n"/>
      <c r="AB82" s="1009" t="n"/>
      <c r="AC82" s="1010" t="n"/>
      <c r="AD82" s="1011" t="n"/>
      <c r="AE82" s="1011" t="n"/>
      <c r="AF82" s="1011" t="n"/>
      <c r="AG82" s="1011" t="n"/>
      <c r="AH82" s="1011" t="n"/>
      <c r="AI82" s="1011" t="n"/>
      <c r="AJ82" s="1014" t="n"/>
      <c r="AK82" s="1015" t="n"/>
      <c r="AL82" s="1011" t="n"/>
      <c r="AM82" s="1011" t="n"/>
      <c r="AN82" s="1011" t="n"/>
      <c r="AO82" s="1011" t="n"/>
      <c r="AP82" s="1011" t="n"/>
      <c r="AQ82" s="1011" t="n"/>
      <c r="AR82" s="1011" t="n"/>
      <c r="AS82" s="1013" t="n"/>
      <c r="AT82" s="1010" t="n"/>
      <c r="AU82" s="1014" t="n"/>
      <c r="AV82" s="1015" t="n"/>
      <c r="AW82" s="1011" t="n"/>
      <c r="AX82" s="1011" t="n"/>
      <c r="AY82" s="1011" t="n"/>
      <c r="AZ82" s="1013" t="n"/>
      <c r="BA82" s="1010" t="n"/>
      <c r="BB82" s="1011" t="n"/>
      <c r="BC82" s="1011" t="n"/>
      <c r="BD82" s="1013" t="n"/>
      <c r="BE82" s="936">
        <f>I82-SUM(AB82:BD82)</f>
        <v/>
      </c>
    </row>
    <row r="83">
      <c r="A83" s="61" t="n"/>
      <c r="B83" s="40" t="n"/>
      <c r="C83" s="1000">
        <f>SUM(AB83:AJ83)</f>
        <v/>
      </c>
      <c r="D83" s="1001">
        <f>SUM(AK83:AS83)</f>
        <v/>
      </c>
      <c r="E83" s="1001">
        <f>SUM(AT83:AU83)</f>
        <v/>
      </c>
      <c r="F83" s="1001">
        <f>SUM(AV83:AZ83)</f>
        <v/>
      </c>
      <c r="G83" s="1001">
        <f>SUM(BA83:BD83)</f>
        <v/>
      </c>
      <c r="H83" s="1001">
        <f>SUM(V83:AA83)</f>
        <v/>
      </c>
      <c r="I83" s="1002">
        <f>SUM(C83:H83)</f>
        <v/>
      </c>
      <c r="J83" s="1003" t="n"/>
      <c r="K83" s="1024" t="n"/>
      <c r="L83" s="1017" t="n"/>
      <c r="M83" s="1005" t="n"/>
      <c r="N83" s="1006" t="n"/>
      <c r="O83" s="1000" t="n"/>
      <c r="P83" s="1007" t="n"/>
      <c r="Q83" s="1008" t="n"/>
      <c r="R83" s="990">
        <f>R82+SUM(N83:Q83)-SUM(I83:M83)</f>
        <v/>
      </c>
      <c r="S83" s="71" t="n"/>
      <c r="T83" s="1007" t="n"/>
      <c r="U83" s="72" t="n"/>
      <c r="V83" s="1009" t="n"/>
      <c r="W83" s="1010" t="n"/>
      <c r="X83" s="1011" t="n"/>
      <c r="Y83" s="1011" t="n"/>
      <c r="Z83" s="1012" t="n"/>
      <c r="AA83" s="1013" t="n"/>
      <c r="AB83" s="1009" t="n"/>
      <c r="AC83" s="1010" t="n"/>
      <c r="AD83" s="1011" t="n"/>
      <c r="AE83" s="1011" t="n"/>
      <c r="AF83" s="1011" t="n"/>
      <c r="AG83" s="1011" t="n"/>
      <c r="AH83" s="1011" t="n"/>
      <c r="AI83" s="1011" t="n"/>
      <c r="AJ83" s="1014" t="n"/>
      <c r="AK83" s="1015" t="n"/>
      <c r="AL83" s="1011" t="n"/>
      <c r="AM83" s="1011" t="n"/>
      <c r="AN83" s="1011" t="n"/>
      <c r="AO83" s="1011" t="n"/>
      <c r="AP83" s="1011" t="n"/>
      <c r="AQ83" s="1011" t="n"/>
      <c r="AR83" s="1011" t="n"/>
      <c r="AS83" s="1013" t="n"/>
      <c r="AT83" s="1010" t="n"/>
      <c r="AU83" s="1014" t="n"/>
      <c r="AV83" s="1015" t="n"/>
      <c r="AW83" s="1011" t="n"/>
      <c r="AX83" s="1011" t="n"/>
      <c r="AY83" s="1011" t="n"/>
      <c r="AZ83" s="1013" t="n"/>
      <c r="BA83" s="1010" t="n"/>
      <c r="BB83" s="1011" t="n"/>
      <c r="BC83" s="1011" t="n"/>
      <c r="BD83" s="1013" t="n"/>
      <c r="BE83" s="936">
        <f>I83-SUM(AB83:BD83)</f>
        <v/>
      </c>
    </row>
    <row r="84">
      <c r="A84" s="61" t="n"/>
      <c r="B84" s="40" t="n"/>
      <c r="C84" s="1000">
        <f>SUM(AB84:AJ84)</f>
        <v/>
      </c>
      <c r="D84" s="1001">
        <f>SUM(AK84:AS84)</f>
        <v/>
      </c>
      <c r="E84" s="1001">
        <f>SUM(AT84:AU84)</f>
        <v/>
      </c>
      <c r="F84" s="1001">
        <f>SUM(AV84:AZ84)</f>
        <v/>
      </c>
      <c r="G84" s="1001">
        <f>SUM(BA84:BD84)</f>
        <v/>
      </c>
      <c r="H84" s="1001">
        <f>SUM(V84:AA84)</f>
        <v/>
      </c>
      <c r="I84" s="1002">
        <f>SUM(C84:H84)</f>
        <v/>
      </c>
      <c r="J84" s="1003" t="n"/>
      <c r="K84" s="1003" t="n"/>
      <c r="L84" s="1017" t="n"/>
      <c r="M84" s="1005" t="n"/>
      <c r="N84" s="1006" t="n"/>
      <c r="O84" s="1000" t="n"/>
      <c r="P84" s="1007" t="n"/>
      <c r="Q84" s="1008" t="n"/>
      <c r="R84" s="990">
        <f>R83+SUM(N84:Q84)-SUM(I84:M84)</f>
        <v/>
      </c>
      <c r="S84" s="71" t="n"/>
      <c r="T84" s="1026" t="n"/>
      <c r="U84" s="72" t="n"/>
      <c r="V84" s="1009" t="n"/>
      <c r="W84" s="1010" t="n"/>
      <c r="X84" s="1011" t="n"/>
      <c r="Y84" s="1011" t="n"/>
      <c r="Z84" s="1012" t="n"/>
      <c r="AA84" s="1013" t="n"/>
      <c r="AB84" s="1009" t="n"/>
      <c r="AC84" s="1010" t="n"/>
      <c r="AD84" s="1011" t="n"/>
      <c r="AE84" s="1011" t="n"/>
      <c r="AF84" s="1011" t="n"/>
      <c r="AG84" s="1011" t="n"/>
      <c r="AH84" s="1011" t="n"/>
      <c r="AI84" s="1011" t="n"/>
      <c r="AJ84" s="1014" t="n"/>
      <c r="AK84" s="1015" t="n"/>
      <c r="AL84" s="1011" t="n"/>
      <c r="AM84" s="1011" t="n"/>
      <c r="AN84" s="1011" t="n"/>
      <c r="AO84" s="1011" t="n"/>
      <c r="AP84" s="1011" t="n"/>
      <c r="AQ84" s="1011" t="n"/>
      <c r="AR84" s="1011" t="n"/>
      <c r="AS84" s="1013" t="n"/>
      <c r="AT84" s="1010" t="n"/>
      <c r="AU84" s="1014" t="n"/>
      <c r="AV84" s="1015" t="n"/>
      <c r="AW84" s="1011" t="n"/>
      <c r="AX84" s="1011" t="n"/>
      <c r="AY84" s="1011" t="n"/>
      <c r="AZ84" s="1013" t="n"/>
      <c r="BA84" s="1010" t="n"/>
      <c r="BB84" s="1011" t="n"/>
      <c r="BC84" s="1011" t="n"/>
      <c r="BD84" s="1013" t="n"/>
      <c r="BE84" s="936">
        <f>I84-SUM(AB84:BD84)</f>
        <v/>
      </c>
    </row>
    <row r="85">
      <c r="A85" s="61" t="n"/>
      <c r="B85" s="40" t="n"/>
      <c r="C85" s="1000">
        <f>SUM(AB85:AJ85)</f>
        <v/>
      </c>
      <c r="D85" s="1001">
        <f>SUM(AK85:AS85)</f>
        <v/>
      </c>
      <c r="E85" s="1001">
        <f>SUM(AT85:AU85)</f>
        <v/>
      </c>
      <c r="F85" s="1001">
        <f>SUM(AV85:AZ85)</f>
        <v/>
      </c>
      <c r="G85" s="1001">
        <f>SUM(BA85:BD85)</f>
        <v/>
      </c>
      <c r="H85" s="1001">
        <f>SUM(V85:AA85)</f>
        <v/>
      </c>
      <c r="I85" s="1002">
        <f>SUM(C85:H85)</f>
        <v/>
      </c>
      <c r="J85" s="1003" t="n"/>
      <c r="K85" s="1003" t="n"/>
      <c r="L85" s="1017" t="n"/>
      <c r="M85" s="1005" t="n"/>
      <c r="N85" s="1006" t="n"/>
      <c r="O85" s="1000" t="n"/>
      <c r="P85" s="1007" t="n"/>
      <c r="Q85" s="1008" t="n"/>
      <c r="R85" s="990">
        <f>R84+SUM(N85:Q85)-SUM(I85:M85)</f>
        <v/>
      </c>
      <c r="S85" s="71" t="n"/>
      <c r="T85" s="1026" t="n"/>
      <c r="U85" s="72" t="n"/>
      <c r="V85" s="1009" t="n"/>
      <c r="W85" s="1010" t="n"/>
      <c r="X85" s="1011" t="n"/>
      <c r="Y85" s="1011" t="n"/>
      <c r="Z85" s="1012" t="n"/>
      <c r="AA85" s="1013" t="n"/>
      <c r="AB85" s="1009" t="n"/>
      <c r="AC85" s="1010" t="n"/>
      <c r="AD85" s="1011" t="n"/>
      <c r="AE85" s="1011" t="n"/>
      <c r="AF85" s="1011" t="n"/>
      <c r="AG85" s="1011" t="n"/>
      <c r="AH85" s="1011" t="n"/>
      <c r="AI85" s="1011" t="n"/>
      <c r="AJ85" s="1014" t="n"/>
      <c r="AK85" s="1015" t="n"/>
      <c r="AL85" s="1011" t="n"/>
      <c r="AM85" s="1011" t="n"/>
      <c r="AN85" s="1011" t="n"/>
      <c r="AO85" s="1011" t="n"/>
      <c r="AP85" s="1011" t="n"/>
      <c r="AQ85" s="1011" t="n"/>
      <c r="AR85" s="1011" t="n"/>
      <c r="AS85" s="1013" t="n"/>
      <c r="AT85" s="1010" t="n"/>
      <c r="AU85" s="1014" t="n"/>
      <c r="AV85" s="1015" t="n"/>
      <c r="AW85" s="1011" t="n"/>
      <c r="AX85" s="1011" t="n"/>
      <c r="AY85" s="1011" t="n"/>
      <c r="AZ85" s="1013" t="n"/>
      <c r="BA85" s="1010" t="n"/>
      <c r="BB85" s="1011" t="n"/>
      <c r="BC85" s="1011" t="n"/>
      <c r="BD85" s="1013" t="n"/>
      <c r="BE85" s="936">
        <f>I85-SUM(AB85:BD85)</f>
        <v/>
      </c>
    </row>
    <row r="86">
      <c r="A86" s="61" t="n"/>
      <c r="B86" s="40" t="n"/>
      <c r="C86" s="1000">
        <f>SUM(AB86:AJ86)</f>
        <v/>
      </c>
      <c r="D86" s="1001">
        <f>SUM(AK86:AS86)</f>
        <v/>
      </c>
      <c r="E86" s="1001">
        <f>SUM(AT86:AU86)</f>
        <v/>
      </c>
      <c r="F86" s="1001">
        <f>SUM(AV86:AZ86)</f>
        <v/>
      </c>
      <c r="G86" s="1001">
        <f>SUM(BA86:BD86)</f>
        <v/>
      </c>
      <c r="H86" s="1001">
        <f>SUM(V86:AA86)</f>
        <v/>
      </c>
      <c r="I86" s="1002">
        <f>SUM(C86:H86)</f>
        <v/>
      </c>
      <c r="J86" s="1003" t="n"/>
      <c r="K86" s="1003" t="n"/>
      <c r="L86" s="1017" t="n"/>
      <c r="M86" s="1005" t="n"/>
      <c r="N86" s="1006" t="n"/>
      <c r="O86" s="1000" t="n"/>
      <c r="P86" s="1007" t="n"/>
      <c r="Q86" s="1008" t="n"/>
      <c r="R86" s="990">
        <f>R85+SUM(N86:Q86)-SUM(I86:M86)</f>
        <v/>
      </c>
      <c r="S86" s="71" t="n"/>
      <c r="T86" s="1026" t="n"/>
      <c r="U86" s="72" t="n"/>
      <c r="V86" s="1009" t="n"/>
      <c r="W86" s="1010" t="n"/>
      <c r="X86" s="1011" t="n"/>
      <c r="Y86" s="1011" t="n"/>
      <c r="Z86" s="1012" t="n"/>
      <c r="AA86" s="1013" t="n"/>
      <c r="AB86" s="1009" t="n"/>
      <c r="AC86" s="1010" t="n"/>
      <c r="AD86" s="1011" t="n"/>
      <c r="AE86" s="1011" t="n"/>
      <c r="AF86" s="1011" t="n"/>
      <c r="AG86" s="1011" t="n"/>
      <c r="AH86" s="1011" t="n"/>
      <c r="AI86" s="1011" t="n"/>
      <c r="AJ86" s="1014" t="n"/>
      <c r="AK86" s="1015" t="n"/>
      <c r="AL86" s="1011" t="n"/>
      <c r="AM86" s="1011" t="n"/>
      <c r="AN86" s="1011" t="n"/>
      <c r="AO86" s="1011" t="n"/>
      <c r="AP86" s="1011" t="n"/>
      <c r="AQ86" s="1011" t="n"/>
      <c r="AR86" s="1011" t="n"/>
      <c r="AS86" s="1013" t="n"/>
      <c r="AT86" s="1010" t="n"/>
      <c r="AU86" s="1014" t="n"/>
      <c r="AV86" s="1015" t="n"/>
      <c r="AW86" s="1011" t="n"/>
      <c r="AX86" s="1011" t="n"/>
      <c r="AY86" s="1011" t="n"/>
      <c r="AZ86" s="1013" t="n"/>
      <c r="BA86" s="1010" t="n"/>
      <c r="BB86" s="1011" t="n"/>
      <c r="BC86" s="1011" t="n"/>
      <c r="BD86" s="1013" t="n"/>
      <c r="BE86" s="936">
        <f>I86-SUM(AB86:BD86)</f>
        <v/>
      </c>
    </row>
    <row r="87">
      <c r="A87" s="61" t="n"/>
      <c r="B87" s="40" t="n"/>
      <c r="C87" s="1000">
        <f>SUM(AB87:AJ87)</f>
        <v/>
      </c>
      <c r="D87" s="1001">
        <f>SUM(AK87:AS87)</f>
        <v/>
      </c>
      <c r="E87" s="1001">
        <f>SUM(AT87:AU87)</f>
        <v/>
      </c>
      <c r="F87" s="1001">
        <f>SUM(AV87:AZ87)</f>
        <v/>
      </c>
      <c r="G87" s="1001">
        <f>SUM(BA87:BD87)</f>
        <v/>
      </c>
      <c r="H87" s="1001">
        <f>SUM(V87:AA87)</f>
        <v/>
      </c>
      <c r="I87" s="1002">
        <f>SUM(C87:H87)</f>
        <v/>
      </c>
      <c r="J87" s="1003" t="n"/>
      <c r="K87" s="1003" t="n"/>
      <c r="L87" s="1017" t="n"/>
      <c r="M87" s="1005" t="n"/>
      <c r="N87" s="1006" t="n"/>
      <c r="O87" s="1000" t="n"/>
      <c r="P87" s="1007" t="n"/>
      <c r="Q87" s="1008" t="n"/>
      <c r="R87" s="990">
        <f>R86+SUM(N87:Q87)-SUM(I87:M87)</f>
        <v/>
      </c>
      <c r="S87" s="71" t="n"/>
      <c r="T87" s="1007" t="n"/>
      <c r="U87" s="72" t="n"/>
      <c r="V87" s="1009" t="n"/>
      <c r="W87" s="1010" t="n"/>
      <c r="X87" s="1011" t="n"/>
      <c r="Y87" s="1011" t="n"/>
      <c r="Z87" s="1012" t="n"/>
      <c r="AA87" s="1013" t="n"/>
      <c r="AB87" s="1009" t="n"/>
      <c r="AC87" s="1010" t="n"/>
      <c r="AD87" s="1011" t="n"/>
      <c r="AE87" s="1011" t="n"/>
      <c r="AF87" s="1011" t="n"/>
      <c r="AG87" s="1011" t="n"/>
      <c r="AH87" s="1011" t="n"/>
      <c r="AI87" s="1011" t="n"/>
      <c r="AJ87" s="1014" t="n"/>
      <c r="AK87" s="1015" t="n"/>
      <c r="AL87" s="1011" t="n"/>
      <c r="AM87" s="1011" t="n"/>
      <c r="AN87" s="1011" t="n"/>
      <c r="AO87" s="1011" t="n"/>
      <c r="AP87" s="1011" t="n"/>
      <c r="AQ87" s="1011" t="n"/>
      <c r="AR87" s="1011" t="n"/>
      <c r="AS87" s="1013" t="n"/>
      <c r="AT87" s="1010" t="n"/>
      <c r="AU87" s="1014" t="n"/>
      <c r="AV87" s="1015" t="n"/>
      <c r="AW87" s="1011" t="n"/>
      <c r="AX87" s="1011" t="n"/>
      <c r="AY87" s="1011" t="n"/>
      <c r="AZ87" s="1013" t="n"/>
      <c r="BA87" s="1010" t="n"/>
      <c r="BB87" s="1011" t="n"/>
      <c r="BC87" s="1011" t="n"/>
      <c r="BD87" s="1013" t="n"/>
      <c r="BE87" s="936">
        <f>I87-SUM(AB87:BD87)</f>
        <v/>
      </c>
    </row>
    <row r="88">
      <c r="A88" s="61" t="n"/>
      <c r="B88" s="40" t="n"/>
      <c r="C88" s="1000">
        <f>SUM(AB88:AJ88)</f>
        <v/>
      </c>
      <c r="D88" s="1001">
        <f>SUM(AK88:AS88)</f>
        <v/>
      </c>
      <c r="E88" s="1001">
        <f>SUM(AT88:AU88)</f>
        <v/>
      </c>
      <c r="F88" s="1001">
        <f>SUM(AV88:AZ88)</f>
        <v/>
      </c>
      <c r="G88" s="1001">
        <f>SUM(BA88:BD88)</f>
        <v/>
      </c>
      <c r="H88" s="1001">
        <f>SUM(V88:AA88)</f>
        <v/>
      </c>
      <c r="I88" s="1002">
        <f>SUM(C88:H88)</f>
        <v/>
      </c>
      <c r="J88" s="1003" t="n"/>
      <c r="K88" s="1003" t="n"/>
      <c r="L88" s="1017" t="n"/>
      <c r="M88" s="1005" t="n"/>
      <c r="N88" s="1006" t="n"/>
      <c r="O88" s="1000" t="n"/>
      <c r="P88" s="1007" t="n"/>
      <c r="Q88" s="1008" t="n"/>
      <c r="R88" s="990">
        <f>R87+SUM(N88:Q88)-SUM(I88:M88)</f>
        <v/>
      </c>
      <c r="S88" s="71" t="n"/>
      <c r="T88" s="1007" t="n"/>
      <c r="U88" s="72" t="n"/>
      <c r="V88" s="1009" t="n"/>
      <c r="W88" s="1010" t="n"/>
      <c r="X88" s="1011" t="n"/>
      <c r="Y88" s="1011" t="n"/>
      <c r="Z88" s="1029" t="n"/>
      <c r="AA88" s="1013" t="n"/>
      <c r="AB88" s="1009" t="n"/>
      <c r="AC88" s="1010" t="n"/>
      <c r="AD88" s="1011" t="n"/>
      <c r="AE88" s="1011" t="n"/>
      <c r="AF88" s="1011" t="n"/>
      <c r="AG88" s="1011" t="n"/>
      <c r="AH88" s="1011" t="n"/>
      <c r="AI88" s="1011" t="n"/>
      <c r="AJ88" s="1014" t="n"/>
      <c r="AK88" s="1015" t="n"/>
      <c r="AL88" s="1011" t="n"/>
      <c r="AM88" s="1011" t="n"/>
      <c r="AN88" s="1011" t="n"/>
      <c r="AO88" s="1011" t="n"/>
      <c r="AP88" s="1011" t="n"/>
      <c r="AQ88" s="1011" t="n"/>
      <c r="AR88" s="1011" t="n"/>
      <c r="AS88" s="1013" t="n"/>
      <c r="AT88" s="1010" t="n"/>
      <c r="AU88" s="1014" t="n"/>
      <c r="AV88" s="1015" t="n"/>
      <c r="AW88" s="1011" t="n"/>
      <c r="AX88" s="1011" t="n"/>
      <c r="AY88" s="1011" t="n"/>
      <c r="AZ88" s="1013" t="n"/>
      <c r="BA88" s="1010" t="n"/>
      <c r="BB88" s="1011" t="n"/>
      <c r="BC88" s="1011" t="n"/>
      <c r="BD88" s="1013" t="n"/>
      <c r="BE88" s="936">
        <f>I88-SUM(AB88:BD88)</f>
        <v/>
      </c>
    </row>
    <row r="89">
      <c r="A89" s="61" t="n"/>
      <c r="B89" s="40" t="n"/>
      <c r="C89" s="1000">
        <f>SUM(AB89:AJ89)</f>
        <v/>
      </c>
      <c r="D89" s="1001">
        <f>SUM(AK89:AS89)</f>
        <v/>
      </c>
      <c r="E89" s="1001">
        <f>SUM(AT89:AU89)</f>
        <v/>
      </c>
      <c r="F89" s="1001">
        <f>SUM(AV89:AZ89)</f>
        <v/>
      </c>
      <c r="G89" s="1001">
        <f>SUM(BA89:BD89)</f>
        <v/>
      </c>
      <c r="H89" s="1001">
        <f>SUM(V89:AA89)</f>
        <v/>
      </c>
      <c r="I89" s="1002">
        <f>SUM(C89:H89)</f>
        <v/>
      </c>
      <c r="J89" s="1003" t="n"/>
      <c r="K89" s="1003" t="n"/>
      <c r="L89" s="1017" t="n"/>
      <c r="M89" s="1005" t="n"/>
      <c r="N89" s="1006" t="n"/>
      <c r="O89" s="1000" t="n"/>
      <c r="P89" s="1007" t="n"/>
      <c r="Q89" s="1008" t="n"/>
      <c r="R89" s="990">
        <f>R88+SUM(N89:Q89)-SUM(I89:M89)</f>
        <v/>
      </c>
      <c r="S89" s="71" t="n"/>
      <c r="T89" s="1026" t="n"/>
      <c r="U89" s="72" t="n"/>
      <c r="V89" s="1009" t="n"/>
      <c r="W89" s="1010" t="n"/>
      <c r="X89" s="1011" t="n"/>
      <c r="Y89" s="1011" t="n"/>
      <c r="Z89" s="1012" t="n"/>
      <c r="AA89" s="1013" t="n"/>
      <c r="AB89" s="1009" t="n"/>
      <c r="AC89" s="1010" t="n"/>
      <c r="AD89" s="1011" t="n"/>
      <c r="AE89" s="1011" t="n"/>
      <c r="AF89" s="1011" t="n"/>
      <c r="AG89" s="1011" t="n"/>
      <c r="AH89" s="1011" t="n"/>
      <c r="AI89" s="1011" t="n"/>
      <c r="AJ89" s="1014" t="n"/>
      <c r="AK89" s="1015" t="n"/>
      <c r="AL89" s="1011" t="n"/>
      <c r="AM89" s="1011" t="n"/>
      <c r="AN89" s="1011" t="n"/>
      <c r="AO89" s="1011" t="n"/>
      <c r="AP89" s="1011" t="n"/>
      <c r="AQ89" s="1011" t="n"/>
      <c r="AR89" s="1011" t="n"/>
      <c r="AS89" s="1013" t="n"/>
      <c r="AT89" s="1010" t="n"/>
      <c r="AU89" s="1014" t="n"/>
      <c r="AV89" s="1015" t="n"/>
      <c r="AW89" s="1011" t="n"/>
      <c r="AX89" s="1011" t="n"/>
      <c r="AY89" s="1011" t="n"/>
      <c r="AZ89" s="1013" t="n"/>
      <c r="BA89" s="1010" t="n"/>
      <c r="BB89" s="1011" t="n"/>
      <c r="BC89" s="1011" t="n"/>
      <c r="BD89" s="1013" t="n"/>
      <c r="BE89" s="936">
        <f>I89-SUM(AB89:BD89)</f>
        <v/>
      </c>
    </row>
    <row r="90">
      <c r="A90" s="61" t="n"/>
      <c r="B90" s="40" t="n"/>
      <c r="C90" s="1000">
        <f>SUM(AB90:AJ90)</f>
        <v/>
      </c>
      <c r="D90" s="1001">
        <f>SUM(AK90:AS90)</f>
        <v/>
      </c>
      <c r="E90" s="1001">
        <f>SUM(AT90:AU90)</f>
        <v/>
      </c>
      <c r="F90" s="1001">
        <f>SUM(AV90:AZ90)</f>
        <v/>
      </c>
      <c r="G90" s="1001">
        <f>SUM(BA90:BD90)</f>
        <v/>
      </c>
      <c r="H90" s="1001">
        <f>SUM(V90:AA90)</f>
        <v/>
      </c>
      <c r="I90" s="1002">
        <f>SUM(C90:H90)</f>
        <v/>
      </c>
      <c r="J90" s="1003" t="n"/>
      <c r="K90" s="1003" t="n"/>
      <c r="L90" s="1017" t="n"/>
      <c r="M90" s="1005" t="n"/>
      <c r="N90" s="1006" t="n"/>
      <c r="O90" s="1000" t="n"/>
      <c r="P90" s="1007" t="n"/>
      <c r="Q90" s="1008" t="n"/>
      <c r="R90" s="990">
        <f>R89+SUM(N90:Q90)-SUM(I90:M90)</f>
        <v/>
      </c>
      <c r="S90" s="71" t="n"/>
      <c r="T90" s="1026" t="n"/>
      <c r="U90" s="72" t="n"/>
      <c r="V90" s="1009" t="n"/>
      <c r="W90" s="1010" t="n"/>
      <c r="X90" s="1011" t="n"/>
      <c r="Y90" s="1011" t="n"/>
      <c r="Z90" s="1012" t="n"/>
      <c r="AA90" s="1013" t="n"/>
      <c r="AB90" s="1009" t="n"/>
      <c r="AC90" s="1010" t="n"/>
      <c r="AD90" s="1011" t="n"/>
      <c r="AE90" s="1011" t="n"/>
      <c r="AF90" s="1011" t="n"/>
      <c r="AG90" s="1011" t="n"/>
      <c r="AH90" s="1011" t="n"/>
      <c r="AI90" s="1011" t="n"/>
      <c r="AJ90" s="1014" t="n"/>
      <c r="AK90" s="1015" t="n"/>
      <c r="AL90" s="1011" t="n"/>
      <c r="AM90" s="1011" t="n"/>
      <c r="AN90" s="1011" t="n"/>
      <c r="AO90" s="1011" t="n"/>
      <c r="AP90" s="1011" t="n"/>
      <c r="AQ90" s="1011" t="n"/>
      <c r="AR90" s="1011" t="n"/>
      <c r="AS90" s="1013" t="n"/>
      <c r="AT90" s="1010" t="n"/>
      <c r="AU90" s="1014" t="n"/>
      <c r="AV90" s="1015" t="n"/>
      <c r="AW90" s="1011" t="n"/>
      <c r="AX90" s="1011" t="n"/>
      <c r="AY90" s="1011" t="n"/>
      <c r="AZ90" s="1013" t="n"/>
      <c r="BA90" s="1010" t="n"/>
      <c r="BB90" s="1011" t="n"/>
      <c r="BC90" s="1011" t="n"/>
      <c r="BD90" s="1013" t="n"/>
      <c r="BE90" s="936">
        <f>I90-SUM(AB90:BD90)</f>
        <v/>
      </c>
    </row>
    <row r="91">
      <c r="A91" s="61" t="n"/>
      <c r="B91" s="40" t="n"/>
      <c r="C91" s="1000">
        <f>SUM(AB91:AJ91)</f>
        <v/>
      </c>
      <c r="D91" s="1001">
        <f>SUM(AK91:AS91)</f>
        <v/>
      </c>
      <c r="E91" s="1001">
        <f>SUM(AT91:AU91)</f>
        <v/>
      </c>
      <c r="F91" s="1001">
        <f>SUM(AV91:AZ91)</f>
        <v/>
      </c>
      <c r="G91" s="1001">
        <f>SUM(BA91:BD91)</f>
        <v/>
      </c>
      <c r="H91" s="1001">
        <f>SUM(V91:AA91)</f>
        <v/>
      </c>
      <c r="I91" s="1002">
        <f>SUM(C91:H91)</f>
        <v/>
      </c>
      <c r="J91" s="1003" t="n"/>
      <c r="K91" s="1003" t="n"/>
      <c r="L91" s="1017" t="n"/>
      <c r="M91" s="1005" t="n"/>
      <c r="N91" s="1006" t="n"/>
      <c r="O91" s="1000" t="n"/>
      <c r="P91" s="1007" t="n"/>
      <c r="Q91" s="1008" t="n"/>
      <c r="R91" s="990">
        <f>R90+SUM(N91:Q91)-SUM(I91:M91)</f>
        <v/>
      </c>
      <c r="S91" s="71" t="n"/>
      <c r="T91" s="1019" t="n"/>
      <c r="U91" s="72" t="n"/>
      <c r="V91" s="1009" t="n"/>
      <c r="W91" s="1010" t="n"/>
      <c r="X91" s="1011" t="n"/>
      <c r="Y91" s="1011" t="n"/>
      <c r="Z91" s="1012" t="n"/>
      <c r="AA91" s="1013" t="n"/>
      <c r="AB91" s="1009" t="n"/>
      <c r="AC91" s="1010" t="n"/>
      <c r="AD91" s="1011" t="n"/>
      <c r="AE91" s="1011" t="n"/>
      <c r="AF91" s="1011" t="n"/>
      <c r="AG91" s="1011" t="n"/>
      <c r="AH91" s="1011" t="n"/>
      <c r="AI91" s="1011" t="n"/>
      <c r="AJ91" s="1014" t="n"/>
      <c r="AK91" s="1015" t="n"/>
      <c r="AL91" s="1011" t="n"/>
      <c r="AM91" s="1011" t="n"/>
      <c r="AN91" s="1011" t="n"/>
      <c r="AO91" s="1011" t="n"/>
      <c r="AP91" s="1011" t="n"/>
      <c r="AQ91" s="1011" t="n"/>
      <c r="AR91" s="1011" t="n"/>
      <c r="AS91" s="1013" t="n"/>
      <c r="AT91" s="1010" t="n"/>
      <c r="AU91" s="1014" t="n"/>
      <c r="AV91" s="1015" t="n"/>
      <c r="AW91" s="1011" t="n"/>
      <c r="AX91" s="1011" t="n"/>
      <c r="AY91" s="1011" t="n"/>
      <c r="AZ91" s="1013" t="n"/>
      <c r="BA91" s="1010" t="n"/>
      <c r="BB91" s="1011" t="n"/>
      <c r="BC91" s="1011" t="n"/>
      <c r="BD91" s="1013" t="n"/>
      <c r="BE91" s="936">
        <f>I91-SUM(AB91:BD91)</f>
        <v/>
      </c>
    </row>
    <row r="92" ht="15" customHeight="1">
      <c r="A92" s="61" t="n"/>
      <c r="B92" s="40" t="n"/>
      <c r="C92" s="1000">
        <f>SUM(AB92:AJ92)</f>
        <v/>
      </c>
      <c r="D92" s="1001">
        <f>SUM(AK92:AS92)</f>
        <v/>
      </c>
      <c r="E92" s="1001">
        <f>SUM(AT92:AU92)</f>
        <v/>
      </c>
      <c r="F92" s="1001">
        <f>SUM(AV92:AZ92)</f>
        <v/>
      </c>
      <c r="G92" s="1001">
        <f>SUM(BA92:BD92)</f>
        <v/>
      </c>
      <c r="H92" s="1001">
        <f>SUM(V92:AA92)</f>
        <v/>
      </c>
      <c r="I92" s="1002">
        <f>SUM(C92:H92)</f>
        <v/>
      </c>
      <c r="J92" s="1024" t="n"/>
      <c r="K92" s="1003" t="n"/>
      <c r="L92" s="1017" t="n"/>
      <c r="M92" s="1005" t="n"/>
      <c r="N92" s="1006" t="n"/>
      <c r="O92" s="1000" t="n"/>
      <c r="P92" s="1007" t="n"/>
      <c r="Q92" s="1008" t="n"/>
      <c r="R92" s="990">
        <f>R91+SUM(N92:Q92)-SUM(I92:M92)</f>
        <v/>
      </c>
      <c r="S92" s="71" t="n"/>
      <c r="T92" s="1026" t="n"/>
      <c r="U92" s="72" t="n"/>
      <c r="V92" s="1009" t="n"/>
      <c r="W92" s="1010" t="n"/>
      <c r="X92" s="1011" t="n"/>
      <c r="Y92" s="1011" t="n"/>
      <c r="Z92" s="1012" t="n"/>
      <c r="AA92" s="1013" t="n"/>
      <c r="AB92" s="1009" t="n"/>
      <c r="AC92" s="1010" t="n"/>
      <c r="AD92" s="1011" t="n"/>
      <c r="AE92" s="1011" t="n"/>
      <c r="AF92" s="1011" t="n"/>
      <c r="AG92" s="1011" t="n"/>
      <c r="AH92" s="1011" t="n"/>
      <c r="AI92" s="1011" t="n"/>
      <c r="AJ92" s="1014" t="n"/>
      <c r="AK92" s="1015" t="n"/>
      <c r="AL92" s="1011" t="n"/>
      <c r="AM92" s="1011" t="n"/>
      <c r="AN92" s="1011" t="n"/>
      <c r="AO92" s="1011" t="n"/>
      <c r="AP92" s="1011" t="n"/>
      <c r="AQ92" s="1011" t="n"/>
      <c r="AR92" s="1011" t="n"/>
      <c r="AS92" s="1013" t="n"/>
      <c r="AT92" s="1010" t="n"/>
      <c r="AU92" s="1014" t="n"/>
      <c r="AV92" s="1015" t="n"/>
      <c r="AW92" s="1011" t="n"/>
      <c r="AX92" s="1011" t="n"/>
      <c r="AY92" s="1011" t="n"/>
      <c r="AZ92" s="1013" t="n"/>
      <c r="BA92" s="1010" t="n"/>
      <c r="BB92" s="1011" t="n"/>
      <c r="BC92" s="1011" t="n"/>
      <c r="BD92" s="1013" t="n"/>
      <c r="BE92" s="936">
        <f>I92-SUM(AB92:BD92)</f>
        <v/>
      </c>
    </row>
    <row r="93">
      <c r="A93" s="61" t="n"/>
      <c r="B93" s="40" t="n"/>
      <c r="C93" s="1000">
        <f>SUM(AB93:AJ93)</f>
        <v/>
      </c>
      <c r="D93" s="1001">
        <f>SUM(AK93:AS93)</f>
        <v/>
      </c>
      <c r="E93" s="1001">
        <f>SUM(AT93:AU93)</f>
        <v/>
      </c>
      <c r="F93" s="1001">
        <f>SUM(AV93:AZ93)</f>
        <v/>
      </c>
      <c r="G93" s="1001">
        <f>SUM(BA93:BD93)</f>
        <v/>
      </c>
      <c r="H93" s="1001">
        <f>SUM(V93:AA93)</f>
        <v/>
      </c>
      <c r="I93" s="1002">
        <f>SUM(C93:H93)</f>
        <v/>
      </c>
      <c r="J93" s="1003" t="n"/>
      <c r="K93" s="1003" t="n"/>
      <c r="L93" s="1017" t="n"/>
      <c r="M93" s="1005" t="n"/>
      <c r="N93" s="1006" t="n"/>
      <c r="O93" s="1000" t="n"/>
      <c r="P93" s="1007" t="n"/>
      <c r="Q93" s="1008" t="n"/>
      <c r="R93" s="990">
        <f>R92+SUM(N93:Q93)-SUM(I93:M93)</f>
        <v/>
      </c>
      <c r="S93" s="71" t="n"/>
      <c r="T93" s="1026" t="n"/>
      <c r="U93" s="72" t="n"/>
      <c r="V93" s="1009" t="n"/>
      <c r="W93" s="1010" t="n"/>
      <c r="X93" s="1011" t="n"/>
      <c r="Y93" s="1011" t="n"/>
      <c r="Z93" s="1012" t="n"/>
      <c r="AA93" s="1013" t="n"/>
      <c r="AB93" s="1009" t="n"/>
      <c r="AC93" s="1010" t="n"/>
      <c r="AD93" s="1011" t="n"/>
      <c r="AE93" s="1011" t="n"/>
      <c r="AF93" s="1011" t="n"/>
      <c r="AG93" s="1011" t="n"/>
      <c r="AH93" s="1011" t="n"/>
      <c r="AI93" s="1011" t="n"/>
      <c r="AJ93" s="1014" t="n"/>
      <c r="AK93" s="1015" t="n"/>
      <c r="AL93" s="1011" t="n"/>
      <c r="AM93" s="1011" t="n"/>
      <c r="AN93" s="1011" t="n"/>
      <c r="AO93" s="1011" t="n"/>
      <c r="AP93" s="1011" t="n"/>
      <c r="AQ93" s="1011" t="n"/>
      <c r="AR93" s="1011" t="n"/>
      <c r="AS93" s="1013" t="n"/>
      <c r="AT93" s="1010" t="n"/>
      <c r="AU93" s="1014" t="n"/>
      <c r="AV93" s="1015" t="n"/>
      <c r="AW93" s="1011" t="n"/>
      <c r="AX93" s="1011" t="n"/>
      <c r="AY93" s="1011" t="n"/>
      <c r="AZ93" s="1013" t="n"/>
      <c r="BA93" s="1010" t="n"/>
      <c r="BB93" s="1011" t="n"/>
      <c r="BC93" s="1011" t="n"/>
      <c r="BD93" s="1013" t="n"/>
      <c r="BE93" s="936">
        <f>I93-SUM(AB93:BD93)</f>
        <v/>
      </c>
    </row>
    <row r="94">
      <c r="A94" s="61" t="n"/>
      <c r="B94" s="40" t="n"/>
      <c r="C94" s="1000">
        <f>SUM(AB94:AJ94)</f>
        <v/>
      </c>
      <c r="D94" s="1001">
        <f>SUM(AK94:AS94)</f>
        <v/>
      </c>
      <c r="E94" s="1001">
        <f>SUM(AT94:AU94)</f>
        <v/>
      </c>
      <c r="F94" s="1001">
        <f>SUM(AV94:AZ94)</f>
        <v/>
      </c>
      <c r="G94" s="1001">
        <f>SUM(BA94:BD94)</f>
        <v/>
      </c>
      <c r="H94" s="1001">
        <f>SUM(V94:AA94)</f>
        <v/>
      </c>
      <c r="I94" s="1002">
        <f>SUM(C94:H94)</f>
        <v/>
      </c>
      <c r="J94" s="1003" t="n"/>
      <c r="K94" s="1003" t="n"/>
      <c r="L94" s="1017" t="n"/>
      <c r="M94" s="1005" t="n"/>
      <c r="N94" s="1006" t="n"/>
      <c r="O94" s="1000" t="n"/>
      <c r="P94" s="1007" t="n"/>
      <c r="Q94" s="1008" t="n"/>
      <c r="R94" s="990">
        <f>R93+SUM(N94:Q94)-SUM(I94:M94)</f>
        <v/>
      </c>
      <c r="S94" s="71" t="n"/>
      <c r="T94" s="1026" t="n"/>
      <c r="U94" s="72" t="n"/>
      <c r="V94" s="1009" t="n"/>
      <c r="W94" s="1010" t="n"/>
      <c r="X94" s="1011" t="n"/>
      <c r="Y94" s="1011" t="n"/>
      <c r="Z94" s="1012" t="n"/>
      <c r="AA94" s="1013" t="n"/>
      <c r="AB94" s="1009" t="n"/>
      <c r="AC94" s="1010" t="n"/>
      <c r="AD94" s="1011" t="n"/>
      <c r="AE94" s="1011" t="n"/>
      <c r="AF94" s="1011" t="n"/>
      <c r="AG94" s="1011" t="n"/>
      <c r="AH94" s="1011" t="n"/>
      <c r="AI94" s="1011" t="n"/>
      <c r="AJ94" s="1014" t="n"/>
      <c r="AK94" s="1015" t="n"/>
      <c r="AL94" s="1011" t="n"/>
      <c r="AM94" s="1011" t="n"/>
      <c r="AN94" s="1011" t="n"/>
      <c r="AO94" s="1011" t="n"/>
      <c r="AP94" s="1011" t="n"/>
      <c r="AQ94" s="1011" t="n"/>
      <c r="AR94" s="1011" t="n"/>
      <c r="AS94" s="1013" t="n"/>
      <c r="AT94" s="1010" t="n"/>
      <c r="AU94" s="1014" t="n"/>
      <c r="AV94" s="1015" t="n"/>
      <c r="AW94" s="1011" t="n"/>
      <c r="AX94" s="1011" t="n"/>
      <c r="AY94" s="1011" t="n"/>
      <c r="AZ94" s="1013" t="n"/>
      <c r="BA94" s="1010" t="n"/>
      <c r="BB94" s="1011" t="n"/>
      <c r="BC94" s="1011" t="n"/>
      <c r="BD94" s="1013" t="n"/>
      <c r="BE94" s="936">
        <f>I94-SUM(AB94:BD94)</f>
        <v/>
      </c>
    </row>
    <row r="95">
      <c r="A95" s="61" t="n"/>
      <c r="B95" s="40" t="n"/>
      <c r="C95" s="1000">
        <f>SUM(AB95:AJ95)</f>
        <v/>
      </c>
      <c r="D95" s="1001">
        <f>SUM(AK95:AS95)</f>
        <v/>
      </c>
      <c r="E95" s="1001">
        <f>SUM(AT95:AU95)</f>
        <v/>
      </c>
      <c r="F95" s="1001">
        <f>SUM(AV95:AZ95)</f>
        <v/>
      </c>
      <c r="G95" s="1001">
        <f>SUM(BA95:BD95)</f>
        <v/>
      </c>
      <c r="H95" s="1001">
        <f>SUM(V95:AA95)</f>
        <v/>
      </c>
      <c r="I95" s="1002">
        <f>SUM(C95:H95)</f>
        <v/>
      </c>
      <c r="J95" s="1003" t="n"/>
      <c r="K95" s="1003" t="n"/>
      <c r="L95" s="1017" t="n"/>
      <c r="M95" s="1005" t="n"/>
      <c r="N95" s="1006" t="n"/>
      <c r="O95" s="1000" t="n"/>
      <c r="P95" s="1007" t="n"/>
      <c r="Q95" s="1008" t="n"/>
      <c r="R95" s="990">
        <f>R94+SUM(N95:Q95)-SUM(I95:M95)</f>
        <v/>
      </c>
      <c r="S95" s="71" t="n"/>
      <c r="T95" s="1026" t="n"/>
      <c r="U95" s="72" t="n"/>
      <c r="V95" s="1009" t="n"/>
      <c r="W95" s="1010" t="n"/>
      <c r="X95" s="1011" t="n"/>
      <c r="Y95" s="1011" t="n"/>
      <c r="Z95" s="1012" t="n"/>
      <c r="AA95" s="1013" t="n"/>
      <c r="AB95" s="1009" t="n"/>
      <c r="AC95" s="1010" t="n"/>
      <c r="AD95" s="1011" t="n"/>
      <c r="AE95" s="1011" t="n"/>
      <c r="AF95" s="1011" t="n"/>
      <c r="AG95" s="1011" t="n"/>
      <c r="AH95" s="1011" t="n"/>
      <c r="AI95" s="1011" t="n"/>
      <c r="AJ95" s="1014" t="n"/>
      <c r="AK95" s="1015" t="n"/>
      <c r="AL95" s="1011" t="n"/>
      <c r="AM95" s="1011" t="n"/>
      <c r="AN95" s="1011" t="n"/>
      <c r="AO95" s="1011" t="n"/>
      <c r="AP95" s="1011" t="n"/>
      <c r="AQ95" s="1011" t="n"/>
      <c r="AR95" s="1011" t="n"/>
      <c r="AS95" s="1013" t="n"/>
      <c r="AT95" s="1010" t="n"/>
      <c r="AU95" s="1014" t="n"/>
      <c r="AV95" s="1015" t="n"/>
      <c r="AW95" s="1011" t="n"/>
      <c r="AX95" s="1011" t="n"/>
      <c r="AY95" s="1011" t="n"/>
      <c r="AZ95" s="1013" t="n"/>
      <c r="BA95" s="1010" t="n"/>
      <c r="BB95" s="1011" t="n"/>
      <c r="BC95" s="1011" t="n"/>
      <c r="BD95" s="1013" t="n"/>
      <c r="BE95" s="936">
        <f>I95-SUM(AB95:BD95)</f>
        <v/>
      </c>
    </row>
    <row r="96">
      <c r="A96" s="61" t="n"/>
      <c r="B96" s="40" t="n"/>
      <c r="C96" s="1000">
        <f>SUM(AB96:AJ96)</f>
        <v/>
      </c>
      <c r="D96" s="1001">
        <f>SUM(AK96:AS96)</f>
        <v/>
      </c>
      <c r="E96" s="1001">
        <f>SUM(AT96:AU96)</f>
        <v/>
      </c>
      <c r="F96" s="1001">
        <f>SUM(AV96:AZ96)</f>
        <v/>
      </c>
      <c r="G96" s="1001">
        <f>SUM(BA96:BD96)</f>
        <v/>
      </c>
      <c r="H96" s="1001">
        <f>SUM(V96:AA96)</f>
        <v/>
      </c>
      <c r="I96" s="1002">
        <f>SUM(C96:H96)</f>
        <v/>
      </c>
      <c r="J96" s="1003" t="n"/>
      <c r="K96" s="1003" t="n"/>
      <c r="L96" s="1017" t="n"/>
      <c r="M96" s="1005" t="n"/>
      <c r="N96" s="1006" t="n"/>
      <c r="O96" s="1000" t="n"/>
      <c r="P96" s="1007" t="n"/>
      <c r="Q96" s="1008" t="n"/>
      <c r="R96" s="990">
        <f>R95+SUM(N96:Q96)-SUM(I96:M96)</f>
        <v/>
      </c>
      <c r="S96" s="71" t="n"/>
      <c r="T96" s="1026" t="n"/>
      <c r="U96" s="72" t="n"/>
      <c r="V96" s="1009" t="n"/>
      <c r="W96" s="1010" t="n"/>
      <c r="X96" s="1011" t="n"/>
      <c r="Y96" s="1011" t="n"/>
      <c r="Z96" s="1012" t="n"/>
      <c r="AA96" s="1013" t="n"/>
      <c r="AB96" s="1009" t="n"/>
      <c r="AC96" s="1010" t="n"/>
      <c r="AD96" s="1011" t="n"/>
      <c r="AE96" s="1011" t="n"/>
      <c r="AF96" s="1011" t="n"/>
      <c r="AG96" s="1011" t="n"/>
      <c r="AH96" s="1011" t="n"/>
      <c r="AI96" s="1011" t="n"/>
      <c r="AJ96" s="1014" t="n"/>
      <c r="AK96" s="1015" t="n"/>
      <c r="AL96" s="1011" t="n"/>
      <c r="AM96" s="1011" t="n"/>
      <c r="AN96" s="1011" t="n"/>
      <c r="AO96" s="1011" t="n"/>
      <c r="AP96" s="1011" t="n"/>
      <c r="AQ96" s="1011" t="n"/>
      <c r="AR96" s="1011" t="n"/>
      <c r="AS96" s="1013" t="n"/>
      <c r="AT96" s="1010" t="n"/>
      <c r="AU96" s="1014" t="n"/>
      <c r="AV96" s="1015" t="n"/>
      <c r="AW96" s="1011" t="n"/>
      <c r="AX96" s="1011" t="n"/>
      <c r="AY96" s="1011" t="n"/>
      <c r="AZ96" s="1013" t="n"/>
      <c r="BA96" s="1010" t="n"/>
      <c r="BB96" s="1011" t="n"/>
      <c r="BC96" s="1011" t="n"/>
      <c r="BD96" s="1013" t="n"/>
      <c r="BE96" s="936">
        <f>I96-SUM(AB96:BD96)</f>
        <v/>
      </c>
    </row>
    <row r="97">
      <c r="A97" s="61" t="n"/>
      <c r="B97" s="40" t="n"/>
      <c r="C97" s="1000">
        <f>SUM(AB97:AJ97)</f>
        <v/>
      </c>
      <c r="D97" s="1001">
        <f>SUM(AK97:AS97)</f>
        <v/>
      </c>
      <c r="E97" s="1001">
        <f>SUM(AT97:AU97)</f>
        <v/>
      </c>
      <c r="F97" s="1001">
        <f>SUM(AV97:AZ97)</f>
        <v/>
      </c>
      <c r="G97" s="1001">
        <f>SUM(BA97:BD97)</f>
        <v/>
      </c>
      <c r="H97" s="1001">
        <f>SUM(V97:AA97)</f>
        <v/>
      </c>
      <c r="I97" s="1002">
        <f>SUM(C97:H97)</f>
        <v/>
      </c>
      <c r="J97" s="1003" t="n"/>
      <c r="K97" s="1003" t="n"/>
      <c r="L97" s="1017" t="n"/>
      <c r="M97" s="1005" t="n"/>
      <c r="N97" s="1006" t="n"/>
      <c r="O97" s="1000" t="n"/>
      <c r="P97" s="1007" t="n"/>
      <c r="Q97" s="1008" t="n"/>
      <c r="R97" s="990">
        <f>R96+SUM(N97:Q97)-SUM(I97:M97)</f>
        <v/>
      </c>
      <c r="S97" s="71" t="n"/>
      <c r="T97" s="1026" t="n"/>
      <c r="U97" s="72" t="n"/>
      <c r="V97" s="1009" t="n"/>
      <c r="W97" s="1010" t="n"/>
      <c r="X97" s="1011" t="n"/>
      <c r="Y97" s="1011" t="n"/>
      <c r="Z97" s="1012" t="n"/>
      <c r="AA97" s="1013" t="n"/>
      <c r="AB97" s="1009" t="n"/>
      <c r="AC97" s="1010" t="n"/>
      <c r="AD97" s="1011" t="n"/>
      <c r="AE97" s="1011" t="n"/>
      <c r="AF97" s="1011" t="n"/>
      <c r="AG97" s="1011" t="n"/>
      <c r="AH97" s="1011" t="n"/>
      <c r="AI97" s="1011" t="n"/>
      <c r="AJ97" s="1014" t="n"/>
      <c r="AK97" s="1015" t="n"/>
      <c r="AL97" s="1011" t="n"/>
      <c r="AM97" s="1011" t="n"/>
      <c r="AN97" s="1011" t="n"/>
      <c r="AO97" s="1011" t="n"/>
      <c r="AP97" s="1011" t="n"/>
      <c r="AQ97" s="1011" t="n"/>
      <c r="AR97" s="1011" t="n"/>
      <c r="AS97" s="1013" t="n"/>
      <c r="AT97" s="1010" t="n"/>
      <c r="AU97" s="1014" t="n"/>
      <c r="AV97" s="1015" t="n"/>
      <c r="AW97" s="1011" t="n"/>
      <c r="AX97" s="1011" t="n"/>
      <c r="AY97" s="1011" t="n"/>
      <c r="AZ97" s="1013" t="n"/>
      <c r="BA97" s="1010" t="n"/>
      <c r="BB97" s="1011" t="n"/>
      <c r="BC97" s="1011" t="n"/>
      <c r="BD97" s="1013" t="n"/>
      <c r="BE97" s="936">
        <f>I97-SUM(AB97:BD97)</f>
        <v/>
      </c>
    </row>
    <row r="98">
      <c r="A98" s="61" t="n"/>
      <c r="B98" s="40" t="n"/>
      <c r="C98" s="1000">
        <f>SUM(AB98:AJ98)</f>
        <v/>
      </c>
      <c r="D98" s="1001">
        <f>SUM(AK98:AS98)</f>
        <v/>
      </c>
      <c r="E98" s="1001">
        <f>SUM(AT98:AU98)</f>
        <v/>
      </c>
      <c r="F98" s="1001">
        <f>SUM(AV98:AZ98)</f>
        <v/>
      </c>
      <c r="G98" s="1001">
        <f>SUM(BA98:BD98)</f>
        <v/>
      </c>
      <c r="H98" s="1001">
        <f>SUM(V98:AA98)</f>
        <v/>
      </c>
      <c r="I98" s="1002">
        <f>SUM(C98:H98)</f>
        <v/>
      </c>
      <c r="J98" s="1003" t="n"/>
      <c r="K98" s="1003" t="n"/>
      <c r="L98" s="1017" t="n"/>
      <c r="M98" s="1005" t="n"/>
      <c r="N98" s="1006" t="n"/>
      <c r="O98" s="1000" t="n"/>
      <c r="P98" s="1007" t="n"/>
      <c r="Q98" s="1008" t="n"/>
      <c r="R98" s="990">
        <f>R97+SUM(N98:Q98)-SUM(I98:M98)</f>
        <v/>
      </c>
      <c r="S98" s="71" t="n"/>
      <c r="T98" s="1026" t="n"/>
      <c r="U98" s="72" t="n"/>
      <c r="V98" s="1009" t="n"/>
      <c r="W98" s="1010" t="n"/>
      <c r="X98" s="1011" t="n"/>
      <c r="Y98" s="1011" t="n"/>
      <c r="Z98" s="1012" t="n"/>
      <c r="AA98" s="1013" t="n"/>
      <c r="AB98" s="1009" t="n"/>
      <c r="AC98" s="1010" t="n"/>
      <c r="AD98" s="1011" t="n"/>
      <c r="AE98" s="1011" t="n"/>
      <c r="AF98" s="1011" t="n"/>
      <c r="AG98" s="1011" t="n"/>
      <c r="AH98" s="1011" t="n"/>
      <c r="AI98" s="1011" t="n"/>
      <c r="AJ98" s="1014" t="n"/>
      <c r="AK98" s="1015" t="n"/>
      <c r="AL98" s="1011" t="n"/>
      <c r="AM98" s="1011" t="n"/>
      <c r="AN98" s="1011" t="n"/>
      <c r="AO98" s="1011" t="n"/>
      <c r="AP98" s="1011" t="n"/>
      <c r="AQ98" s="1011" t="n"/>
      <c r="AR98" s="1011" t="n"/>
      <c r="AS98" s="1013" t="n"/>
      <c r="AT98" s="1010" t="n"/>
      <c r="AU98" s="1014" t="n"/>
      <c r="AV98" s="1015" t="n"/>
      <c r="AW98" s="1011" t="n"/>
      <c r="AX98" s="1011" t="n"/>
      <c r="AY98" s="1011" t="n"/>
      <c r="AZ98" s="1013" t="n"/>
      <c r="BA98" s="1010" t="n"/>
      <c r="BB98" s="1011" t="n"/>
      <c r="BC98" s="1011" t="n"/>
      <c r="BD98" s="1013" t="n"/>
      <c r="BE98" s="936">
        <f>I98-SUM(AB98:BD98)</f>
        <v/>
      </c>
    </row>
    <row r="99">
      <c r="A99" s="61" t="n"/>
      <c r="B99" s="40" t="n"/>
      <c r="C99" s="1000">
        <f>SUM(AB99:AJ99)</f>
        <v/>
      </c>
      <c r="D99" s="1001">
        <f>SUM(AK99:AS99)</f>
        <v/>
      </c>
      <c r="E99" s="1001">
        <f>SUM(AT99:AU99)</f>
        <v/>
      </c>
      <c r="F99" s="1001">
        <f>SUM(AV99:AZ99)</f>
        <v/>
      </c>
      <c r="G99" s="1001">
        <f>SUM(BA99:BD99)</f>
        <v/>
      </c>
      <c r="H99" s="1001">
        <f>SUM(V99:AA99)</f>
        <v/>
      </c>
      <c r="I99" s="1002">
        <f>SUM(C99:H99)</f>
        <v/>
      </c>
      <c r="J99" s="1003" t="n"/>
      <c r="K99" s="1003" t="n"/>
      <c r="L99" s="1017" t="n"/>
      <c r="M99" s="1030" t="n"/>
      <c r="N99" s="1006" t="n"/>
      <c r="O99" s="1000" t="n"/>
      <c r="P99" s="1007" t="n"/>
      <c r="Q99" s="1008" t="n"/>
      <c r="R99" s="990">
        <f>R98+SUM(N99:Q99)-SUM(I99:M99)</f>
        <v/>
      </c>
      <c r="S99" s="71" t="n"/>
      <c r="T99" s="1026" t="n"/>
      <c r="U99" s="72" t="n"/>
      <c r="V99" s="1009" t="n"/>
      <c r="W99" s="1010" t="n"/>
      <c r="X99" s="1011" t="n"/>
      <c r="Y99" s="1011" t="n"/>
      <c r="Z99" s="1012" t="n"/>
      <c r="AA99" s="1013" t="n"/>
      <c r="AB99" s="1009" t="n"/>
      <c r="AC99" s="1010" t="n"/>
      <c r="AD99" s="1011" t="n"/>
      <c r="AE99" s="1011" t="n"/>
      <c r="AF99" s="1011" t="n"/>
      <c r="AG99" s="1011" t="n"/>
      <c r="AH99" s="1011" t="n"/>
      <c r="AI99" s="1011" t="n"/>
      <c r="AJ99" s="1014" t="n"/>
      <c r="AK99" s="1015" t="n"/>
      <c r="AL99" s="1011" t="n"/>
      <c r="AM99" s="1011" t="n"/>
      <c r="AN99" s="1011" t="n"/>
      <c r="AO99" s="1011" t="n"/>
      <c r="AP99" s="1011" t="n"/>
      <c r="AQ99" s="1011" t="n"/>
      <c r="AR99" s="1011" t="n"/>
      <c r="AS99" s="1013" t="n"/>
      <c r="AT99" s="1010" t="n"/>
      <c r="AU99" s="1014" t="n"/>
      <c r="AV99" s="1015" t="n"/>
      <c r="AW99" s="1011" t="n"/>
      <c r="AX99" s="1011" t="n"/>
      <c r="AY99" s="1011" t="n"/>
      <c r="AZ99" s="1013" t="n"/>
      <c r="BA99" s="1010" t="n"/>
      <c r="BB99" s="1011" t="n"/>
      <c r="BC99" s="1011" t="n"/>
      <c r="BD99" s="1013" t="n"/>
      <c r="BE99" s="936">
        <f>I99-SUM(AB99:BD99)</f>
        <v/>
      </c>
    </row>
    <row r="100">
      <c r="A100" s="61" t="n"/>
      <c r="B100" s="40" t="n"/>
      <c r="C100" s="1000">
        <f>SUM(AB100:AJ100)</f>
        <v/>
      </c>
      <c r="D100" s="1001">
        <f>SUM(AK100:AS100)</f>
        <v/>
      </c>
      <c r="E100" s="1001">
        <f>SUM(AT100:AU100)</f>
        <v/>
      </c>
      <c r="F100" s="1001">
        <f>SUM(AV100:AZ100)</f>
        <v/>
      </c>
      <c r="G100" s="1001">
        <f>SUM(BA100:BD100)</f>
        <v/>
      </c>
      <c r="H100" s="1001">
        <f>SUM(V100:AA100)</f>
        <v/>
      </c>
      <c r="I100" s="1002">
        <f>SUM(C100:H100)</f>
        <v/>
      </c>
      <c r="J100" s="1003" t="n"/>
      <c r="K100" s="1003" t="n"/>
      <c r="L100" s="1017" t="n"/>
      <c r="M100" s="1005" t="n"/>
      <c r="N100" s="1006" t="n"/>
      <c r="O100" s="1000" t="n"/>
      <c r="P100" s="1007" t="n"/>
      <c r="Q100" s="1008" t="n"/>
      <c r="R100" s="990">
        <f>R99+SUM(N100:Q100)-SUM(I100:M100)</f>
        <v/>
      </c>
      <c r="S100" s="71" t="n"/>
      <c r="T100" s="1026" t="n"/>
      <c r="U100" s="72" t="n"/>
      <c r="V100" s="1009" t="n"/>
      <c r="W100" s="1010" t="n"/>
      <c r="X100" s="1011" t="n"/>
      <c r="Y100" s="1011" t="n"/>
      <c r="Z100" s="1012" t="n"/>
      <c r="AA100" s="1013" t="n"/>
      <c r="AB100" s="1009" t="n"/>
      <c r="AC100" s="1010" t="n"/>
      <c r="AD100" s="1011" t="n"/>
      <c r="AE100" s="1011" t="n"/>
      <c r="AF100" s="1011" t="n"/>
      <c r="AG100" s="1011" t="n"/>
      <c r="AH100" s="1011" t="n"/>
      <c r="AI100" s="1011" t="n"/>
      <c r="AJ100" s="1014" t="n"/>
      <c r="AK100" s="1015" t="n"/>
      <c r="AL100" s="1011" t="n"/>
      <c r="AM100" s="1011" t="n"/>
      <c r="AN100" s="1011" t="n"/>
      <c r="AO100" s="1011" t="n"/>
      <c r="AP100" s="1011" t="n"/>
      <c r="AQ100" s="1011" t="n"/>
      <c r="AR100" s="1011" t="n"/>
      <c r="AS100" s="1013" t="n"/>
      <c r="AT100" s="1010" t="n"/>
      <c r="AU100" s="1014" t="n"/>
      <c r="AV100" s="1015" t="n"/>
      <c r="AW100" s="1011" t="n"/>
      <c r="AX100" s="1011" t="n"/>
      <c r="AY100" s="1011" t="n"/>
      <c r="AZ100" s="1013" t="n"/>
      <c r="BA100" s="1010" t="n"/>
      <c r="BB100" s="1011" t="n"/>
      <c r="BC100" s="1011" t="n"/>
      <c r="BD100" s="1013" t="n"/>
      <c r="BE100" s="936">
        <f>I100-SUM(AB100:BD100)</f>
        <v/>
      </c>
    </row>
    <row r="101">
      <c r="A101" s="61" t="n"/>
      <c r="B101" s="40" t="n"/>
      <c r="C101" s="1000">
        <f>SUM(AB101:AJ101)</f>
        <v/>
      </c>
      <c r="D101" s="1001">
        <f>SUM(AK101:AS101)</f>
        <v/>
      </c>
      <c r="E101" s="1001">
        <f>SUM(AT101:AU101)</f>
        <v/>
      </c>
      <c r="F101" s="1001">
        <f>SUM(AV101:AZ101)</f>
        <v/>
      </c>
      <c r="G101" s="1001">
        <f>SUM(BA101:BD101)</f>
        <v/>
      </c>
      <c r="H101" s="1001">
        <f>SUM(V101:AA101)</f>
        <v/>
      </c>
      <c r="I101" s="1002">
        <f>SUM(C101:H101)</f>
        <v/>
      </c>
      <c r="J101" s="1003" t="n"/>
      <c r="K101" s="1003" t="n"/>
      <c r="L101" s="1017" t="n"/>
      <c r="M101" s="1005" t="n"/>
      <c r="N101" s="1006" t="n"/>
      <c r="O101" s="1000" t="n"/>
      <c r="P101" s="1007" t="n"/>
      <c r="Q101" s="1008" t="n"/>
      <c r="R101" s="990">
        <f>R100+SUM(N101:Q101)-SUM(I101:M101)</f>
        <v/>
      </c>
      <c r="S101" s="71" t="n"/>
      <c r="T101" s="1026" t="n"/>
      <c r="U101" s="72" t="n"/>
      <c r="V101" s="1009" t="n"/>
      <c r="W101" s="1010" t="n"/>
      <c r="X101" s="1011" t="n"/>
      <c r="Y101" s="1011" t="n"/>
      <c r="Z101" s="1012" t="n"/>
      <c r="AA101" s="1013" t="n"/>
      <c r="AB101" s="1009" t="n"/>
      <c r="AC101" s="1010" t="n"/>
      <c r="AD101" s="1011" t="n"/>
      <c r="AE101" s="1011" t="n"/>
      <c r="AF101" s="1011" t="n"/>
      <c r="AG101" s="1011" t="n"/>
      <c r="AH101" s="1011" t="n"/>
      <c r="AI101" s="1011" t="n"/>
      <c r="AJ101" s="1014" t="n"/>
      <c r="AK101" s="1015" t="n"/>
      <c r="AL101" s="1011" t="n"/>
      <c r="AM101" s="1011" t="n"/>
      <c r="AN101" s="1011" t="n"/>
      <c r="AO101" s="1011" t="n"/>
      <c r="AP101" s="1011" t="n"/>
      <c r="AQ101" s="1011" t="n"/>
      <c r="AR101" s="1011" t="n"/>
      <c r="AS101" s="1013" t="n"/>
      <c r="AT101" s="1010" t="n"/>
      <c r="AU101" s="1014" t="n"/>
      <c r="AV101" s="1015" t="n"/>
      <c r="AW101" s="1011" t="n"/>
      <c r="AX101" s="1011" t="n"/>
      <c r="AY101" s="1011" t="n"/>
      <c r="AZ101" s="1013" t="n"/>
      <c r="BA101" s="1010" t="n"/>
      <c r="BB101" s="1011" t="n"/>
      <c r="BC101" s="1011" t="n"/>
      <c r="BD101" s="1013" t="n"/>
      <c r="BE101" s="936">
        <f>I101-SUM(AB101:BD101)</f>
        <v/>
      </c>
    </row>
    <row r="102">
      <c r="A102" s="61" t="n"/>
      <c r="B102" s="40" t="n"/>
      <c r="C102" s="1000">
        <f>SUM(AB102:AJ102)</f>
        <v/>
      </c>
      <c r="D102" s="1001">
        <f>SUM(AK102:AS102)</f>
        <v/>
      </c>
      <c r="E102" s="1001">
        <f>SUM(AT102:AU102)</f>
        <v/>
      </c>
      <c r="F102" s="1001">
        <f>SUM(AV102:AZ102)</f>
        <v/>
      </c>
      <c r="G102" s="1001">
        <f>SUM(BA102:BD102)</f>
        <v/>
      </c>
      <c r="H102" s="1001">
        <f>SUM(V102:AA102)</f>
        <v/>
      </c>
      <c r="I102" s="1002">
        <f>SUM(C102:H102)</f>
        <v/>
      </c>
      <c r="J102" s="1003" t="n"/>
      <c r="K102" s="1003" t="n"/>
      <c r="L102" s="1017" t="n"/>
      <c r="M102" s="1005" t="n"/>
      <c r="N102" s="1006" t="n"/>
      <c r="O102" s="1000" t="n"/>
      <c r="P102" s="1007" t="n"/>
      <c r="Q102" s="1008" t="n"/>
      <c r="R102" s="990">
        <f>R101+SUM(N102:Q102)-SUM(I102:M102)</f>
        <v/>
      </c>
      <c r="S102" s="71" t="n"/>
      <c r="T102" s="1026" t="n"/>
      <c r="U102" s="72" t="n"/>
      <c r="V102" s="1009" t="n"/>
      <c r="W102" s="1010" t="n"/>
      <c r="X102" s="1011" t="n"/>
      <c r="Y102" s="1011" t="n"/>
      <c r="Z102" s="1012" t="n"/>
      <c r="AA102" s="1013" t="n"/>
      <c r="AB102" s="1009" t="n"/>
      <c r="AC102" s="1010" t="n"/>
      <c r="AD102" s="1011" t="n"/>
      <c r="AE102" s="1011" t="n"/>
      <c r="AF102" s="1011" t="n"/>
      <c r="AG102" s="1011" t="n"/>
      <c r="AH102" s="1011" t="n"/>
      <c r="AI102" s="1011" t="n"/>
      <c r="AJ102" s="1014" t="n"/>
      <c r="AK102" s="1015" t="n"/>
      <c r="AL102" s="1011" t="n"/>
      <c r="AM102" s="1011" t="n"/>
      <c r="AN102" s="1011" t="n"/>
      <c r="AO102" s="1011" t="n"/>
      <c r="AP102" s="1011" t="n"/>
      <c r="AQ102" s="1011" t="n"/>
      <c r="AR102" s="1011" t="n"/>
      <c r="AS102" s="1013" t="n"/>
      <c r="AT102" s="1010" t="n"/>
      <c r="AU102" s="1014" t="n"/>
      <c r="AV102" s="1015" t="n"/>
      <c r="AW102" s="1011" t="n"/>
      <c r="AX102" s="1011" t="n"/>
      <c r="AY102" s="1011" t="n"/>
      <c r="AZ102" s="1013" t="n"/>
      <c r="BA102" s="1010" t="n"/>
      <c r="BB102" s="1011" t="n"/>
      <c r="BC102" s="1011" t="n"/>
      <c r="BD102" s="1013" t="n"/>
      <c r="BE102" s="936">
        <f>I102-SUM(AB102:BD102)</f>
        <v/>
      </c>
    </row>
    <row r="103">
      <c r="A103" s="61" t="n"/>
      <c r="B103" s="40" t="n"/>
      <c r="C103" s="1000">
        <f>SUM(AB103:AJ103)</f>
        <v/>
      </c>
      <c r="D103" s="1001">
        <f>SUM(AK103:AS103)</f>
        <v/>
      </c>
      <c r="E103" s="1001">
        <f>SUM(AT103:AU103)</f>
        <v/>
      </c>
      <c r="F103" s="1001">
        <f>SUM(AV103:AZ103)</f>
        <v/>
      </c>
      <c r="G103" s="1001">
        <f>SUM(BA103:BD103)</f>
        <v/>
      </c>
      <c r="H103" s="1001">
        <f>SUM(V103:AA103)</f>
        <v/>
      </c>
      <c r="I103" s="1002">
        <f>SUM(C103:H103)</f>
        <v/>
      </c>
      <c r="J103" s="1003" t="n"/>
      <c r="K103" s="1003" t="n"/>
      <c r="L103" s="1017" t="n"/>
      <c r="M103" s="1005" t="n"/>
      <c r="N103" s="1006" t="n"/>
      <c r="O103" s="1000" t="n"/>
      <c r="P103" s="1007" t="n"/>
      <c r="Q103" s="1008" t="n"/>
      <c r="R103" s="990">
        <f>R102+SUM(N103:Q103)-SUM(I103:M103)</f>
        <v/>
      </c>
      <c r="S103" s="71" t="n"/>
      <c r="T103" s="1026" t="n"/>
      <c r="U103" s="72" t="n"/>
      <c r="V103" s="1009" t="n"/>
      <c r="W103" s="1010" t="n"/>
      <c r="X103" s="1011" t="n"/>
      <c r="Y103" s="1010" t="n"/>
      <c r="Z103" s="1009" t="n"/>
      <c r="AA103" s="1013" t="n"/>
      <c r="AB103" s="1009" t="n"/>
      <c r="AC103" s="1010" t="n"/>
      <c r="AD103" s="1011" t="n"/>
      <c r="AE103" s="1011" t="n"/>
      <c r="AF103" s="1011" t="n"/>
      <c r="AG103" s="1011" t="n"/>
      <c r="AH103" s="1011" t="n"/>
      <c r="AI103" s="1011" t="n"/>
      <c r="AJ103" s="1014" t="n"/>
      <c r="AK103" s="1015" t="n"/>
      <c r="AL103" s="1011" t="n"/>
      <c r="AM103" s="1011" t="n"/>
      <c r="AN103" s="1011" t="n"/>
      <c r="AO103" s="1011" t="n"/>
      <c r="AP103" s="1011" t="n"/>
      <c r="AQ103" s="1011" t="n"/>
      <c r="AR103" s="1011" t="n"/>
      <c r="AS103" s="1013" t="n"/>
      <c r="AT103" s="1010" t="n"/>
      <c r="AU103" s="1014" t="n"/>
      <c r="AV103" s="1015" t="n"/>
      <c r="AW103" s="1011" t="n"/>
      <c r="AX103" s="1011" t="n"/>
      <c r="AY103" s="1011" t="n"/>
      <c r="AZ103" s="1013" t="n"/>
      <c r="BA103" s="1010" t="n"/>
      <c r="BB103" s="1011" t="n"/>
      <c r="BC103" s="1011" t="n"/>
      <c r="BD103" s="1013" t="n"/>
      <c r="BE103" s="936">
        <f>I103-SUM(AB103:BD103)</f>
        <v/>
      </c>
    </row>
    <row r="104">
      <c r="A104" s="61" t="n"/>
      <c r="B104" s="40" t="n"/>
      <c r="C104" s="1000">
        <f>SUM(AB104:AJ104)</f>
        <v/>
      </c>
      <c r="D104" s="1001">
        <f>SUM(AK104:AS104)</f>
        <v/>
      </c>
      <c r="E104" s="1001">
        <f>SUM(AT104:AU104)</f>
        <v/>
      </c>
      <c r="F104" s="1001">
        <f>SUM(AV104:AZ104)</f>
        <v/>
      </c>
      <c r="G104" s="1001">
        <f>SUM(BA104:BD104)</f>
        <v/>
      </c>
      <c r="H104" s="1001">
        <f>SUM(V104:AA104)</f>
        <v/>
      </c>
      <c r="I104" s="1002">
        <f>SUM(C104:H104)</f>
        <v/>
      </c>
      <c r="J104" s="1003" t="n"/>
      <c r="K104" s="1003" t="n"/>
      <c r="L104" s="1017" t="n"/>
      <c r="M104" s="1005" t="n"/>
      <c r="N104" s="1006" t="n"/>
      <c r="O104" s="1000" t="n"/>
      <c r="P104" s="1007" t="n"/>
      <c r="Q104" s="1008" t="n"/>
      <c r="R104" s="990">
        <f>R103+SUM(N104:Q104)-SUM(I104:M104)</f>
        <v/>
      </c>
      <c r="S104" s="71" t="n"/>
      <c r="T104" s="1026" t="n"/>
      <c r="U104" s="72" t="n"/>
      <c r="V104" s="1009" t="n"/>
      <c r="W104" s="1010" t="n"/>
      <c r="X104" s="1011" t="n"/>
      <c r="Y104" s="1010" t="n"/>
      <c r="Z104" s="1009" t="n"/>
      <c r="AA104" s="1013" t="n"/>
      <c r="AB104" s="1009" t="n"/>
      <c r="AC104" s="1010" t="n"/>
      <c r="AD104" s="1011" t="n"/>
      <c r="AE104" s="1011" t="n"/>
      <c r="AF104" s="1011" t="n"/>
      <c r="AG104" s="1011" t="n"/>
      <c r="AH104" s="1011" t="n"/>
      <c r="AI104" s="1011" t="n"/>
      <c r="AJ104" s="1014" t="n"/>
      <c r="AK104" s="1015" t="n"/>
      <c r="AL104" s="1011" t="n"/>
      <c r="AM104" s="1011" t="n"/>
      <c r="AN104" s="1011" t="n"/>
      <c r="AO104" s="1011" t="n"/>
      <c r="AP104" s="1011" t="n"/>
      <c r="AQ104" s="1011" t="n"/>
      <c r="AR104" s="1011" t="n"/>
      <c r="AS104" s="1013" t="n"/>
      <c r="AT104" s="1010" t="n"/>
      <c r="AU104" s="1014" t="n"/>
      <c r="AV104" s="1015" t="n"/>
      <c r="AW104" s="1011" t="n"/>
      <c r="AX104" s="1011" t="n"/>
      <c r="AY104" s="1011" t="n"/>
      <c r="AZ104" s="1013" t="n"/>
      <c r="BA104" s="1010" t="n"/>
      <c r="BB104" s="1011" t="n"/>
      <c r="BC104" s="1011" t="n"/>
      <c r="BD104" s="1013" t="n"/>
      <c r="BE104" s="936">
        <f>I104-SUM(AB104:BD104)</f>
        <v/>
      </c>
    </row>
    <row r="105">
      <c r="A105" s="61" t="n"/>
      <c r="B105" s="40" t="n"/>
      <c r="C105" s="1000">
        <f>SUM(AB105:AJ105)</f>
        <v/>
      </c>
      <c r="D105" s="1001">
        <f>SUM(AK105:AS105)</f>
        <v/>
      </c>
      <c r="E105" s="1001">
        <f>SUM(AT105:AU105)</f>
        <v/>
      </c>
      <c r="F105" s="1001">
        <f>SUM(AV105:AZ105)</f>
        <v/>
      </c>
      <c r="G105" s="1001">
        <f>SUM(BA105:BD105)</f>
        <v/>
      </c>
      <c r="H105" s="1001">
        <f>SUM(V105:AA105)</f>
        <v/>
      </c>
      <c r="I105" s="1002">
        <f>SUM(C105:H105)</f>
        <v/>
      </c>
      <c r="J105" s="1003" t="n"/>
      <c r="K105" s="1003" t="n"/>
      <c r="L105" s="1017" t="n"/>
      <c r="M105" s="1005" t="n"/>
      <c r="N105" s="1006" t="n"/>
      <c r="O105" s="1000" t="n"/>
      <c r="P105" s="1007" t="n"/>
      <c r="Q105" s="1008" t="n"/>
      <c r="R105" s="990">
        <f>R104+SUM(N105:Q105)-SUM(I105:M105)</f>
        <v/>
      </c>
      <c r="S105" s="71" t="n"/>
      <c r="T105" s="1026" t="n"/>
      <c r="U105" s="72" t="n"/>
      <c r="V105" s="1009" t="n"/>
      <c r="W105" s="1010" t="n"/>
      <c r="X105" s="1011" t="n"/>
      <c r="Y105" s="1010" t="n"/>
      <c r="Z105" s="1009" t="n"/>
      <c r="AA105" s="1013" t="n"/>
      <c r="AB105" s="1009" t="n"/>
      <c r="AC105" s="1010" t="n"/>
      <c r="AD105" s="1011" t="n"/>
      <c r="AE105" s="1011" t="n"/>
      <c r="AF105" s="1011" t="n"/>
      <c r="AG105" s="1011" t="n"/>
      <c r="AH105" s="1011" t="n"/>
      <c r="AI105" s="1011" t="n"/>
      <c r="AJ105" s="1014" t="n"/>
      <c r="AK105" s="1015" t="n"/>
      <c r="AL105" s="1011" t="n"/>
      <c r="AM105" s="1011" t="n"/>
      <c r="AN105" s="1011" t="n"/>
      <c r="AO105" s="1011" t="n"/>
      <c r="AP105" s="1011" t="n"/>
      <c r="AQ105" s="1011" t="n"/>
      <c r="AR105" s="1011" t="n"/>
      <c r="AS105" s="1013" t="n"/>
      <c r="AT105" s="1010" t="n"/>
      <c r="AU105" s="1014" t="n"/>
      <c r="AV105" s="1015" t="n"/>
      <c r="AW105" s="1011" t="n"/>
      <c r="AX105" s="1011" t="n"/>
      <c r="AY105" s="1011" t="n"/>
      <c r="AZ105" s="1013" t="n"/>
      <c r="BA105" s="1010" t="n"/>
      <c r="BB105" s="1011" t="n"/>
      <c r="BC105" s="1011" t="n"/>
      <c r="BD105" s="1013" t="n"/>
      <c r="BE105" s="936">
        <f>I105-SUM(AB105:BD105)</f>
        <v/>
      </c>
    </row>
    <row r="106" ht="16.2" customHeight="1">
      <c r="A106" s="61" t="n"/>
      <c r="B106" s="40" t="n"/>
      <c r="C106" s="1000">
        <f>SUM(AB106:AJ106)</f>
        <v/>
      </c>
      <c r="D106" s="1001">
        <f>SUM(AK106:AS106)</f>
        <v/>
      </c>
      <c r="E106" s="1001">
        <f>SUM(AT106:AU106)</f>
        <v/>
      </c>
      <c r="F106" s="1001">
        <f>SUM(AV106:AZ106)</f>
        <v/>
      </c>
      <c r="G106" s="1001">
        <f>SUM(BA106:BD106)</f>
        <v/>
      </c>
      <c r="H106" s="1001">
        <f>SUM(V106:AA106)</f>
        <v/>
      </c>
      <c r="I106" s="1002">
        <f>SUM(C106:H106)</f>
        <v/>
      </c>
      <c r="J106" s="1003" t="n"/>
      <c r="K106" s="1003" t="n"/>
      <c r="L106" s="1017" t="n"/>
      <c r="M106" s="1005" t="n"/>
      <c r="N106" s="1006" t="n"/>
      <c r="O106" s="1000" t="n"/>
      <c r="P106" s="1007" t="n"/>
      <c r="Q106" s="1008" t="n"/>
      <c r="R106" s="990">
        <f>R105+SUM(N106:Q106)-SUM(I106:M106)</f>
        <v/>
      </c>
      <c r="S106" s="71" t="n"/>
      <c r="T106" s="1026" t="n"/>
      <c r="U106" s="72" t="n"/>
      <c r="V106" s="1009" t="n"/>
      <c r="W106" s="1010" t="n"/>
      <c r="X106" s="1011" t="n"/>
      <c r="Y106" s="1010" t="n"/>
      <c r="Z106" s="1009" t="n"/>
      <c r="AA106" s="1013" t="n"/>
      <c r="AB106" s="1009" t="n"/>
      <c r="AC106" s="1010" t="n"/>
      <c r="AD106" s="1011" t="n"/>
      <c r="AE106" s="1011" t="n"/>
      <c r="AF106" s="1011" t="n"/>
      <c r="AG106" s="1011" t="n"/>
      <c r="AH106" s="1011" t="n"/>
      <c r="AI106" s="1011" t="n"/>
      <c r="AJ106" s="1014" t="n"/>
      <c r="AK106" s="1015" t="n"/>
      <c r="AL106" s="1011" t="n"/>
      <c r="AM106" s="1011" t="n"/>
      <c r="AN106" s="1011" t="n"/>
      <c r="AO106" s="1011" t="n"/>
      <c r="AP106" s="1011" t="n"/>
      <c r="AQ106" s="1011" t="n"/>
      <c r="AR106" s="1011" t="n"/>
      <c r="AS106" s="1013" t="n"/>
      <c r="AT106" s="1010" t="n"/>
      <c r="AU106" s="1014" t="n"/>
      <c r="AV106" s="1015" t="n"/>
      <c r="AW106" s="1011" t="n"/>
      <c r="AX106" s="1011" t="n"/>
      <c r="AY106" s="1011" t="n"/>
      <c r="AZ106" s="1013" t="n"/>
      <c r="BA106" s="1010" t="n"/>
      <c r="BB106" s="1011" t="n"/>
      <c r="BC106" s="1011" t="n"/>
      <c r="BD106" s="1013" t="n"/>
      <c r="BE106" s="936">
        <f>I106-SUM(AB106:BD106)</f>
        <v/>
      </c>
    </row>
    <row r="107">
      <c r="A107" s="61" t="n"/>
      <c r="B107" s="40" t="n"/>
      <c r="C107" s="1000">
        <f>SUM(AB107:AJ107)</f>
        <v/>
      </c>
      <c r="D107" s="1001">
        <f>SUM(AK107:AS107)</f>
        <v/>
      </c>
      <c r="E107" s="1001">
        <f>SUM(AT107:AU107)</f>
        <v/>
      </c>
      <c r="F107" s="1001">
        <f>SUM(AV107:AZ107)</f>
        <v/>
      </c>
      <c r="G107" s="1001">
        <f>SUM(BA107:BD107)</f>
        <v/>
      </c>
      <c r="H107" s="1001">
        <f>SUM(V107:AA107)</f>
        <v/>
      </c>
      <c r="I107" s="1002">
        <f>SUM(C107:H107)</f>
        <v/>
      </c>
      <c r="J107" s="1003" t="n"/>
      <c r="K107" s="1003" t="n"/>
      <c r="L107" s="1017" t="n"/>
      <c r="M107" s="1005" t="n"/>
      <c r="N107" s="1006" t="n"/>
      <c r="O107" s="1000" t="n"/>
      <c r="P107" s="1007" t="n"/>
      <c r="Q107" s="1008" t="n"/>
      <c r="R107" s="990">
        <f>R106+SUM(N107:Q107)-SUM(I107:M107)</f>
        <v/>
      </c>
      <c r="S107" s="1031" t="n"/>
      <c r="T107" s="1026" t="n"/>
      <c r="U107" s="72" t="n"/>
      <c r="V107" s="1009" t="n"/>
      <c r="W107" s="1010" t="n"/>
      <c r="X107" s="1011" t="n"/>
      <c r="Y107" s="1011" t="n"/>
      <c r="Z107" s="1012" t="n"/>
      <c r="AA107" s="1013" t="n"/>
      <c r="AB107" s="1009" t="n"/>
      <c r="AC107" s="1010" t="n"/>
      <c r="AD107" s="1011" t="n"/>
      <c r="AE107" s="1011" t="n"/>
      <c r="AF107" s="1011" t="n"/>
      <c r="AG107" s="1011" t="n"/>
      <c r="AH107" s="1011" t="n"/>
      <c r="AI107" s="1011" t="n"/>
      <c r="AJ107" s="1014" t="n"/>
      <c r="AK107" s="1015" t="n"/>
      <c r="AL107" s="1011" t="n"/>
      <c r="AM107" s="1011" t="n"/>
      <c r="AN107" s="1011" t="n"/>
      <c r="AO107" s="1011" t="n"/>
      <c r="AP107" s="1011" t="n"/>
      <c r="AQ107" s="1011" t="n"/>
      <c r="AR107" s="1011" t="n"/>
      <c r="AS107" s="1013" t="n"/>
      <c r="AT107" s="1010" t="n"/>
      <c r="AU107" s="1014" t="n"/>
      <c r="AV107" s="1015" t="n"/>
      <c r="AW107" s="1011" t="n"/>
      <c r="AX107" s="1011" t="n"/>
      <c r="AY107" s="1011" t="n"/>
      <c r="AZ107" s="1013" t="n"/>
      <c r="BA107" s="1010" t="n"/>
      <c r="BB107" s="1011" t="n"/>
      <c r="BC107" s="1011" t="n"/>
      <c r="BD107" s="1013" t="n"/>
      <c r="BE107" s="936">
        <f>I107-SUM(AB107:BD107)</f>
        <v/>
      </c>
    </row>
    <row r="108">
      <c r="A108" s="61" t="n"/>
      <c r="B108" s="40" t="n"/>
      <c r="C108" s="1000">
        <f>SUM(AB108:AJ108)</f>
        <v/>
      </c>
      <c r="D108" s="1001">
        <f>SUM(AK108:AS108)</f>
        <v/>
      </c>
      <c r="E108" s="1001">
        <f>SUM(AT108:AU108)</f>
        <v/>
      </c>
      <c r="F108" s="1001">
        <f>SUM(AV108:AZ108)</f>
        <v/>
      </c>
      <c r="G108" s="1001">
        <f>SUM(BA108:BD108)</f>
        <v/>
      </c>
      <c r="H108" s="1001">
        <f>SUM(V108:AA108)</f>
        <v/>
      </c>
      <c r="I108" s="1002">
        <f>SUM(C108:H108)</f>
        <v/>
      </c>
      <c r="J108" s="1003" t="n"/>
      <c r="K108" s="1003" t="n"/>
      <c r="L108" s="1017" t="n"/>
      <c r="M108" s="1005" t="n"/>
      <c r="N108" s="1006" t="n"/>
      <c r="O108" s="1000" t="n"/>
      <c r="P108" s="1007" t="n"/>
      <c r="Q108" s="1008" t="n"/>
      <c r="R108" s="990">
        <f>R107+SUM(N108:Q108)-SUM(I108:M108)</f>
        <v/>
      </c>
      <c r="S108" s="71" t="n"/>
      <c r="T108" s="1026" t="n"/>
      <c r="U108" s="72" t="n"/>
      <c r="V108" s="1009" t="n"/>
      <c r="W108" s="1010" t="n"/>
      <c r="X108" s="1011" t="n"/>
      <c r="Y108" s="1011" t="n"/>
      <c r="Z108" s="1012" t="n"/>
      <c r="AA108" s="1013" t="n"/>
      <c r="AB108" s="1009" t="n"/>
      <c r="AC108" s="1010" t="n"/>
      <c r="AD108" s="1011" t="n"/>
      <c r="AE108" s="1011" t="n"/>
      <c r="AF108" s="1011" t="n"/>
      <c r="AG108" s="1011" t="n"/>
      <c r="AH108" s="1011" t="n"/>
      <c r="AI108" s="1011" t="n"/>
      <c r="AJ108" s="1014" t="n"/>
      <c r="AK108" s="1015" t="n"/>
      <c r="AL108" s="1011" t="n"/>
      <c r="AM108" s="1011" t="n"/>
      <c r="AN108" s="1011" t="n"/>
      <c r="AO108" s="1011" t="n"/>
      <c r="AP108" s="1011" t="n"/>
      <c r="AQ108" s="1011" t="n"/>
      <c r="AR108" s="1011" t="n"/>
      <c r="AS108" s="1013" t="n"/>
      <c r="AT108" s="1010" t="n"/>
      <c r="AU108" s="1014" t="n"/>
      <c r="AV108" s="1015" t="n"/>
      <c r="AW108" s="1011" t="n"/>
      <c r="AX108" s="1011" t="n"/>
      <c r="AY108" s="1011" t="n"/>
      <c r="AZ108" s="1013" t="n"/>
      <c r="BA108" s="1010" t="n"/>
      <c r="BB108" s="1011" t="n"/>
      <c r="BC108" s="1011" t="n"/>
      <c r="BD108" s="1013" t="n"/>
      <c r="BE108" s="936">
        <f>I108-SUM(AB108:BD108)</f>
        <v/>
      </c>
    </row>
    <row r="109">
      <c r="A109" s="61" t="n"/>
      <c r="B109" s="40" t="n"/>
      <c r="C109" s="1000">
        <f>SUM(AB109:AJ109)</f>
        <v/>
      </c>
      <c r="D109" s="1001">
        <f>SUM(AK109:AS109)</f>
        <v/>
      </c>
      <c r="E109" s="1001">
        <f>SUM(AT109:AU109)</f>
        <v/>
      </c>
      <c r="F109" s="1001">
        <f>SUM(AV109:AZ109)</f>
        <v/>
      </c>
      <c r="G109" s="1001">
        <f>SUM(BA109:BD109)</f>
        <v/>
      </c>
      <c r="H109" s="1001">
        <f>SUM(V109:AA109)</f>
        <v/>
      </c>
      <c r="I109" s="1002">
        <f>SUM(C109:H109)</f>
        <v/>
      </c>
      <c r="J109" s="1003" t="n"/>
      <c r="K109" s="1003" t="n"/>
      <c r="L109" s="1017" t="n"/>
      <c r="M109" s="1005" t="n"/>
      <c r="N109" s="1006" t="n"/>
      <c r="O109" s="1000" t="n"/>
      <c r="P109" s="1007" t="n"/>
      <c r="Q109" s="1008" t="n"/>
      <c r="R109" s="990">
        <f>R108+SUM(N109:Q109)-SUM(I109:M109)</f>
        <v/>
      </c>
      <c r="S109" s="71" t="n"/>
      <c r="T109" s="1026" t="n"/>
      <c r="U109" s="72" t="n"/>
      <c r="V109" s="1009" t="n"/>
      <c r="W109" s="1010" t="n"/>
      <c r="X109" s="1011" t="n"/>
      <c r="Y109" s="1011" t="n"/>
      <c r="Z109" s="1012" t="n"/>
      <c r="AA109" s="1013" t="n"/>
      <c r="AB109" s="1009" t="n"/>
      <c r="AC109" s="1010" t="n"/>
      <c r="AD109" s="1011" t="n"/>
      <c r="AE109" s="1011" t="n"/>
      <c r="AF109" s="1011" t="n"/>
      <c r="AG109" s="1011" t="n"/>
      <c r="AH109" s="1011" t="n"/>
      <c r="AI109" s="1011" t="n"/>
      <c r="AJ109" s="1014" t="n"/>
      <c r="AK109" s="1015" t="n"/>
      <c r="AL109" s="1011" t="n"/>
      <c r="AM109" s="1011" t="n"/>
      <c r="AN109" s="1011" t="n"/>
      <c r="AO109" s="1011" t="n"/>
      <c r="AP109" s="1011" t="n"/>
      <c r="AQ109" s="1011" t="n"/>
      <c r="AR109" s="1011" t="n"/>
      <c r="AS109" s="1013" t="n"/>
      <c r="AT109" s="1010" t="n"/>
      <c r="AU109" s="1014" t="n"/>
      <c r="AV109" s="1015" t="n"/>
      <c r="AW109" s="1011" t="n"/>
      <c r="AX109" s="1011" t="n"/>
      <c r="AY109" s="1011" t="n"/>
      <c r="AZ109" s="1013" t="n"/>
      <c r="BA109" s="1010" t="n"/>
      <c r="BB109" s="1011" t="n"/>
      <c r="BC109" s="1011" t="n"/>
      <c r="BD109" s="1013" t="n"/>
      <c r="BE109" s="936">
        <f>I109-SUM(AB109:BD109)</f>
        <v/>
      </c>
    </row>
    <row r="110">
      <c r="A110" s="61" t="n"/>
      <c r="B110" s="40" t="n"/>
      <c r="C110" s="1000">
        <f>SUM(AB110:AJ110)</f>
        <v/>
      </c>
      <c r="D110" s="1001">
        <f>SUM(AK110:AS110)</f>
        <v/>
      </c>
      <c r="E110" s="1001">
        <f>SUM(AT110:AU110)</f>
        <v/>
      </c>
      <c r="F110" s="1001">
        <f>SUM(AV110:AZ110)</f>
        <v/>
      </c>
      <c r="G110" s="1001">
        <f>SUM(BA110:BD110)</f>
        <v/>
      </c>
      <c r="H110" s="1001">
        <f>SUM(V110:AA110)</f>
        <v/>
      </c>
      <c r="I110" s="1002">
        <f>SUM(C110:H110)</f>
        <v/>
      </c>
      <c r="J110" s="1003" t="n"/>
      <c r="K110" s="1003" t="n"/>
      <c r="L110" s="1017" t="n"/>
      <c r="M110" s="1005" t="n"/>
      <c r="N110" s="1006" t="n"/>
      <c r="O110" s="1000" t="n"/>
      <c r="P110" s="1007" t="n"/>
      <c r="Q110" s="1008" t="n"/>
      <c r="R110" s="990">
        <f>R109+SUM(N110:Q110)-SUM(I110:M110)</f>
        <v/>
      </c>
      <c r="S110" s="71" t="n"/>
      <c r="T110" s="1026" t="n"/>
      <c r="U110" s="72" t="n"/>
      <c r="V110" s="1009" t="n"/>
      <c r="W110" s="1010" t="n"/>
      <c r="X110" s="1011" t="n"/>
      <c r="Y110" s="1011" t="n"/>
      <c r="Z110" s="1012" t="n"/>
      <c r="AA110" s="1013" t="n"/>
      <c r="AB110" s="1009" t="n"/>
      <c r="AC110" s="1010" t="n"/>
      <c r="AD110" s="1011" t="n"/>
      <c r="AE110" s="1011" t="n"/>
      <c r="AF110" s="1011" t="n"/>
      <c r="AG110" s="1011" t="n"/>
      <c r="AH110" s="1011" t="n"/>
      <c r="AI110" s="1011" t="n"/>
      <c r="AJ110" s="1014" t="n"/>
      <c r="AK110" s="1015" t="n"/>
      <c r="AL110" s="1011" t="n"/>
      <c r="AM110" s="1011" t="n"/>
      <c r="AN110" s="1011" t="n"/>
      <c r="AO110" s="1011" t="n"/>
      <c r="AP110" s="1011" t="n"/>
      <c r="AQ110" s="1011" t="n"/>
      <c r="AR110" s="1011" t="n"/>
      <c r="AS110" s="1013" t="n"/>
      <c r="AT110" s="1010" t="n"/>
      <c r="AU110" s="1014" t="n"/>
      <c r="AV110" s="1015" t="n"/>
      <c r="AW110" s="1011" t="n"/>
      <c r="AX110" s="1011" t="n"/>
      <c r="AY110" s="1011" t="n"/>
      <c r="AZ110" s="1013" t="n"/>
      <c r="BA110" s="1010" t="n"/>
      <c r="BB110" s="1011" t="n"/>
      <c r="BC110" s="1011" t="n"/>
      <c r="BD110" s="1013" t="n"/>
      <c r="BE110" s="936">
        <f>I110-SUM(AB110:BD110)</f>
        <v/>
      </c>
    </row>
    <row r="111">
      <c r="A111" s="61" t="n"/>
      <c r="B111" s="40" t="n"/>
      <c r="C111" s="1000">
        <f>SUM(AB111:AJ111)</f>
        <v/>
      </c>
      <c r="D111" s="1001">
        <f>SUM(AK111:AS111)</f>
        <v/>
      </c>
      <c r="E111" s="1001">
        <f>SUM(AT111:AU111)</f>
        <v/>
      </c>
      <c r="F111" s="1001">
        <f>SUM(AV111:AZ111)</f>
        <v/>
      </c>
      <c r="G111" s="1001">
        <f>SUM(BA111:BD111)</f>
        <v/>
      </c>
      <c r="H111" s="1001">
        <f>SUM(V111:AA111)</f>
        <v/>
      </c>
      <c r="I111" s="1002">
        <f>SUM(C111:H111)</f>
        <v/>
      </c>
      <c r="J111" s="1003" t="n"/>
      <c r="K111" s="1003" t="n"/>
      <c r="L111" s="1017" t="n"/>
      <c r="M111" s="1005" t="n"/>
      <c r="N111" s="1006" t="n"/>
      <c r="O111" s="1000" t="n"/>
      <c r="P111" s="1007" t="n"/>
      <c r="Q111" s="1008" t="n"/>
      <c r="R111" s="990">
        <f>R110+SUM(N111:Q111)-SUM(I111:M111)</f>
        <v/>
      </c>
      <c r="S111" s="71" t="n"/>
      <c r="T111" s="1026" t="n"/>
      <c r="U111" s="72" t="n"/>
      <c r="V111" s="1009" t="n"/>
      <c r="W111" s="1010" t="n"/>
      <c r="X111" s="1011" t="n"/>
      <c r="Y111" s="1011" t="n"/>
      <c r="Z111" s="1012" t="n"/>
      <c r="AA111" s="1013" t="n"/>
      <c r="AB111" s="106" t="n"/>
      <c r="AC111" s="106" t="n"/>
      <c r="AD111" s="1011" t="n"/>
      <c r="AE111" s="1011" t="n"/>
      <c r="AF111" s="1011" t="n"/>
      <c r="AG111" s="1011" t="n"/>
      <c r="AH111" s="1011" t="n"/>
      <c r="AI111" s="1011" t="n"/>
      <c r="AJ111" s="1014" t="n"/>
      <c r="AK111" s="1015" t="n"/>
      <c r="AL111" s="1011" t="n"/>
      <c r="AM111" s="1011" t="n"/>
      <c r="AN111" s="1011" t="n"/>
      <c r="AO111" s="1011" t="n"/>
      <c r="AP111" s="1011" t="n"/>
      <c r="AQ111" s="1011" t="n"/>
      <c r="AR111" s="1011" t="n"/>
      <c r="AS111" s="1013" t="n"/>
      <c r="AT111" s="1010" t="n"/>
      <c r="AU111" s="1014" t="n"/>
      <c r="AV111" s="1015" t="n"/>
      <c r="AW111" s="1011" t="n"/>
      <c r="AX111" s="1011" t="n"/>
      <c r="AY111" s="1011" t="n"/>
      <c r="AZ111" s="1013" t="n"/>
      <c r="BA111" s="1010" t="n"/>
      <c r="BB111" s="1011" t="n"/>
      <c r="BC111" s="1011" t="n"/>
      <c r="BD111" s="1013" t="n"/>
      <c r="BE111" s="936">
        <f>I111-SUM(AB111:BD111)</f>
        <v/>
      </c>
    </row>
    <row r="112" ht="16.2" customHeight="1">
      <c r="A112" s="61" t="n"/>
      <c r="B112" s="40" t="n"/>
      <c r="C112" s="1000">
        <f>SUM(AB112:AJ112)</f>
        <v/>
      </c>
      <c r="D112" s="1001">
        <f>SUM(AK112:AS112)</f>
        <v/>
      </c>
      <c r="E112" s="1001">
        <f>SUM(AT112:AU112)</f>
        <v/>
      </c>
      <c r="F112" s="1001">
        <f>SUM(AV112:AZ112)</f>
        <v/>
      </c>
      <c r="G112" s="1001">
        <f>SUM(BA112:BD112)</f>
        <v/>
      </c>
      <c r="H112" s="1001">
        <f>SUM(V112:AA112)</f>
        <v/>
      </c>
      <c r="I112" s="1002">
        <f>SUM(C112:H112)</f>
        <v/>
      </c>
      <c r="J112" s="1003" t="n"/>
      <c r="K112" s="1003" t="n"/>
      <c r="L112" s="1017" t="n"/>
      <c r="M112" s="1005" t="n"/>
      <c r="N112" s="1006" t="n"/>
      <c r="O112" s="1000" t="n"/>
      <c r="P112" s="1007" t="n"/>
      <c r="Q112" s="1008" t="n"/>
      <c r="R112" s="990">
        <f>R111+SUM(N112:Q112)-SUM(I112:M112)</f>
        <v/>
      </c>
      <c r="S112" s="71" t="n"/>
      <c r="T112" s="1026" t="n"/>
      <c r="U112" s="72" t="n"/>
      <c r="V112" s="1009" t="n"/>
      <c r="W112" s="1010" t="n"/>
      <c r="X112" s="1011" t="n"/>
      <c r="Y112" s="1011" t="n"/>
      <c r="Z112" s="1012" t="n"/>
      <c r="AA112" s="1013" t="n"/>
      <c r="AB112" s="1009" t="n"/>
      <c r="AC112" s="1010" t="n"/>
      <c r="AD112" s="1011" t="n"/>
      <c r="AE112" s="1011" t="n"/>
      <c r="AF112" s="1011" t="n"/>
      <c r="AG112" s="1011" t="n"/>
      <c r="AH112" s="1011" t="n"/>
      <c r="AI112" s="1011" t="n"/>
      <c r="AJ112" s="1014" t="n"/>
      <c r="AK112" s="1015" t="n"/>
      <c r="AL112" s="1011" t="n"/>
      <c r="AM112" s="1011" t="n"/>
      <c r="AN112" s="1011" t="n"/>
      <c r="AO112" s="1011" t="n"/>
      <c r="AP112" s="1011" t="n"/>
      <c r="AQ112" s="1011" t="n"/>
      <c r="AR112" s="1011" t="n"/>
      <c r="AS112" s="1013" t="n"/>
      <c r="AT112" s="1010" t="n"/>
      <c r="AU112" s="1014" t="n"/>
      <c r="AV112" s="1015" t="n"/>
      <c r="AW112" s="1011" t="n"/>
      <c r="AX112" s="1011" t="n"/>
      <c r="AY112" s="1011" t="n"/>
      <c r="AZ112" s="1013" t="n"/>
      <c r="BA112" s="1010" t="n"/>
      <c r="BB112" s="1011" t="n"/>
      <c r="BC112" s="1011" t="n"/>
      <c r="BD112" s="1013" t="n"/>
      <c r="BE112" s="936">
        <f>I112-SUM(AB112:BD112)</f>
        <v/>
      </c>
    </row>
    <row r="113">
      <c r="A113" s="61" t="n"/>
      <c r="B113" s="40" t="n"/>
      <c r="C113" s="1000">
        <f>SUM(AB113:AJ113)</f>
        <v/>
      </c>
      <c r="D113" s="1001">
        <f>SUM(AK113:AS113)</f>
        <v/>
      </c>
      <c r="E113" s="1001">
        <f>SUM(AT113:AU113)</f>
        <v/>
      </c>
      <c r="F113" s="1001">
        <f>SUM(AV113:AZ113)</f>
        <v/>
      </c>
      <c r="G113" s="1001">
        <f>SUM(BA113:BD113)</f>
        <v/>
      </c>
      <c r="H113" s="1001">
        <f>SUM(V113:AA113)</f>
        <v/>
      </c>
      <c r="I113" s="1002">
        <f>SUM(C113:H113)</f>
        <v/>
      </c>
      <c r="J113" s="1003" t="n"/>
      <c r="K113" s="1003" t="n"/>
      <c r="L113" s="1017" t="n"/>
      <c r="M113" s="1005" t="n"/>
      <c r="N113" s="1006" t="n"/>
      <c r="O113" s="1000" t="n"/>
      <c r="P113" s="1007" t="n"/>
      <c r="Q113" s="1008" t="n"/>
      <c r="R113" s="990">
        <f>R112+SUM(N113:Q113)-SUM(I113:M113)</f>
        <v/>
      </c>
      <c r="S113" s="71" t="n"/>
      <c r="T113" s="1026" t="n"/>
      <c r="U113" s="72" t="n"/>
      <c r="V113" s="1009" t="n"/>
      <c r="W113" s="1010" t="n"/>
      <c r="X113" s="1011" t="n"/>
      <c r="Y113" s="1011" t="n"/>
      <c r="Z113" s="1012" t="n"/>
      <c r="AA113" s="1013" t="n"/>
      <c r="AB113" s="1009" t="n"/>
      <c r="AC113" s="1010" t="n"/>
      <c r="AD113" s="1011" t="n"/>
      <c r="AE113" s="1011" t="n"/>
      <c r="AF113" s="1011" t="n"/>
      <c r="AG113" s="1011" t="n"/>
      <c r="AH113" s="1011" t="n"/>
      <c r="AI113" s="1011" t="n"/>
      <c r="AJ113" s="1014" t="n"/>
      <c r="AK113" s="1015" t="n"/>
      <c r="AL113" s="1011" t="n"/>
      <c r="AM113" s="1011" t="n"/>
      <c r="AN113" s="1011" t="n"/>
      <c r="AO113" s="1011" t="n"/>
      <c r="AP113" s="1011" t="n"/>
      <c r="AQ113" s="1011" t="n"/>
      <c r="AR113" s="1011" t="n"/>
      <c r="AS113" s="1013" t="n"/>
      <c r="AT113" s="1010" t="n"/>
      <c r="AU113" s="1014" t="n"/>
      <c r="AV113" s="1015" t="n"/>
      <c r="AW113" s="1011" t="n"/>
      <c r="AX113" s="1011" t="n"/>
      <c r="AY113" s="1011" t="n"/>
      <c r="AZ113" s="1013" t="n"/>
      <c r="BA113" s="1010" t="n"/>
      <c r="BB113" s="1011" t="n"/>
      <c r="BC113" s="1011" t="n"/>
      <c r="BD113" s="1013" t="n"/>
      <c r="BE113" s="936">
        <f>I113-SUM(AB113:BD113)</f>
        <v/>
      </c>
    </row>
    <row r="114" ht="31.2" customFormat="1" customHeight="1" s="3">
      <c r="A114" s="558" t="inlineStr">
        <is>
          <t>合计</t>
        </is>
      </c>
      <c r="B114" s="739" t="n"/>
      <c r="C114" s="1032">
        <f>SUM(C5:C113)</f>
        <v/>
      </c>
      <c r="D114" s="1032">
        <f>SUM(D5:D113)</f>
        <v/>
      </c>
      <c r="E114" s="1032">
        <f>SUM(E5:E113)</f>
        <v/>
      </c>
      <c r="F114" s="1032">
        <f>SUM(F5:F113)</f>
        <v/>
      </c>
      <c r="G114" s="1032">
        <f>SUM(G5:G113)</f>
        <v/>
      </c>
      <c r="H114" s="1032">
        <f>SUM(H5:H113)</f>
        <v/>
      </c>
      <c r="I114" s="1032">
        <f>SUM(I5:I113)</f>
        <v/>
      </c>
      <c r="J114" s="1032">
        <f>SUM(J5:J113)</f>
        <v/>
      </c>
      <c r="K114" s="1032">
        <f>SUM(K5:K113)</f>
        <v/>
      </c>
      <c r="L114" s="1032">
        <f>SUM(L5:L113)</f>
        <v/>
      </c>
      <c r="M114" s="1032">
        <f>SUM(M5:M113)</f>
        <v/>
      </c>
      <c r="N114" s="1032">
        <f>SUM(N5:N113)</f>
        <v/>
      </c>
      <c r="O114" s="1032" t="n"/>
      <c r="P114" s="1033">
        <f>SUM(P5:P113)</f>
        <v/>
      </c>
      <c r="Q114" s="1032">
        <f>SUM(Q5:Q113)</f>
        <v/>
      </c>
      <c r="R114" s="1034">
        <f>R4+N114+P114+Q114-M114-L114-K114-J114-I114</f>
        <v/>
      </c>
      <c r="S114" s="1032" t="n"/>
      <c r="T114" s="1033" t="n"/>
      <c r="U114" s="1033" t="n"/>
      <c r="V114" s="1035">
        <f>SUM(V5:V113)</f>
        <v/>
      </c>
      <c r="W114" s="1035">
        <f>SUM(W5:W113)</f>
        <v/>
      </c>
      <c r="X114" s="1035">
        <f>SUM(X5:X113)</f>
        <v/>
      </c>
      <c r="Y114" s="1035">
        <f>SUM(Y5:Y113)</f>
        <v/>
      </c>
      <c r="Z114" s="1035">
        <f>SUM(Z5:Z113)</f>
        <v/>
      </c>
      <c r="AA114" s="1035">
        <f>SUM(AA5:AA113)</f>
        <v/>
      </c>
      <c r="AB114" s="1036">
        <f>SUM(AB5:AB113)</f>
        <v/>
      </c>
      <c r="AC114" s="1036">
        <f>SUM(AC5:AC113)</f>
        <v/>
      </c>
      <c r="AD114" s="1036">
        <f>SUM(AD5:AD113)</f>
        <v/>
      </c>
      <c r="AE114" s="1036">
        <f>SUM(AE5:AE113)</f>
        <v/>
      </c>
      <c r="AF114" s="1036">
        <f>SUM(AF5:AF113)</f>
        <v/>
      </c>
      <c r="AG114" s="1036">
        <f>SUM(AG5:AG113)</f>
        <v/>
      </c>
      <c r="AH114" s="1036">
        <f>SUM(AH5:AH113)</f>
        <v/>
      </c>
      <c r="AI114" s="1036">
        <f>SUM(AI5:AI113)</f>
        <v/>
      </c>
      <c r="AJ114" s="1036">
        <f>SUM(AJ5:AJ113)</f>
        <v/>
      </c>
      <c r="AK114" s="1036">
        <f>SUM(AK5:AK113)</f>
        <v/>
      </c>
      <c r="AL114" s="1036">
        <f>SUM(AL5:AL113)</f>
        <v/>
      </c>
      <c r="AM114" s="1036">
        <f>SUM(AM5:AM113)</f>
        <v/>
      </c>
      <c r="AN114" s="1036">
        <f>SUM(AN5:AN113)</f>
        <v/>
      </c>
      <c r="AO114" s="1036">
        <f>SUM(AO5:AO113)</f>
        <v/>
      </c>
      <c r="AP114" s="1036">
        <f>SUM(AP5:AP113)</f>
        <v/>
      </c>
      <c r="AQ114" s="1036">
        <f>SUM(AQ5:AQ113)</f>
        <v/>
      </c>
      <c r="AR114" s="1036">
        <f>SUM(AR5:AR113)</f>
        <v/>
      </c>
      <c r="AS114" s="1036">
        <f>SUM(AS5:AS113)</f>
        <v/>
      </c>
      <c r="AT114" s="1036">
        <f>SUM(AT5:AT113)</f>
        <v/>
      </c>
      <c r="AU114" s="1036">
        <f>SUM(AU5:AU113)</f>
        <v/>
      </c>
      <c r="AV114" s="1036">
        <f>SUM(AV5:AV113)</f>
        <v/>
      </c>
      <c r="AW114" s="1036">
        <f>SUM(AW5:AW113)</f>
        <v/>
      </c>
      <c r="AX114" s="1036">
        <f>SUM(AX5:AX113)</f>
        <v/>
      </c>
      <c r="AY114" s="1036">
        <f>SUM(AY5:AY113)</f>
        <v/>
      </c>
      <c r="AZ114" s="1036">
        <f>SUM(AZ5:AZ113)</f>
        <v/>
      </c>
      <c r="BA114" s="1036">
        <f>SUM(BA5:BA113)</f>
        <v/>
      </c>
      <c r="BB114" s="1036">
        <f>SUM(BB5:BB113)</f>
        <v/>
      </c>
      <c r="BC114" s="1036">
        <f>SUM(BC5:BC113)</f>
        <v/>
      </c>
      <c r="BD114" s="1037">
        <f>SUM(BD5:BD113)</f>
        <v/>
      </c>
      <c r="BE114" s="936">
        <f>I114-SUM(AB114:BD114)</f>
        <v/>
      </c>
    </row>
    <row r="115" ht="22.95" customFormat="1" customHeight="1" s="3">
      <c r="A115" s="1038" t="inlineStr">
        <is>
          <t>SPD-5465-理财产品期初余额</t>
        </is>
      </c>
      <c r="B115" s="1039" t="n"/>
      <c r="C115" s="1040" t="n"/>
      <c r="D115" s="1041" t="n"/>
      <c r="E115" s="1041" t="n"/>
      <c r="F115" s="1041" t="n"/>
      <c r="G115" s="1041" t="n"/>
      <c r="H115" s="1041" t="n"/>
      <c r="I115" s="1042">
        <f>SUM(C115:H115)</f>
        <v/>
      </c>
      <c r="J115" s="1043" t="n"/>
      <c r="K115" s="1043" t="n"/>
      <c r="L115" s="1044" t="n"/>
      <c r="M115" s="1045" t="n"/>
      <c r="N115" s="1046" t="n"/>
      <c r="O115" s="1040" t="n"/>
      <c r="P115" s="1047" t="n"/>
      <c r="Q115" s="1048" t="n"/>
      <c r="R115" s="990">
        <f>R114+SUM(N115:Q115)-SUM(I115:M115)</f>
        <v/>
      </c>
      <c r="S115" s="1049" t="n"/>
      <c r="T115" s="1050" t="n"/>
      <c r="U115" s="1051" t="n"/>
      <c r="V115" s="1052" t="n"/>
      <c r="W115" s="1053" t="n"/>
      <c r="X115" s="1054" t="n"/>
      <c r="Y115" s="1054" t="n"/>
      <c r="Z115" s="1055" t="n"/>
      <c r="AA115" s="1056" t="n"/>
      <c r="AB115" s="1052" t="n"/>
      <c r="AC115" s="1053" t="n"/>
      <c r="AD115" s="1054" t="n"/>
      <c r="AE115" s="1054" t="n"/>
      <c r="AF115" s="1054" t="n"/>
      <c r="AG115" s="1054" t="n"/>
      <c r="AH115" s="1054" t="n"/>
      <c r="AI115" s="1054" t="n"/>
      <c r="AJ115" s="1057" t="n"/>
      <c r="AK115" s="1052" t="n"/>
      <c r="AL115" s="1054" t="n"/>
      <c r="AM115" s="1054" t="n"/>
      <c r="AN115" s="1054" t="n"/>
      <c r="AO115" s="1054" t="n"/>
      <c r="AP115" s="1054" t="n"/>
      <c r="AQ115" s="1054" t="n"/>
      <c r="AR115" s="1054" t="n"/>
      <c r="AS115" s="1057" t="n"/>
      <c r="AT115" s="1052" t="n"/>
      <c r="AU115" s="1057" t="n"/>
      <c r="AV115" s="1052" t="n"/>
      <c r="AW115" s="1054" t="n"/>
      <c r="AX115" s="1054" t="n"/>
      <c r="AY115" s="1054" t="n"/>
      <c r="AZ115" s="1057" t="n"/>
      <c r="BA115" s="1052" t="n"/>
      <c r="BB115" s="1054" t="n"/>
      <c r="BC115" s="1054" t="n"/>
      <c r="BD115" s="1056" t="n"/>
      <c r="BE115" s="936" t="n"/>
    </row>
    <row r="116" ht="15" customHeight="1">
      <c r="A116" s="1058" t="n"/>
      <c r="B116" s="40" t="n"/>
      <c r="C116" s="1000">
        <f>SUM(AB116:AJ116)</f>
        <v/>
      </c>
      <c r="D116" s="1001">
        <f>SUM(AK116:AS116)</f>
        <v/>
      </c>
      <c r="E116" s="1001">
        <f>SUM(AT116:AU116)</f>
        <v/>
      </c>
      <c r="F116" s="1001">
        <f>SUM(AV116:AZ116)</f>
        <v/>
      </c>
      <c r="G116" s="1001">
        <f>SUM(BA116:BD116)</f>
        <v/>
      </c>
      <c r="H116" s="1001">
        <f>SUM(V116:AA116)</f>
        <v/>
      </c>
      <c r="I116" s="1002">
        <f>SUM(C116:H116)</f>
        <v/>
      </c>
      <c r="J116" s="1003" t="n"/>
      <c r="K116" s="1059" t="n"/>
      <c r="L116" s="1017" t="n"/>
      <c r="M116" s="1005" t="n"/>
      <c r="N116" s="1006" t="n"/>
      <c r="O116" s="1000" t="n"/>
      <c r="P116" s="1007" t="n"/>
      <c r="Q116" s="1008" t="n"/>
      <c r="R116" s="990">
        <f>R115+SUM(N116:Q116)-SUM(I116:M116)</f>
        <v/>
      </c>
      <c r="S116" s="1060" t="n"/>
      <c r="T116" s="1007" t="n"/>
      <c r="U116" s="72" t="n"/>
      <c r="V116" s="1009" t="n"/>
      <c r="W116" s="1010" t="n"/>
      <c r="X116" s="1011" t="n"/>
      <c r="Y116" s="1011" t="n"/>
      <c r="Z116" s="1012" t="n"/>
      <c r="AA116" s="1013" t="n"/>
      <c r="AB116" s="1009" t="n"/>
      <c r="AC116" s="1010" t="n"/>
      <c r="AD116" s="1011" t="n"/>
      <c r="AE116" s="1011" t="n"/>
      <c r="AF116" s="1011" t="n"/>
      <c r="AG116" s="1011" t="n"/>
      <c r="AH116" s="1011" t="n"/>
      <c r="AI116" s="1011" t="n"/>
      <c r="AJ116" s="1061" t="n"/>
      <c r="AK116" s="1009" t="n"/>
      <c r="AL116" s="1011" t="n"/>
      <c r="AM116" s="1011" t="n"/>
      <c r="AN116" s="1011" t="n"/>
      <c r="AO116" s="1011" t="n"/>
      <c r="AP116" s="1011" t="n"/>
      <c r="AQ116" s="1011" t="n"/>
      <c r="AR116" s="1011" t="n"/>
      <c r="AS116" s="1061" t="n"/>
      <c r="AT116" s="1009" t="n"/>
      <c r="AU116" s="1061" t="n"/>
      <c r="AV116" s="1009" t="n"/>
      <c r="AW116" s="1011" t="n"/>
      <c r="AX116" s="1011" t="n"/>
      <c r="AY116" s="1011" t="n"/>
      <c r="AZ116" s="1061" t="n"/>
      <c r="BA116" s="1009" t="n"/>
      <c r="BB116" s="1011" t="n"/>
      <c r="BC116" s="1011" t="n"/>
      <c r="BD116" s="1013" t="n"/>
      <c r="BE116" s="936">
        <f>I116-SUM(AB116:BD116)</f>
        <v/>
      </c>
    </row>
    <row r="117" ht="15" customHeight="1">
      <c r="A117" s="1058" t="n"/>
      <c r="B117" s="40" t="n"/>
      <c r="C117" s="1000">
        <f>SUM(AB117:AJ117)</f>
        <v/>
      </c>
      <c r="D117" s="1001">
        <f>SUM(AK117:AS117)</f>
        <v/>
      </c>
      <c r="E117" s="1001">
        <f>SUM(AT117:AU117)</f>
        <v/>
      </c>
      <c r="F117" s="1001">
        <f>SUM(AV117:AZ117)</f>
        <v/>
      </c>
      <c r="G117" s="1001">
        <f>SUM(BA117:BD117)</f>
        <v/>
      </c>
      <c r="H117" s="1001">
        <f>SUM(V117:AA117)</f>
        <v/>
      </c>
      <c r="I117" s="1002">
        <f>SUM(C117:H117)</f>
        <v/>
      </c>
      <c r="J117" s="1003" t="n"/>
      <c r="K117" s="1059" t="n"/>
      <c r="L117" s="1017" t="n"/>
      <c r="M117" s="1005" t="n"/>
      <c r="N117" s="1006" t="n"/>
      <c r="O117" s="1000" t="n"/>
      <c r="P117" s="1007" t="n"/>
      <c r="Q117" s="1008" t="n"/>
      <c r="R117" s="990">
        <f>R116+SUM(N117:Q117)-SUM(I117:M117)</f>
        <v/>
      </c>
      <c r="S117" s="1060" t="n"/>
      <c r="T117" s="1007" t="n"/>
      <c r="U117" s="1062" t="n"/>
      <c r="V117" s="1009" t="n"/>
      <c r="W117" s="1010" t="n"/>
      <c r="X117" s="1011" t="n"/>
      <c r="Y117" s="1011" t="n"/>
      <c r="Z117" s="1012" t="n"/>
      <c r="AA117" s="1013" t="n"/>
      <c r="AB117" s="106" t="n"/>
      <c r="AC117" s="106" t="n"/>
      <c r="AD117" s="1011" t="n"/>
      <c r="AE117" s="1011" t="n"/>
      <c r="AF117" s="1011" t="n"/>
      <c r="AG117" s="1011" t="n"/>
      <c r="AH117" s="1011" t="n"/>
      <c r="AI117" s="1011" t="n"/>
      <c r="AJ117" s="1061" t="n"/>
      <c r="AK117" s="1009" t="n"/>
      <c r="AL117" s="1011" t="n"/>
      <c r="AM117" s="1011" t="n"/>
      <c r="AN117" s="1011" t="n"/>
      <c r="AO117" s="1011" t="n"/>
      <c r="AP117" s="1011" t="n"/>
      <c r="AQ117" s="1011" t="n"/>
      <c r="AR117" s="1011" t="n"/>
      <c r="AS117" s="1061" t="n"/>
      <c r="AT117" s="1009" t="n"/>
      <c r="AU117" s="1061" t="n"/>
      <c r="AV117" s="1009" t="n"/>
      <c r="AW117" s="1011" t="n"/>
      <c r="AX117" s="1011" t="n"/>
      <c r="AY117" s="1011" t="n"/>
      <c r="AZ117" s="1061" t="n"/>
      <c r="BA117" s="1009" t="n"/>
      <c r="BB117" s="1011" t="n"/>
      <c r="BC117" s="1011" t="n"/>
      <c r="BD117" s="1013" t="n"/>
      <c r="BE117" s="936">
        <f>I117-SUM(AB117:BD117)</f>
        <v/>
      </c>
    </row>
    <row r="118" ht="15" customHeight="1">
      <c r="A118" s="1058" t="n"/>
      <c r="B118" s="40" t="n"/>
      <c r="C118" s="1000">
        <f>SUM(AB118:AJ118)</f>
        <v/>
      </c>
      <c r="D118" s="1001">
        <f>SUM(AK118:AS118)</f>
        <v/>
      </c>
      <c r="E118" s="1001">
        <f>SUM(AT118:AU118)</f>
        <v/>
      </c>
      <c r="F118" s="1001">
        <f>SUM(AV118:AZ118)</f>
        <v/>
      </c>
      <c r="G118" s="1001">
        <f>SUM(BA118:BD118)</f>
        <v/>
      </c>
      <c r="H118" s="1001">
        <f>SUM(V118:AA118)</f>
        <v/>
      </c>
      <c r="I118" s="1002">
        <f>SUM(C118:H118)</f>
        <v/>
      </c>
      <c r="J118" s="1003" t="n"/>
      <c r="K118" s="1059" t="n"/>
      <c r="L118" s="1017" t="n"/>
      <c r="M118" s="1005" t="n"/>
      <c r="N118" s="1006" t="n"/>
      <c r="O118" s="1000" t="n"/>
      <c r="P118" s="1007" t="n"/>
      <c r="Q118" s="1008" t="n"/>
      <c r="R118" s="990">
        <f>R117+SUM(N118:Q118)-SUM(I118:M118)</f>
        <v/>
      </c>
      <c r="S118" s="1060" t="n"/>
      <c r="T118" s="1007" t="n"/>
      <c r="U118" s="1062" t="n"/>
      <c r="V118" s="1009" t="n"/>
      <c r="W118" s="1010" t="n"/>
      <c r="X118" s="1011" t="n"/>
      <c r="Y118" s="1011" t="n"/>
      <c r="Z118" s="1012" t="n"/>
      <c r="AA118" s="1013" t="n"/>
      <c r="AB118" s="1009" t="n"/>
      <c r="AC118" s="1010" t="n"/>
      <c r="AD118" s="1011" t="n"/>
      <c r="AE118" s="1011" t="n"/>
      <c r="AF118" s="1011" t="n"/>
      <c r="AG118" s="1011" t="n"/>
      <c r="AH118" s="1011" t="n"/>
      <c r="AI118" s="1011" t="n"/>
      <c r="AJ118" s="1061" t="n"/>
      <c r="AK118" s="1009" t="n"/>
      <c r="AL118" s="1011" t="n"/>
      <c r="AM118" s="1011" t="n"/>
      <c r="AN118" s="1011" t="n"/>
      <c r="AO118" s="1011" t="n"/>
      <c r="AP118" s="1011" t="n"/>
      <c r="AQ118" s="1011" t="n"/>
      <c r="AR118" s="1011" t="n"/>
      <c r="AS118" s="1061" t="n"/>
      <c r="AT118" s="1009" t="n"/>
      <c r="AU118" s="1061" t="n"/>
      <c r="AV118" s="1009" t="n"/>
      <c r="AW118" s="1011" t="n"/>
      <c r="AX118" s="1011" t="n"/>
      <c r="AY118" s="1011" t="n"/>
      <c r="AZ118" s="1061" t="n"/>
      <c r="BA118" s="1009" t="n"/>
      <c r="BB118" s="1011" t="n"/>
      <c r="BC118" s="1011" t="n"/>
      <c r="BD118" s="1013" t="n"/>
      <c r="BE118" s="936">
        <f>I118-SUM(AB118:BD118)</f>
        <v/>
      </c>
    </row>
    <row r="119" ht="15" customHeight="1">
      <c r="A119" s="1058" t="n"/>
      <c r="B119" s="40" t="n"/>
      <c r="C119" s="1000" t="n"/>
      <c r="D119" s="1001" t="n"/>
      <c r="E119" s="1001" t="n"/>
      <c r="F119" s="1001" t="n"/>
      <c r="G119" s="1001" t="n"/>
      <c r="H119" s="1001" t="n"/>
      <c r="I119" s="1002" t="n"/>
      <c r="J119" s="1003" t="n"/>
      <c r="K119" s="1059" t="n"/>
      <c r="L119" s="1017" t="n"/>
      <c r="M119" s="1005" t="n"/>
      <c r="N119" s="1006" t="n"/>
      <c r="O119" s="1000" t="n"/>
      <c r="P119" s="1007" t="n"/>
      <c r="Q119" s="1008" t="n"/>
      <c r="R119" s="990">
        <f>R118+SUM(N119:Q119)-SUM(I119:M119)</f>
        <v/>
      </c>
      <c r="S119" s="1060" t="n"/>
      <c r="T119" s="1007" t="n"/>
      <c r="U119" s="72" t="n"/>
      <c r="V119" s="1009" t="n"/>
      <c r="W119" s="1010" t="n"/>
      <c r="X119" s="1011" t="n"/>
      <c r="Y119" s="1011" t="n"/>
      <c r="Z119" s="1012" t="n"/>
      <c r="AA119" s="1013" t="n"/>
      <c r="AB119" s="1009" t="n"/>
      <c r="AC119" s="1010" t="n"/>
      <c r="AD119" s="1011" t="n"/>
      <c r="AE119" s="1011" t="n"/>
      <c r="AF119" s="1011" t="n"/>
      <c r="AG119" s="1011" t="n"/>
      <c r="AH119" s="1011" t="n"/>
      <c r="AI119" s="1011" t="n"/>
      <c r="AJ119" s="1061" t="n"/>
      <c r="AK119" s="1009" t="n"/>
      <c r="AL119" s="1011" t="n"/>
      <c r="AM119" s="1011" t="n"/>
      <c r="AN119" s="1011" t="n"/>
      <c r="AO119" s="1011" t="n"/>
      <c r="AP119" s="1011" t="n"/>
      <c r="AQ119" s="1011" t="n"/>
      <c r="AR119" s="1011" t="n"/>
      <c r="AS119" s="1061" t="n"/>
      <c r="AT119" s="1009" t="n"/>
      <c r="AU119" s="1061" t="n"/>
      <c r="AV119" s="1009" t="n"/>
      <c r="AW119" s="1011" t="n"/>
      <c r="AX119" s="1011" t="n"/>
      <c r="AY119" s="1011" t="n"/>
      <c r="AZ119" s="1061" t="n"/>
      <c r="BA119" s="1009" t="n"/>
      <c r="BB119" s="1011" t="n"/>
      <c r="BC119" s="1011" t="n"/>
      <c r="BD119" s="1013" t="n"/>
    </row>
    <row r="120" ht="15" customHeight="1">
      <c r="A120" s="1058" t="n"/>
      <c r="B120" s="40" t="n"/>
      <c r="C120" s="1000">
        <f>SUM(AB120:AJ120)</f>
        <v/>
      </c>
      <c r="D120" s="1001">
        <f>SUM(AK120:AS120)</f>
        <v/>
      </c>
      <c r="E120" s="1001">
        <f>SUM(AT120:AU120)</f>
        <v/>
      </c>
      <c r="F120" s="1001">
        <f>SUM(AV120:AZ120)</f>
        <v/>
      </c>
      <c r="G120" s="1001">
        <f>SUM(BA120:BD120)</f>
        <v/>
      </c>
      <c r="H120" s="1001">
        <f>SUM(V120:AA120)</f>
        <v/>
      </c>
      <c r="I120" s="1002">
        <f>SUM(C120:H120)</f>
        <v/>
      </c>
      <c r="J120" s="1003" t="n"/>
      <c r="K120" s="1059" t="n"/>
      <c r="L120" s="1017" t="n"/>
      <c r="M120" s="1005" t="n"/>
      <c r="N120" s="1006" t="n"/>
      <c r="O120" s="1000" t="n"/>
      <c r="P120" s="1007" t="n"/>
      <c r="Q120" s="1008" t="n"/>
      <c r="R120" s="990">
        <f>R119+SUM(N120:Q120)-SUM(I120:M120)</f>
        <v/>
      </c>
      <c r="S120" s="1060" t="n"/>
      <c r="T120" s="1007" t="n"/>
      <c r="U120" s="72" t="n"/>
      <c r="V120" s="1009" t="n"/>
      <c r="W120" s="1010" t="n"/>
      <c r="X120" s="1011" t="n"/>
      <c r="Y120" s="1011" t="n"/>
      <c r="Z120" s="1012" t="n"/>
      <c r="AA120" s="1013" t="n"/>
      <c r="AB120" s="1009" t="n"/>
      <c r="AC120" s="1010" t="n"/>
      <c r="AD120" s="1011" t="n"/>
      <c r="AE120" s="1011" t="n"/>
      <c r="AF120" s="1011" t="n"/>
      <c r="AG120" s="1011" t="n"/>
      <c r="AH120" s="1011" t="n"/>
      <c r="AI120" s="1011" t="n"/>
      <c r="AJ120" s="1061" t="n"/>
      <c r="AK120" s="1009" t="n"/>
      <c r="AL120" s="1011" t="n"/>
      <c r="AM120" s="1011" t="n"/>
      <c r="AN120" s="1011" t="n"/>
      <c r="AO120" s="1011" t="n"/>
      <c r="AP120" s="1011" t="n"/>
      <c r="AQ120" s="1011" t="n"/>
      <c r="AR120" s="1011" t="n"/>
      <c r="AS120" s="1061" t="n"/>
      <c r="AT120" s="1009" t="n"/>
      <c r="AU120" s="1061" t="n"/>
      <c r="AV120" s="1009" t="n"/>
      <c r="AW120" s="1011" t="n"/>
      <c r="AX120" s="1011" t="n"/>
      <c r="AY120" s="1011" t="n"/>
      <c r="AZ120" s="1061" t="n"/>
      <c r="BA120" s="1009" t="n"/>
      <c r="BB120" s="1011" t="n"/>
      <c r="BC120" s="1011" t="n"/>
      <c r="BD120" s="1013" t="n"/>
      <c r="BE120" s="936">
        <f>I120-SUM(AB120:BD120)</f>
        <v/>
      </c>
    </row>
    <row r="121" ht="15" customHeight="1">
      <c r="A121" s="1058" t="n"/>
      <c r="B121" s="40" t="n"/>
      <c r="C121" s="1063" t="n"/>
      <c r="D121" s="1064" t="n"/>
      <c r="E121" s="1064" t="n"/>
      <c r="F121" s="1064" t="n"/>
      <c r="G121" s="1064" t="n"/>
      <c r="H121" s="1064" t="n"/>
      <c r="I121" s="1065" t="n"/>
      <c r="J121" s="1066" t="n"/>
      <c r="K121" s="1067" t="n"/>
      <c r="L121" s="1068" t="n"/>
      <c r="M121" s="1069" t="n"/>
      <c r="N121" s="1070" t="n"/>
      <c r="O121" s="1063" t="n"/>
      <c r="P121" s="1071" t="n"/>
      <c r="Q121" s="1072" t="n"/>
      <c r="R121" s="990">
        <f>R120+SUM(N121:Q121)-SUM(I121:M121)</f>
        <v/>
      </c>
      <c r="S121" s="1060" t="n"/>
      <c r="T121" s="1007" t="n"/>
      <c r="U121" s="72" t="n"/>
      <c r="V121" s="1073" t="n"/>
      <c r="W121" s="1074" t="n"/>
      <c r="X121" s="1075" t="n"/>
      <c r="Y121" s="1075" t="n"/>
      <c r="Z121" s="1076" t="n"/>
      <c r="AA121" s="1077" t="n"/>
      <c r="AB121" s="1073" t="n"/>
      <c r="AC121" s="1074" t="n"/>
      <c r="AD121" s="1075" t="n"/>
      <c r="AE121" s="1075" t="n"/>
      <c r="AF121" s="1075" t="n"/>
      <c r="AG121" s="1075" t="n"/>
      <c r="AH121" s="1075" t="n"/>
      <c r="AI121" s="1075" t="n"/>
      <c r="AJ121" s="1078" t="n"/>
      <c r="AK121" s="1073" t="n"/>
      <c r="AL121" s="1075" t="n"/>
      <c r="AM121" s="1074" t="n"/>
      <c r="AN121" s="1075" t="n"/>
      <c r="AO121" s="1075" t="n"/>
      <c r="AP121" s="1075" t="n"/>
      <c r="AQ121" s="1075" t="n"/>
      <c r="AR121" s="1075" t="n"/>
      <c r="AS121" s="1078" t="n"/>
      <c r="AT121" s="1073" t="n"/>
      <c r="AU121" s="1078" t="n"/>
      <c r="AV121" s="1073" t="n"/>
      <c r="AW121" s="1075" t="n"/>
      <c r="AX121" s="1075" t="n"/>
      <c r="AY121" s="1075" t="n"/>
      <c r="AZ121" s="1078" t="n"/>
      <c r="BA121" s="1073" t="n"/>
      <c r="BB121" s="1075" t="n"/>
      <c r="BC121" s="1075" t="n"/>
      <c r="BD121" s="1077" t="n"/>
    </row>
    <row r="122" ht="15" customFormat="1" customHeight="1" s="3">
      <c r="A122" s="1079" t="inlineStr">
        <is>
          <t>SFD-5465-理财产品小计</t>
        </is>
      </c>
      <c r="B122" s="1080" t="n"/>
      <c r="C122" s="1081">
        <f>SUM(C116:C120)</f>
        <v/>
      </c>
      <c r="D122" s="1082">
        <f>SUM(D116:D120)</f>
        <v/>
      </c>
      <c r="E122" s="1082">
        <f>SUM(E116:E120)</f>
        <v/>
      </c>
      <c r="F122" s="1082">
        <f>SUM(F116:F120)</f>
        <v/>
      </c>
      <c r="G122" s="1082">
        <f>SUM(G116:G120)</f>
        <v/>
      </c>
      <c r="H122" s="1082">
        <f>SUM(H116:H120)</f>
        <v/>
      </c>
      <c r="I122" s="1083">
        <f>SUM(I116:I120)</f>
        <v/>
      </c>
      <c r="J122" s="1084">
        <f>SUM(J116:J120)</f>
        <v/>
      </c>
      <c r="K122" s="1084">
        <f>SUM(K116:K121)</f>
        <v/>
      </c>
      <c r="L122" s="1085">
        <f>SUM(L116:L120)</f>
        <v/>
      </c>
      <c r="M122" s="1086">
        <f>SUM(M116:M120)</f>
        <v/>
      </c>
      <c r="N122" s="1087">
        <f>SUM(N116:N120)</f>
        <v/>
      </c>
      <c r="O122" s="1081" t="n"/>
      <c r="P122" s="1088">
        <f>SUM(P116:P120)</f>
        <v/>
      </c>
      <c r="Q122" s="1089">
        <f>SUM(Q116:Q120)</f>
        <v/>
      </c>
      <c r="R122" s="1090">
        <f>R121+SUM(N122:Q122)-SUM(I122:M122)</f>
        <v/>
      </c>
      <c r="S122" s="1091" t="n"/>
      <c r="T122" s="1088" t="n"/>
      <c r="U122" s="1092" t="n"/>
      <c r="V122" s="1093">
        <f>SUM(V116:V120)</f>
        <v/>
      </c>
      <c r="W122" s="1094" t="n"/>
      <c r="X122" s="1095">
        <f>SUM(X116:X120)</f>
        <v/>
      </c>
      <c r="Y122" s="1095" t="n"/>
      <c r="Z122" s="1096">
        <f>SUM(Z116:Z120)</f>
        <v/>
      </c>
      <c r="AA122" s="1097">
        <f>SUM(AA116:AA120)</f>
        <v/>
      </c>
      <c r="AB122" s="1093">
        <f>SUM(AB116:AB120)</f>
        <v/>
      </c>
      <c r="AC122" s="1094" t="n"/>
      <c r="AD122" s="1095">
        <f>SUM(AD116:AD120)</f>
        <v/>
      </c>
      <c r="AE122" s="1095">
        <f>SUM(AE116:AE120)</f>
        <v/>
      </c>
      <c r="AF122" s="1095">
        <f>SUM(AF116:AF120)</f>
        <v/>
      </c>
      <c r="AG122" s="1095">
        <f>SUM(AG116:AG120)</f>
        <v/>
      </c>
      <c r="AH122" s="1095">
        <f>SUM(AH116:AH120)</f>
        <v/>
      </c>
      <c r="AI122" s="1095">
        <f>SUM(AI116:AI120)</f>
        <v/>
      </c>
      <c r="AJ122" s="1098">
        <f>SUM(AJ116:AJ120)</f>
        <v/>
      </c>
      <c r="AK122" s="1093">
        <f>SUM(AK116:AK120)</f>
        <v/>
      </c>
      <c r="AL122" s="1095">
        <f>SUM(AL116:AL120)</f>
        <v/>
      </c>
      <c r="AM122" s="1093">
        <f>SUM(AM116:AM120)</f>
        <v/>
      </c>
      <c r="AN122" s="1095">
        <f>SUM(AN116:AN120)</f>
        <v/>
      </c>
      <c r="AO122" s="1095">
        <f>SUM(AO116:AO120)</f>
        <v/>
      </c>
      <c r="AP122" s="1095">
        <f>SUM(AP116:AP120)</f>
        <v/>
      </c>
      <c r="AQ122" s="1095">
        <f>SUM(AQ116:AQ120)</f>
        <v/>
      </c>
      <c r="AR122" s="1095">
        <f>SUM(AR116:AR120)</f>
        <v/>
      </c>
      <c r="AS122" s="1098">
        <f>SUM(AS116:AS120)</f>
        <v/>
      </c>
      <c r="AT122" s="1093">
        <f>SUM(AT116:AT120)</f>
        <v/>
      </c>
      <c r="AU122" s="1098">
        <f>SUM(AU116:AU120)</f>
        <v/>
      </c>
      <c r="AV122" s="1093">
        <f>SUM(AV116:AV120)</f>
        <v/>
      </c>
      <c r="AW122" s="1095">
        <f>SUM(AW116:AW120)</f>
        <v/>
      </c>
      <c r="AX122" s="1095">
        <f>SUM(AX116:AX120)</f>
        <v/>
      </c>
      <c r="AY122" s="1095">
        <f>SUM(AY116:AY120)</f>
        <v/>
      </c>
      <c r="AZ122" s="1098">
        <f>SUM(AZ116:AZ120)</f>
        <v/>
      </c>
      <c r="BA122" s="1093">
        <f>SUM(BA116:BA120)</f>
        <v/>
      </c>
      <c r="BB122" s="1095">
        <f>SUM(BB116:BB120)</f>
        <v/>
      </c>
      <c r="BC122" s="1095">
        <f>SUM(BC116:BC120)</f>
        <v/>
      </c>
      <c r="BD122" s="1097">
        <f>SUM(BD116:BD120)</f>
        <v/>
      </c>
      <c r="BE122" s="936">
        <f>I122-SUM(AB122:BD122)</f>
        <v/>
      </c>
    </row>
    <row r="123" ht="14.25" customFormat="1" customHeight="1" s="4">
      <c r="B123" s="935" t="n"/>
      <c r="C123" s="1099" t="n"/>
      <c r="D123" s="1099" t="n"/>
      <c r="E123" s="1099" t="n"/>
      <c r="F123" s="1099" t="n"/>
      <c r="I123" s="1100" t="n"/>
      <c r="P123" s="2" t="n"/>
      <c r="R123" s="1100" t="n"/>
      <c r="S123" s="1100" t="n"/>
      <c r="T123" s="2" t="n"/>
      <c r="U123" s="2" t="n"/>
      <c r="Z123" s="2" t="n"/>
      <c r="BE123" s="1099" t="n"/>
    </row>
    <row r="124" ht="14.25" customFormat="1" customHeight="1" s="4">
      <c r="B124" s="935" t="n"/>
      <c r="C124" s="1100" t="n"/>
      <c r="D124" s="1100" t="n"/>
      <c r="E124" s="1100" t="n"/>
      <c r="F124" s="1100" t="n"/>
      <c r="G124" s="1100" t="n"/>
      <c r="H124" s="1100" t="n"/>
      <c r="I124" s="1100" t="n"/>
      <c r="J124" s="1100" t="n"/>
      <c r="K124" s="1100" t="n"/>
      <c r="L124" s="1100" t="n"/>
      <c r="M124" s="1100" t="n"/>
      <c r="N124" s="1100" t="n"/>
      <c r="O124" s="1100" t="n"/>
      <c r="P124" s="1101" t="n"/>
      <c r="Q124" s="1100" t="n"/>
      <c r="R124" s="1100" t="n"/>
      <c r="S124" s="1100" t="n"/>
      <c r="T124" s="1101" t="n"/>
      <c r="U124" s="1101" t="n"/>
      <c r="V124" s="1100" t="n"/>
      <c r="W124" s="1100" t="n"/>
      <c r="X124" s="1100" t="n"/>
      <c r="Y124" s="1100" t="n"/>
      <c r="Z124" s="1100" t="n"/>
      <c r="AA124" s="1100" t="n"/>
      <c r="AB124" s="1100" t="n"/>
      <c r="AC124" s="1100" t="n"/>
      <c r="AD124" s="1100" t="n"/>
      <c r="AE124" s="1100" t="n"/>
      <c r="AF124" s="1100" t="n"/>
      <c r="AG124" s="1100" t="n"/>
      <c r="AH124" s="1100" t="n"/>
      <c r="AI124" s="1100" t="n"/>
      <c r="AJ124" s="1100" t="n"/>
      <c r="AK124" s="1100" t="n"/>
      <c r="AL124" s="1100" t="n"/>
      <c r="AM124" s="1100" t="n"/>
      <c r="AN124" s="1100" t="n"/>
      <c r="AO124" s="1100" t="n"/>
      <c r="AP124" s="1100" t="n"/>
      <c r="AQ124" s="1100" t="n"/>
      <c r="AR124" s="1100" t="n"/>
      <c r="AS124" s="1100" t="n"/>
      <c r="AT124" s="1100" t="n"/>
      <c r="AU124" s="1100" t="n"/>
      <c r="AV124" s="1100" t="n"/>
      <c r="AW124" s="1100" t="n"/>
      <c r="AX124" s="1100" t="n"/>
      <c r="AY124" s="1100" t="n"/>
      <c r="AZ124" s="1100" t="n"/>
      <c r="BA124" s="1100" t="n"/>
      <c r="BB124" s="1100" t="n"/>
      <c r="BC124" s="1100" t="n"/>
      <c r="BD124" s="1100" t="n"/>
      <c r="BE124" s="1099" t="n"/>
    </row>
    <row r="125" ht="31.5" customHeight="1">
      <c r="AB125" s="185" t="n"/>
      <c r="AC125" s="185" t="n"/>
    </row>
    <row r="126" ht="21.75" customHeight="1">
      <c r="R126" s="1102" t="n"/>
      <c r="AB126" s="187" t="n"/>
      <c r="AC126" s="187" t="n"/>
    </row>
  </sheetData>
  <autoFilter ref="A3:BE126"/>
  <mergeCells count="26">
    <mergeCell ref="M2:M3"/>
    <mergeCell ref="B2:B3"/>
    <mergeCell ref="D2:D3"/>
    <mergeCell ref="U2:U3"/>
    <mergeCell ref="F2:F3"/>
    <mergeCell ref="H2:H3"/>
    <mergeCell ref="AB2:AJ2"/>
    <mergeCell ref="AV2:AZ2"/>
    <mergeCell ref="A2:A3"/>
    <mergeCell ref="T2:T3"/>
    <mergeCell ref="C2:C3"/>
    <mergeCell ref="E2:E3"/>
    <mergeCell ref="K2:K3"/>
    <mergeCell ref="BA2:BD2"/>
    <mergeCell ref="AK2:AS2"/>
    <mergeCell ref="I2:I3"/>
    <mergeCell ref="N2:Q2"/>
    <mergeCell ref="R2:R3"/>
    <mergeCell ref="J2:J3"/>
    <mergeCell ref="V2:AA2"/>
    <mergeCell ref="L2:L3"/>
    <mergeCell ref="A4:B4"/>
    <mergeCell ref="AT2:AU2"/>
    <mergeCell ref="G2:G3"/>
    <mergeCell ref="S2:S3"/>
    <mergeCell ref="A114:B114"/>
  </mergeCells>
  <hyperlinks>
    <hyperlink ref="A1" location="汇总表!A1" display="←返回"/>
  </hyperlinks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WindsysUser</dc:creator>
  <dcterms:created xsi:type="dcterms:W3CDTF">2020-01-06T07:06:00Z</dcterms:created>
  <dcterms:modified xsi:type="dcterms:W3CDTF">2026-06-17T04:44:38Z</dcterms:modified>
  <cp:lastModifiedBy>e60179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DE926F50061D42ED96A4F806E743FFE6_13</vt:lpwstr>
  </property>
  <property name="KSOProductBuildVer" fmtid="{D5CDD505-2E9C-101B-9397-08002B2CF9AE}" pid="3">
    <vt:lpwstr>2052-12.1.0.25865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