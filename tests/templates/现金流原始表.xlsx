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1.xml" ContentType="application/vnd.openxmlformats-officedocument.themeOverrid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F:\Vscode\Weiyu\tests\templates\"/>
    </mc:Choice>
  </mc:AlternateContent>
  <xr:revisionPtr revIDLastSave="0" documentId="13_ncr:1_{3AC16FDE-7E03-4F9C-ACF9-CE96B68330BD}" xr6:coauthVersionLast="47" xr6:coauthVersionMax="47" xr10:uidLastSave="{00000000-0000-0000-0000-000000000000}"/>
  <bookViews>
    <workbookView xWindow="-108" yWindow="-108" windowWidth="23256" windowHeight="12720" tabRatio="679" activeTab="3" xr2:uid="{00000000-000D-0000-FFFF-FFFF00000000}"/>
  </bookViews>
  <sheets>
    <sheet name="年度财务收支表" sheetId="10" r:id="rId1"/>
    <sheet name="汇总表" sheetId="7" r:id="rId2"/>
    <sheet name="1.建行Q1" sheetId="15" r:id="rId3"/>
    <sheet name="1.建行Q2" sheetId="17" r:id="rId4"/>
    <sheet name="2、账户" sheetId="2" state="hidden" r:id="rId5"/>
    <sheet name="3、账户" sheetId="3" state="hidden" r:id="rId6"/>
    <sheet name="4、账户" sheetId="5" state="hidden" r:id="rId7"/>
    <sheet name="5、支付宝" sheetId="8" state="hidden" r:id="rId8"/>
    <sheet name="6、现金" sheetId="4" state="hidden" r:id="rId9"/>
    <sheet name="7、备用表" sheetId="9" state="hidden" r:id="rId10"/>
  </sheets>
  <externalReferences>
    <externalReference r:id="rId11"/>
    <externalReference r:id="rId12"/>
  </externalReferences>
  <definedNames>
    <definedName name="_xlnm._FilterDatabase" localSheetId="2" hidden="1">'1.建行Q1'!$A$3:$BE$29</definedName>
    <definedName name="_xlnm._FilterDatabase" localSheetId="3" hidden="1">'1.建行Q2'!$A$3:$BE$29</definedName>
    <definedName name="_xlnm._FilterDatabase" localSheetId="4" hidden="1">'2、账户'!$A$3:$BE$126</definedName>
    <definedName name="_xlnm._FilterDatabase" localSheetId="5" hidden="1">'3、账户'!$A$3:$BE$126</definedName>
    <definedName name="_xlnm._FilterDatabase" localSheetId="6" hidden="1">'4、账户'!$A$3:$BE$126</definedName>
    <definedName name="_xlnm._FilterDatabase" localSheetId="7" hidden="1">'5、支付宝'!$A$3:$BE$126</definedName>
    <definedName name="_xlnm._FilterDatabase" localSheetId="8" hidden="1">'6、现金'!$A$3:$BE$126</definedName>
    <definedName name="_xlnm._FilterDatabase" localSheetId="9" hidden="1">'7、备用表'!$A$3:$BE$126</definedName>
    <definedName name="_xlnm._FilterDatabase" localSheetId="1" hidden="1">汇总表!$A$3:$BF$9</definedName>
    <definedName name="存货初始数据">'[1]13 在外库存-2'!$A$1:$W$1</definedName>
    <definedName name="分析" localSheetId="4">#REF!</definedName>
    <definedName name="分析" localSheetId="5">#REF!</definedName>
    <definedName name="分析" localSheetId="6">#REF!</definedName>
    <definedName name="分析" localSheetId="7">#REF!</definedName>
    <definedName name="分析" localSheetId="8">#REF!</definedName>
    <definedName name="分析" localSheetId="9">#REF!</definedName>
    <definedName name="分析" localSheetId="1">#REF!</definedName>
    <definedName name="分析">#REF!</definedName>
    <definedName name="核算项目余额表" localSheetId="4">#REF!</definedName>
    <definedName name="核算项目余额表" localSheetId="5">#REF!</definedName>
    <definedName name="核算项目余额表" localSheetId="6">#REF!</definedName>
    <definedName name="核算项目余额表" localSheetId="7">#REF!</definedName>
    <definedName name="核算项目余额表" localSheetId="8">#REF!</definedName>
    <definedName name="核算项目余额表" localSheetId="9">#REF!</definedName>
    <definedName name="核算项目余额表" localSheetId="1">#REF!</definedName>
    <definedName name="核算项目余额表">#REF!</definedName>
    <definedName name="即时库存表" localSheetId="4">#REF!</definedName>
    <definedName name="即时库存表" localSheetId="5">#REF!</definedName>
    <definedName name="即时库存表" localSheetId="6">#REF!</definedName>
    <definedName name="即时库存表" localSheetId="7">#REF!</definedName>
    <definedName name="即时库存表" localSheetId="8">#REF!</definedName>
    <definedName name="即时库存表" localSheetId="9">#REF!</definedName>
    <definedName name="即时库存表" localSheetId="1">#REF!</definedName>
    <definedName name="即时库存表">#REF!</definedName>
    <definedName name="科目余额表" localSheetId="4">#REF!</definedName>
    <definedName name="科目余额表" localSheetId="5">#REF!</definedName>
    <definedName name="科目余额表" localSheetId="6">#REF!</definedName>
    <definedName name="科目余额表" localSheetId="7">#REF!</definedName>
    <definedName name="科目余额表" localSheetId="8">#REF!</definedName>
    <definedName name="科目余额表" localSheetId="9">#REF!</definedName>
    <definedName name="科目余额表" localSheetId="1">#REF!</definedName>
    <definedName name="科目余额表">#REF!</definedName>
    <definedName name="名称" localSheetId="4">#REF!</definedName>
    <definedName name="名称" localSheetId="5">#REF!</definedName>
    <definedName name="名称" localSheetId="6">#REF!</definedName>
    <definedName name="名称" localSheetId="7">#REF!</definedName>
    <definedName name="名称" localSheetId="8">#REF!</definedName>
    <definedName name="名称" localSheetId="9">#REF!</definedName>
    <definedName name="名称" localSheetId="1">#REF!</definedName>
    <definedName name="名称">#REF!</definedName>
    <definedName name="数据啊" localSheetId="4">#REF!</definedName>
    <definedName name="数据啊" localSheetId="5">#REF!</definedName>
    <definedName name="数据啊" localSheetId="6">#REF!</definedName>
    <definedName name="数据啊" localSheetId="7">#REF!</definedName>
    <definedName name="数据啊" localSheetId="8">#REF!</definedName>
    <definedName name="数据啊" localSheetId="9">#REF!</definedName>
    <definedName name="数据啊" localSheetId="1">#REF!</definedName>
    <definedName name="数据啊">#REF!</definedName>
    <definedName name="委托代销明细表" localSheetId="4">#REF!</definedName>
    <definedName name="委托代销明细表" localSheetId="5">#REF!</definedName>
    <definedName name="委托代销明细表" localSheetId="6">#REF!</definedName>
    <definedName name="委托代销明细表" localSheetId="7">#REF!</definedName>
    <definedName name="委托代销明细表" localSheetId="8">#REF!</definedName>
    <definedName name="委托代销明细表" localSheetId="9">#REF!</definedName>
    <definedName name="委托代销明细表" localSheetId="1">#REF!</definedName>
    <definedName name="委托代销明细表">#REF!</definedName>
    <definedName name="委托代销收益分析表" localSheetId="4">#REF!</definedName>
    <definedName name="委托代销收益分析表" localSheetId="5">#REF!</definedName>
    <definedName name="委托代销收益分析表" localSheetId="6">#REF!</definedName>
    <definedName name="委托代销收益分析表" localSheetId="7">#REF!</definedName>
    <definedName name="委托代销收益分析表" localSheetId="8">#REF!</definedName>
    <definedName name="委托代销收益分析表" localSheetId="9">#REF!</definedName>
    <definedName name="委托代销收益分析表" localSheetId="1">#REF!</definedName>
    <definedName name="委托代销收益分析表">#REF!</definedName>
    <definedName name="现金" localSheetId="4">#REF!</definedName>
    <definedName name="现金" localSheetId="5">#REF!</definedName>
    <definedName name="现金" localSheetId="6">#REF!</definedName>
    <definedName name="现金" localSheetId="7">#REF!</definedName>
    <definedName name="现金" localSheetId="8">#REF!</definedName>
    <definedName name="现金" localSheetId="9">#REF!</definedName>
    <definedName name="现金" localSheetId="1">#REF!</definedName>
    <definedName name="现金">#REF!</definedName>
    <definedName name="销售订单汇总表" localSheetId="4">#REF!</definedName>
    <definedName name="销售订单汇总表" localSheetId="5">#REF!</definedName>
    <definedName name="销售订单汇总表" localSheetId="6">#REF!</definedName>
    <definedName name="销售订单汇总表" localSheetId="7">#REF!</definedName>
    <definedName name="销售订单汇总表" localSheetId="8">#REF!</definedName>
    <definedName name="销售订单汇总表" localSheetId="9">#REF!</definedName>
    <definedName name="销售订单汇总表" localSheetId="1">#REF!</definedName>
    <definedName name="销售订单汇总表">#REF!</definedName>
    <definedName name="序时簿中心" localSheetId="4">#REF!</definedName>
    <definedName name="序时簿中心" localSheetId="5">#REF!</definedName>
    <definedName name="序时簿中心" localSheetId="6">#REF!</definedName>
    <definedName name="序时簿中心" localSheetId="7">#REF!</definedName>
    <definedName name="序时簿中心" localSheetId="8">#REF!</definedName>
    <definedName name="序时簿中心" localSheetId="9">#REF!</definedName>
    <definedName name="序时簿中心" localSheetId="1">#REF!</definedName>
    <definedName name="序时簿中心">#REF!</definedName>
    <definedName name="资金" localSheetId="4">#REF!</definedName>
    <definedName name="资金" localSheetId="5">#REF!</definedName>
    <definedName name="资金" localSheetId="6">#REF!</definedName>
    <definedName name="资金" localSheetId="7">#REF!</definedName>
    <definedName name="资金" localSheetId="8">#REF!</definedName>
    <definedName name="资金" localSheetId="9">#REF!</definedName>
    <definedName name="资金" localSheetId="1">#REF!</definedName>
    <definedName name="资金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3" i="17" l="1"/>
  <c r="AA6" i="7" s="1"/>
  <c r="BE122" i="9"/>
  <c r="BD122" i="9"/>
  <c r="BC122" i="9"/>
  <c r="BB122" i="9"/>
  <c r="BA122" i="9"/>
  <c r="AZ122" i="9"/>
  <c r="AY122" i="9"/>
  <c r="AX122" i="9"/>
  <c r="AW122" i="9"/>
  <c r="AV122" i="9"/>
  <c r="AU122" i="9"/>
  <c r="AT122" i="9"/>
  <c r="AS122" i="9"/>
  <c r="AR122" i="9"/>
  <c r="AQ122" i="9"/>
  <c r="AP122" i="9"/>
  <c r="AO122" i="9"/>
  <c r="AN122" i="9"/>
  <c r="AM122" i="9"/>
  <c r="AL122" i="9"/>
  <c r="AK122" i="9"/>
  <c r="AJ122" i="9"/>
  <c r="AI122" i="9"/>
  <c r="AH122" i="9"/>
  <c r="AG122" i="9"/>
  <c r="AF122" i="9"/>
  <c r="AE122" i="9"/>
  <c r="AD122" i="9"/>
  <c r="AB122" i="9"/>
  <c r="AA122" i="9"/>
  <c r="Z122" i="9"/>
  <c r="X122" i="9"/>
  <c r="V122" i="9"/>
  <c r="R122" i="9"/>
  <c r="Q122" i="9"/>
  <c r="P122" i="9"/>
  <c r="N122" i="9"/>
  <c r="M122" i="9"/>
  <c r="L122" i="9"/>
  <c r="K122" i="9"/>
  <c r="J122" i="9"/>
  <c r="I122" i="9"/>
  <c r="H122" i="9"/>
  <c r="G122" i="9"/>
  <c r="F122" i="9"/>
  <c r="E122" i="9"/>
  <c r="D122" i="9"/>
  <c r="C122" i="9"/>
  <c r="R121" i="9"/>
  <c r="BE120" i="9"/>
  <c r="R120" i="9"/>
  <c r="I120" i="9"/>
  <c r="H120" i="9"/>
  <c r="G120" i="9"/>
  <c r="F120" i="9"/>
  <c r="E120" i="9"/>
  <c r="D120" i="9"/>
  <c r="C120" i="9"/>
  <c r="R119" i="9"/>
  <c r="BE118" i="9"/>
  <c r="R118" i="9"/>
  <c r="I118" i="9"/>
  <c r="H118" i="9"/>
  <c r="G118" i="9"/>
  <c r="F118" i="9"/>
  <c r="E118" i="9"/>
  <c r="D118" i="9"/>
  <c r="C118" i="9"/>
  <c r="BE117" i="9"/>
  <c r="R117" i="9"/>
  <c r="I117" i="9"/>
  <c r="H117" i="9"/>
  <c r="G117" i="9"/>
  <c r="F117" i="9"/>
  <c r="E117" i="9"/>
  <c r="D117" i="9"/>
  <c r="C117" i="9"/>
  <c r="BE116" i="9"/>
  <c r="R116" i="9"/>
  <c r="I116" i="9"/>
  <c r="H116" i="9"/>
  <c r="G116" i="9"/>
  <c r="F116" i="9"/>
  <c r="E116" i="9"/>
  <c r="D116" i="9"/>
  <c r="C116" i="9"/>
  <c r="R115" i="9"/>
  <c r="I115" i="9"/>
  <c r="BE114" i="9"/>
  <c r="BD114" i="9"/>
  <c r="BC114" i="9"/>
  <c r="BB114" i="9"/>
  <c r="BA114" i="9"/>
  <c r="AZ114" i="9"/>
  <c r="AY114" i="9"/>
  <c r="AX114" i="9"/>
  <c r="AW114" i="9"/>
  <c r="AV114" i="9"/>
  <c r="AU114" i="9"/>
  <c r="AT114" i="9"/>
  <c r="AS114" i="9"/>
  <c r="AR114" i="9"/>
  <c r="AQ114" i="9"/>
  <c r="AP114" i="9"/>
  <c r="AO114" i="9"/>
  <c r="AN114" i="9"/>
  <c r="AM114" i="9"/>
  <c r="AL114" i="9"/>
  <c r="AK114" i="9"/>
  <c r="AJ114" i="9"/>
  <c r="AI114" i="9"/>
  <c r="AH114" i="9"/>
  <c r="AG114" i="9"/>
  <c r="AF114" i="9"/>
  <c r="AE114" i="9"/>
  <c r="AD114" i="9"/>
  <c r="AC114" i="9"/>
  <c r="AB114" i="9"/>
  <c r="AA114" i="9"/>
  <c r="Z114" i="9"/>
  <c r="Y114" i="9"/>
  <c r="X114" i="9"/>
  <c r="W114" i="9"/>
  <c r="V114" i="9"/>
  <c r="R114" i="9"/>
  <c r="Q114" i="9"/>
  <c r="P114" i="9"/>
  <c r="N114" i="9"/>
  <c r="M114" i="9"/>
  <c r="L114" i="9"/>
  <c r="K114" i="9"/>
  <c r="J114" i="9"/>
  <c r="I114" i="9"/>
  <c r="H114" i="9"/>
  <c r="G114" i="9"/>
  <c r="F114" i="9"/>
  <c r="E114" i="9"/>
  <c r="D114" i="9"/>
  <c r="C114" i="9"/>
  <c r="BE113" i="9"/>
  <c r="R113" i="9"/>
  <c r="I113" i="9"/>
  <c r="H113" i="9"/>
  <c r="G113" i="9"/>
  <c r="F113" i="9"/>
  <c r="E113" i="9"/>
  <c r="D113" i="9"/>
  <c r="C113" i="9"/>
  <c r="BE112" i="9"/>
  <c r="R112" i="9"/>
  <c r="I112" i="9"/>
  <c r="H112" i="9"/>
  <c r="G112" i="9"/>
  <c r="F112" i="9"/>
  <c r="E112" i="9"/>
  <c r="D112" i="9"/>
  <c r="C112" i="9"/>
  <c r="BE111" i="9"/>
  <c r="R111" i="9"/>
  <c r="I111" i="9"/>
  <c r="H111" i="9"/>
  <c r="G111" i="9"/>
  <c r="F111" i="9"/>
  <c r="E111" i="9"/>
  <c r="D111" i="9"/>
  <c r="C111" i="9"/>
  <c r="BE110" i="9"/>
  <c r="R110" i="9"/>
  <c r="I110" i="9"/>
  <c r="H110" i="9"/>
  <c r="G110" i="9"/>
  <c r="F110" i="9"/>
  <c r="E110" i="9"/>
  <c r="D110" i="9"/>
  <c r="C110" i="9"/>
  <c r="BE109" i="9"/>
  <c r="R109" i="9"/>
  <c r="I109" i="9"/>
  <c r="H109" i="9"/>
  <c r="G109" i="9"/>
  <c r="F109" i="9"/>
  <c r="E109" i="9"/>
  <c r="D109" i="9"/>
  <c r="C109" i="9"/>
  <c r="BE108" i="9"/>
  <c r="R108" i="9"/>
  <c r="I108" i="9"/>
  <c r="H108" i="9"/>
  <c r="G108" i="9"/>
  <c r="F108" i="9"/>
  <c r="E108" i="9"/>
  <c r="D108" i="9"/>
  <c r="C108" i="9"/>
  <c r="BE107" i="9"/>
  <c r="R107" i="9"/>
  <c r="I107" i="9"/>
  <c r="H107" i="9"/>
  <c r="G107" i="9"/>
  <c r="F107" i="9"/>
  <c r="E107" i="9"/>
  <c r="D107" i="9"/>
  <c r="C107" i="9"/>
  <c r="BE106" i="9"/>
  <c r="R106" i="9"/>
  <c r="I106" i="9"/>
  <c r="H106" i="9"/>
  <c r="G106" i="9"/>
  <c r="F106" i="9"/>
  <c r="E106" i="9"/>
  <c r="D106" i="9"/>
  <c r="C106" i="9"/>
  <c r="BE105" i="9"/>
  <c r="R105" i="9"/>
  <c r="I105" i="9"/>
  <c r="H105" i="9"/>
  <c r="G105" i="9"/>
  <c r="F105" i="9"/>
  <c r="E105" i="9"/>
  <c r="D105" i="9"/>
  <c r="C105" i="9"/>
  <c r="BE104" i="9"/>
  <c r="R104" i="9"/>
  <c r="I104" i="9"/>
  <c r="H104" i="9"/>
  <c r="G104" i="9"/>
  <c r="F104" i="9"/>
  <c r="E104" i="9"/>
  <c r="D104" i="9"/>
  <c r="C104" i="9"/>
  <c r="BE103" i="9"/>
  <c r="R103" i="9"/>
  <c r="I103" i="9"/>
  <c r="H103" i="9"/>
  <c r="G103" i="9"/>
  <c r="F103" i="9"/>
  <c r="E103" i="9"/>
  <c r="D103" i="9"/>
  <c r="C103" i="9"/>
  <c r="BE102" i="9"/>
  <c r="R102" i="9"/>
  <c r="I102" i="9"/>
  <c r="H102" i="9"/>
  <c r="G102" i="9"/>
  <c r="F102" i="9"/>
  <c r="E102" i="9"/>
  <c r="D102" i="9"/>
  <c r="C102" i="9"/>
  <c r="BE101" i="9"/>
  <c r="R101" i="9"/>
  <c r="I101" i="9"/>
  <c r="H101" i="9"/>
  <c r="G101" i="9"/>
  <c r="F101" i="9"/>
  <c r="E101" i="9"/>
  <c r="D101" i="9"/>
  <c r="C101" i="9"/>
  <c r="BE100" i="9"/>
  <c r="R100" i="9"/>
  <c r="I100" i="9"/>
  <c r="H100" i="9"/>
  <c r="G100" i="9"/>
  <c r="F100" i="9"/>
  <c r="E100" i="9"/>
  <c r="D100" i="9"/>
  <c r="C100" i="9"/>
  <c r="BE99" i="9"/>
  <c r="R99" i="9"/>
  <c r="I99" i="9"/>
  <c r="H99" i="9"/>
  <c r="G99" i="9"/>
  <c r="F99" i="9"/>
  <c r="E99" i="9"/>
  <c r="D99" i="9"/>
  <c r="C99" i="9"/>
  <c r="BE98" i="9"/>
  <c r="R98" i="9"/>
  <c r="I98" i="9"/>
  <c r="H98" i="9"/>
  <c r="G98" i="9"/>
  <c r="F98" i="9"/>
  <c r="E98" i="9"/>
  <c r="D98" i="9"/>
  <c r="C98" i="9"/>
  <c r="BE97" i="9"/>
  <c r="R97" i="9"/>
  <c r="I97" i="9"/>
  <c r="H97" i="9"/>
  <c r="G97" i="9"/>
  <c r="F97" i="9"/>
  <c r="E97" i="9"/>
  <c r="D97" i="9"/>
  <c r="C97" i="9"/>
  <c r="BE96" i="9"/>
  <c r="R96" i="9"/>
  <c r="I96" i="9"/>
  <c r="H96" i="9"/>
  <c r="G96" i="9"/>
  <c r="F96" i="9"/>
  <c r="E96" i="9"/>
  <c r="D96" i="9"/>
  <c r="C96" i="9"/>
  <c r="BE95" i="9"/>
  <c r="R95" i="9"/>
  <c r="I95" i="9"/>
  <c r="H95" i="9"/>
  <c r="G95" i="9"/>
  <c r="F95" i="9"/>
  <c r="E95" i="9"/>
  <c r="D95" i="9"/>
  <c r="C95" i="9"/>
  <c r="BE94" i="9"/>
  <c r="R94" i="9"/>
  <c r="I94" i="9"/>
  <c r="H94" i="9"/>
  <c r="G94" i="9"/>
  <c r="F94" i="9"/>
  <c r="E94" i="9"/>
  <c r="D94" i="9"/>
  <c r="C94" i="9"/>
  <c r="BE93" i="9"/>
  <c r="R93" i="9"/>
  <c r="I93" i="9"/>
  <c r="H93" i="9"/>
  <c r="G93" i="9"/>
  <c r="F93" i="9"/>
  <c r="E93" i="9"/>
  <c r="D93" i="9"/>
  <c r="C93" i="9"/>
  <c r="BE92" i="9"/>
  <c r="R92" i="9"/>
  <c r="I92" i="9"/>
  <c r="H92" i="9"/>
  <c r="G92" i="9"/>
  <c r="F92" i="9"/>
  <c r="E92" i="9"/>
  <c r="D92" i="9"/>
  <c r="C92" i="9"/>
  <c r="BE91" i="9"/>
  <c r="R91" i="9"/>
  <c r="I91" i="9"/>
  <c r="H91" i="9"/>
  <c r="G91" i="9"/>
  <c r="F91" i="9"/>
  <c r="E91" i="9"/>
  <c r="D91" i="9"/>
  <c r="C91" i="9"/>
  <c r="BE90" i="9"/>
  <c r="R90" i="9"/>
  <c r="I90" i="9"/>
  <c r="H90" i="9"/>
  <c r="G90" i="9"/>
  <c r="F90" i="9"/>
  <c r="E90" i="9"/>
  <c r="D90" i="9"/>
  <c r="C90" i="9"/>
  <c r="BE89" i="9"/>
  <c r="R89" i="9"/>
  <c r="I89" i="9"/>
  <c r="H89" i="9"/>
  <c r="G89" i="9"/>
  <c r="F89" i="9"/>
  <c r="E89" i="9"/>
  <c r="D89" i="9"/>
  <c r="C89" i="9"/>
  <c r="BE88" i="9"/>
  <c r="R88" i="9"/>
  <c r="I88" i="9"/>
  <c r="H88" i="9"/>
  <c r="G88" i="9"/>
  <c r="F88" i="9"/>
  <c r="E88" i="9"/>
  <c r="D88" i="9"/>
  <c r="C88" i="9"/>
  <c r="BE87" i="9"/>
  <c r="R87" i="9"/>
  <c r="I87" i="9"/>
  <c r="H87" i="9"/>
  <c r="G87" i="9"/>
  <c r="F87" i="9"/>
  <c r="E87" i="9"/>
  <c r="D87" i="9"/>
  <c r="C87" i="9"/>
  <c r="BE86" i="9"/>
  <c r="R86" i="9"/>
  <c r="I86" i="9"/>
  <c r="H86" i="9"/>
  <c r="G86" i="9"/>
  <c r="F86" i="9"/>
  <c r="E86" i="9"/>
  <c r="D86" i="9"/>
  <c r="C86" i="9"/>
  <c r="BE85" i="9"/>
  <c r="R85" i="9"/>
  <c r="I85" i="9"/>
  <c r="H85" i="9"/>
  <c r="G85" i="9"/>
  <c r="F85" i="9"/>
  <c r="E85" i="9"/>
  <c r="D85" i="9"/>
  <c r="C85" i="9"/>
  <c r="BE84" i="9"/>
  <c r="R84" i="9"/>
  <c r="I84" i="9"/>
  <c r="H84" i="9"/>
  <c r="G84" i="9"/>
  <c r="F84" i="9"/>
  <c r="E84" i="9"/>
  <c r="D84" i="9"/>
  <c r="C84" i="9"/>
  <c r="BE83" i="9"/>
  <c r="R83" i="9"/>
  <c r="I83" i="9"/>
  <c r="H83" i="9"/>
  <c r="G83" i="9"/>
  <c r="F83" i="9"/>
  <c r="E83" i="9"/>
  <c r="D83" i="9"/>
  <c r="C83" i="9"/>
  <c r="BE82" i="9"/>
  <c r="R82" i="9"/>
  <c r="I82" i="9"/>
  <c r="H82" i="9"/>
  <c r="G82" i="9"/>
  <c r="F82" i="9"/>
  <c r="E82" i="9"/>
  <c r="D82" i="9"/>
  <c r="C82" i="9"/>
  <c r="BE81" i="9"/>
  <c r="R81" i="9"/>
  <c r="I81" i="9"/>
  <c r="H81" i="9"/>
  <c r="G81" i="9"/>
  <c r="F81" i="9"/>
  <c r="E81" i="9"/>
  <c r="D81" i="9"/>
  <c r="C81" i="9"/>
  <c r="BE80" i="9"/>
  <c r="R80" i="9"/>
  <c r="I80" i="9"/>
  <c r="H80" i="9"/>
  <c r="G80" i="9"/>
  <c r="F80" i="9"/>
  <c r="E80" i="9"/>
  <c r="D80" i="9"/>
  <c r="C80" i="9"/>
  <c r="BE79" i="9"/>
  <c r="R79" i="9"/>
  <c r="I79" i="9"/>
  <c r="H79" i="9"/>
  <c r="G79" i="9"/>
  <c r="F79" i="9"/>
  <c r="E79" i="9"/>
  <c r="D79" i="9"/>
  <c r="C79" i="9"/>
  <c r="BE78" i="9"/>
  <c r="R78" i="9"/>
  <c r="I78" i="9"/>
  <c r="H78" i="9"/>
  <c r="G78" i="9"/>
  <c r="F78" i="9"/>
  <c r="E78" i="9"/>
  <c r="D78" i="9"/>
  <c r="C78" i="9"/>
  <c r="BE77" i="9"/>
  <c r="R77" i="9"/>
  <c r="I77" i="9"/>
  <c r="H77" i="9"/>
  <c r="G77" i="9"/>
  <c r="F77" i="9"/>
  <c r="E77" i="9"/>
  <c r="D77" i="9"/>
  <c r="C77" i="9"/>
  <c r="BE76" i="9"/>
  <c r="R76" i="9"/>
  <c r="I76" i="9"/>
  <c r="H76" i="9"/>
  <c r="G76" i="9"/>
  <c r="F76" i="9"/>
  <c r="E76" i="9"/>
  <c r="D76" i="9"/>
  <c r="C76" i="9"/>
  <c r="BE75" i="9"/>
  <c r="R75" i="9"/>
  <c r="I75" i="9"/>
  <c r="H75" i="9"/>
  <c r="G75" i="9"/>
  <c r="F75" i="9"/>
  <c r="E75" i="9"/>
  <c r="D75" i="9"/>
  <c r="C75" i="9"/>
  <c r="BE74" i="9"/>
  <c r="R74" i="9"/>
  <c r="I74" i="9"/>
  <c r="H74" i="9"/>
  <c r="G74" i="9"/>
  <c r="F74" i="9"/>
  <c r="E74" i="9"/>
  <c r="D74" i="9"/>
  <c r="C74" i="9"/>
  <c r="BE73" i="9"/>
  <c r="R73" i="9"/>
  <c r="I73" i="9"/>
  <c r="H73" i="9"/>
  <c r="G73" i="9"/>
  <c r="F73" i="9"/>
  <c r="E73" i="9"/>
  <c r="D73" i="9"/>
  <c r="C73" i="9"/>
  <c r="BE72" i="9"/>
  <c r="R72" i="9"/>
  <c r="I72" i="9"/>
  <c r="H72" i="9"/>
  <c r="G72" i="9"/>
  <c r="F72" i="9"/>
  <c r="E72" i="9"/>
  <c r="D72" i="9"/>
  <c r="C72" i="9"/>
  <c r="BE71" i="9"/>
  <c r="R71" i="9"/>
  <c r="I71" i="9"/>
  <c r="H71" i="9"/>
  <c r="G71" i="9"/>
  <c r="F71" i="9"/>
  <c r="E71" i="9"/>
  <c r="D71" i="9"/>
  <c r="C71" i="9"/>
  <c r="BE70" i="9"/>
  <c r="R70" i="9"/>
  <c r="I70" i="9"/>
  <c r="H70" i="9"/>
  <c r="G70" i="9"/>
  <c r="F70" i="9"/>
  <c r="E70" i="9"/>
  <c r="D70" i="9"/>
  <c r="C70" i="9"/>
  <c r="BE69" i="9"/>
  <c r="R69" i="9"/>
  <c r="I69" i="9"/>
  <c r="H69" i="9"/>
  <c r="G69" i="9"/>
  <c r="F69" i="9"/>
  <c r="E69" i="9"/>
  <c r="D69" i="9"/>
  <c r="C69" i="9"/>
  <c r="BE68" i="9"/>
  <c r="R68" i="9"/>
  <c r="I68" i="9"/>
  <c r="H68" i="9"/>
  <c r="G68" i="9"/>
  <c r="F68" i="9"/>
  <c r="E68" i="9"/>
  <c r="D68" i="9"/>
  <c r="C68" i="9"/>
  <c r="BE67" i="9"/>
  <c r="R67" i="9"/>
  <c r="I67" i="9"/>
  <c r="H67" i="9"/>
  <c r="G67" i="9"/>
  <c r="F67" i="9"/>
  <c r="E67" i="9"/>
  <c r="D67" i="9"/>
  <c r="C67" i="9"/>
  <c r="BE66" i="9"/>
  <c r="R66" i="9"/>
  <c r="I66" i="9"/>
  <c r="H66" i="9"/>
  <c r="G66" i="9"/>
  <c r="F66" i="9"/>
  <c r="E66" i="9"/>
  <c r="D66" i="9"/>
  <c r="C66" i="9"/>
  <c r="BE65" i="9"/>
  <c r="R65" i="9"/>
  <c r="I65" i="9"/>
  <c r="H65" i="9"/>
  <c r="G65" i="9"/>
  <c r="F65" i="9"/>
  <c r="E65" i="9"/>
  <c r="D65" i="9"/>
  <c r="C65" i="9"/>
  <c r="BE64" i="9"/>
  <c r="R64" i="9"/>
  <c r="I64" i="9"/>
  <c r="H64" i="9"/>
  <c r="G64" i="9"/>
  <c r="F64" i="9"/>
  <c r="E64" i="9"/>
  <c r="D64" i="9"/>
  <c r="C64" i="9"/>
  <c r="BE63" i="9"/>
  <c r="R63" i="9"/>
  <c r="I63" i="9"/>
  <c r="H63" i="9"/>
  <c r="G63" i="9"/>
  <c r="F63" i="9"/>
  <c r="E63" i="9"/>
  <c r="D63" i="9"/>
  <c r="C63" i="9"/>
  <c r="BE62" i="9"/>
  <c r="R62" i="9"/>
  <c r="I62" i="9"/>
  <c r="H62" i="9"/>
  <c r="G62" i="9"/>
  <c r="F62" i="9"/>
  <c r="E62" i="9"/>
  <c r="D62" i="9"/>
  <c r="C62" i="9"/>
  <c r="BE61" i="9"/>
  <c r="R61" i="9"/>
  <c r="I61" i="9"/>
  <c r="H61" i="9"/>
  <c r="G61" i="9"/>
  <c r="F61" i="9"/>
  <c r="E61" i="9"/>
  <c r="D61" i="9"/>
  <c r="C61" i="9"/>
  <c r="BE60" i="9"/>
  <c r="R60" i="9"/>
  <c r="I60" i="9"/>
  <c r="H60" i="9"/>
  <c r="G60" i="9"/>
  <c r="F60" i="9"/>
  <c r="E60" i="9"/>
  <c r="D60" i="9"/>
  <c r="C60" i="9"/>
  <c r="BE59" i="9"/>
  <c r="R59" i="9"/>
  <c r="I59" i="9"/>
  <c r="H59" i="9"/>
  <c r="G59" i="9"/>
  <c r="F59" i="9"/>
  <c r="E59" i="9"/>
  <c r="D59" i="9"/>
  <c r="C59" i="9"/>
  <c r="BE58" i="9"/>
  <c r="R58" i="9"/>
  <c r="I58" i="9"/>
  <c r="H58" i="9"/>
  <c r="G58" i="9"/>
  <c r="F58" i="9"/>
  <c r="E58" i="9"/>
  <c r="D58" i="9"/>
  <c r="C58" i="9"/>
  <c r="BE57" i="9"/>
  <c r="R57" i="9"/>
  <c r="I57" i="9"/>
  <c r="H57" i="9"/>
  <c r="G57" i="9"/>
  <c r="F57" i="9"/>
  <c r="E57" i="9"/>
  <c r="D57" i="9"/>
  <c r="C57" i="9"/>
  <c r="BE56" i="9"/>
  <c r="R56" i="9"/>
  <c r="I56" i="9"/>
  <c r="H56" i="9"/>
  <c r="G56" i="9"/>
  <c r="F56" i="9"/>
  <c r="E56" i="9"/>
  <c r="D56" i="9"/>
  <c r="C56" i="9"/>
  <c r="BE55" i="9"/>
  <c r="R55" i="9"/>
  <c r="I55" i="9"/>
  <c r="H55" i="9"/>
  <c r="G55" i="9"/>
  <c r="F55" i="9"/>
  <c r="E55" i="9"/>
  <c r="D55" i="9"/>
  <c r="C55" i="9"/>
  <c r="BE54" i="9"/>
  <c r="R54" i="9"/>
  <c r="I54" i="9"/>
  <c r="H54" i="9"/>
  <c r="G54" i="9"/>
  <c r="F54" i="9"/>
  <c r="E54" i="9"/>
  <c r="D54" i="9"/>
  <c r="C54" i="9"/>
  <c r="BE53" i="9"/>
  <c r="R53" i="9"/>
  <c r="I53" i="9"/>
  <c r="H53" i="9"/>
  <c r="G53" i="9"/>
  <c r="F53" i="9"/>
  <c r="E53" i="9"/>
  <c r="D53" i="9"/>
  <c r="C53" i="9"/>
  <c r="BE52" i="9"/>
  <c r="R52" i="9"/>
  <c r="I52" i="9"/>
  <c r="H52" i="9"/>
  <c r="G52" i="9"/>
  <c r="F52" i="9"/>
  <c r="E52" i="9"/>
  <c r="D52" i="9"/>
  <c r="C52" i="9"/>
  <c r="BE51" i="9"/>
  <c r="R51" i="9"/>
  <c r="I51" i="9"/>
  <c r="H51" i="9"/>
  <c r="G51" i="9"/>
  <c r="F51" i="9"/>
  <c r="E51" i="9"/>
  <c r="D51" i="9"/>
  <c r="C51" i="9"/>
  <c r="BE50" i="9"/>
  <c r="R50" i="9"/>
  <c r="I50" i="9"/>
  <c r="H50" i="9"/>
  <c r="G50" i="9"/>
  <c r="F50" i="9"/>
  <c r="E50" i="9"/>
  <c r="D50" i="9"/>
  <c r="C50" i="9"/>
  <c r="BE49" i="9"/>
  <c r="R49" i="9"/>
  <c r="I49" i="9"/>
  <c r="H49" i="9"/>
  <c r="G49" i="9"/>
  <c r="F49" i="9"/>
  <c r="E49" i="9"/>
  <c r="D49" i="9"/>
  <c r="C49" i="9"/>
  <c r="BE48" i="9"/>
  <c r="R48" i="9"/>
  <c r="I48" i="9"/>
  <c r="H48" i="9"/>
  <c r="G48" i="9"/>
  <c r="F48" i="9"/>
  <c r="E48" i="9"/>
  <c r="D48" i="9"/>
  <c r="C48" i="9"/>
  <c r="BE47" i="9"/>
  <c r="R47" i="9"/>
  <c r="I47" i="9"/>
  <c r="H47" i="9"/>
  <c r="G47" i="9"/>
  <c r="F47" i="9"/>
  <c r="E47" i="9"/>
  <c r="D47" i="9"/>
  <c r="C47" i="9"/>
  <c r="R46" i="9"/>
  <c r="I46" i="9"/>
  <c r="H46" i="9"/>
  <c r="G46" i="9"/>
  <c r="F46" i="9"/>
  <c r="E46" i="9"/>
  <c r="D46" i="9"/>
  <c r="C46" i="9"/>
  <c r="BE45" i="9"/>
  <c r="R45" i="9"/>
  <c r="I45" i="9"/>
  <c r="H45" i="9"/>
  <c r="G45" i="9"/>
  <c r="F45" i="9"/>
  <c r="E45" i="9"/>
  <c r="D45" i="9"/>
  <c r="C45" i="9"/>
  <c r="BE44" i="9"/>
  <c r="R44" i="9"/>
  <c r="I44" i="9"/>
  <c r="H44" i="9"/>
  <c r="G44" i="9"/>
  <c r="F44" i="9"/>
  <c r="E44" i="9"/>
  <c r="D44" i="9"/>
  <c r="C44" i="9"/>
  <c r="BE43" i="9"/>
  <c r="R43" i="9"/>
  <c r="I43" i="9"/>
  <c r="H43" i="9"/>
  <c r="G43" i="9"/>
  <c r="F43" i="9"/>
  <c r="E43" i="9"/>
  <c r="D43" i="9"/>
  <c r="C43" i="9"/>
  <c r="BE42" i="9"/>
  <c r="R42" i="9"/>
  <c r="I42" i="9"/>
  <c r="H42" i="9"/>
  <c r="G42" i="9"/>
  <c r="F42" i="9"/>
  <c r="E42" i="9"/>
  <c r="D42" i="9"/>
  <c r="C42" i="9"/>
  <c r="BE41" i="9"/>
  <c r="R41" i="9"/>
  <c r="I41" i="9"/>
  <c r="H41" i="9"/>
  <c r="G41" i="9"/>
  <c r="F41" i="9"/>
  <c r="E41" i="9"/>
  <c r="D41" i="9"/>
  <c r="C41" i="9"/>
  <c r="BE40" i="9"/>
  <c r="R40" i="9"/>
  <c r="I40" i="9"/>
  <c r="H40" i="9"/>
  <c r="G40" i="9"/>
  <c r="F40" i="9"/>
  <c r="E40" i="9"/>
  <c r="D40" i="9"/>
  <c r="C40" i="9"/>
  <c r="BE39" i="9"/>
  <c r="R39" i="9"/>
  <c r="I39" i="9"/>
  <c r="H39" i="9"/>
  <c r="G39" i="9"/>
  <c r="F39" i="9"/>
  <c r="E39" i="9"/>
  <c r="D39" i="9"/>
  <c r="C39" i="9"/>
  <c r="BE38" i="9"/>
  <c r="R38" i="9"/>
  <c r="I38" i="9"/>
  <c r="H38" i="9"/>
  <c r="G38" i="9"/>
  <c r="F38" i="9"/>
  <c r="E38" i="9"/>
  <c r="D38" i="9"/>
  <c r="C38" i="9"/>
  <c r="BE37" i="9"/>
  <c r="R37" i="9"/>
  <c r="I37" i="9"/>
  <c r="H37" i="9"/>
  <c r="G37" i="9"/>
  <c r="F37" i="9"/>
  <c r="E37" i="9"/>
  <c r="D37" i="9"/>
  <c r="C37" i="9"/>
  <c r="BE36" i="9"/>
  <c r="R36" i="9"/>
  <c r="I36" i="9"/>
  <c r="H36" i="9"/>
  <c r="G36" i="9"/>
  <c r="F36" i="9"/>
  <c r="E36" i="9"/>
  <c r="D36" i="9"/>
  <c r="C36" i="9"/>
  <c r="BE35" i="9"/>
  <c r="R35" i="9"/>
  <c r="I35" i="9"/>
  <c r="H35" i="9"/>
  <c r="G35" i="9"/>
  <c r="F35" i="9"/>
  <c r="E35" i="9"/>
  <c r="D35" i="9"/>
  <c r="C35" i="9"/>
  <c r="BE34" i="9"/>
  <c r="R34" i="9"/>
  <c r="I34" i="9"/>
  <c r="H34" i="9"/>
  <c r="G34" i="9"/>
  <c r="F34" i="9"/>
  <c r="E34" i="9"/>
  <c r="D34" i="9"/>
  <c r="C34" i="9"/>
  <c r="BE33" i="9"/>
  <c r="R33" i="9"/>
  <c r="I33" i="9"/>
  <c r="H33" i="9"/>
  <c r="G33" i="9"/>
  <c r="F33" i="9"/>
  <c r="E33" i="9"/>
  <c r="D33" i="9"/>
  <c r="C33" i="9"/>
  <c r="BE32" i="9"/>
  <c r="R32" i="9"/>
  <c r="I32" i="9"/>
  <c r="H32" i="9"/>
  <c r="G32" i="9"/>
  <c r="F32" i="9"/>
  <c r="E32" i="9"/>
  <c r="D32" i="9"/>
  <c r="C32" i="9"/>
  <c r="BE31" i="9"/>
  <c r="R31" i="9"/>
  <c r="I31" i="9"/>
  <c r="H31" i="9"/>
  <c r="G31" i="9"/>
  <c r="F31" i="9"/>
  <c r="E31" i="9"/>
  <c r="D31" i="9"/>
  <c r="C31" i="9"/>
  <c r="BE30" i="9"/>
  <c r="R30" i="9"/>
  <c r="I30" i="9"/>
  <c r="H30" i="9"/>
  <c r="G30" i="9"/>
  <c r="F30" i="9"/>
  <c r="E30" i="9"/>
  <c r="D30" i="9"/>
  <c r="C30" i="9"/>
  <c r="BE29" i="9"/>
  <c r="R29" i="9"/>
  <c r="I29" i="9"/>
  <c r="H29" i="9"/>
  <c r="G29" i="9"/>
  <c r="F29" i="9"/>
  <c r="E29" i="9"/>
  <c r="D29" i="9"/>
  <c r="C29" i="9"/>
  <c r="BE28" i="9"/>
  <c r="R28" i="9"/>
  <c r="I28" i="9"/>
  <c r="H28" i="9"/>
  <c r="G28" i="9"/>
  <c r="F28" i="9"/>
  <c r="E28" i="9"/>
  <c r="D28" i="9"/>
  <c r="C28" i="9"/>
  <c r="BE27" i="9"/>
  <c r="R27" i="9"/>
  <c r="I27" i="9"/>
  <c r="H27" i="9"/>
  <c r="G27" i="9"/>
  <c r="F27" i="9"/>
  <c r="E27" i="9"/>
  <c r="D27" i="9"/>
  <c r="C27" i="9"/>
  <c r="BE26" i="9"/>
  <c r="R26" i="9"/>
  <c r="I26" i="9"/>
  <c r="H26" i="9"/>
  <c r="G26" i="9"/>
  <c r="F26" i="9"/>
  <c r="E26" i="9"/>
  <c r="D26" i="9"/>
  <c r="C26" i="9"/>
  <c r="BE25" i="9"/>
  <c r="R25" i="9"/>
  <c r="I25" i="9"/>
  <c r="H25" i="9"/>
  <c r="G25" i="9"/>
  <c r="F25" i="9"/>
  <c r="E25" i="9"/>
  <c r="D25" i="9"/>
  <c r="C25" i="9"/>
  <c r="BE24" i="9"/>
  <c r="R24" i="9"/>
  <c r="I24" i="9"/>
  <c r="H24" i="9"/>
  <c r="G24" i="9"/>
  <c r="F24" i="9"/>
  <c r="E24" i="9"/>
  <c r="D24" i="9"/>
  <c r="C24" i="9"/>
  <c r="BE23" i="9"/>
  <c r="R23" i="9"/>
  <c r="I23" i="9"/>
  <c r="H23" i="9"/>
  <c r="G23" i="9"/>
  <c r="F23" i="9"/>
  <c r="E23" i="9"/>
  <c r="D23" i="9"/>
  <c r="C23" i="9"/>
  <c r="BE22" i="9"/>
  <c r="R22" i="9"/>
  <c r="I22" i="9"/>
  <c r="H22" i="9"/>
  <c r="G22" i="9"/>
  <c r="F22" i="9"/>
  <c r="E22" i="9"/>
  <c r="D22" i="9"/>
  <c r="C22" i="9"/>
  <c r="BE21" i="9"/>
  <c r="R21" i="9"/>
  <c r="I21" i="9"/>
  <c r="H21" i="9"/>
  <c r="G21" i="9"/>
  <c r="F21" i="9"/>
  <c r="E21" i="9"/>
  <c r="D21" i="9"/>
  <c r="C21" i="9"/>
  <c r="BE20" i="9"/>
  <c r="R20" i="9"/>
  <c r="I20" i="9"/>
  <c r="H20" i="9"/>
  <c r="G20" i="9"/>
  <c r="F20" i="9"/>
  <c r="E20" i="9"/>
  <c r="D20" i="9"/>
  <c r="C20" i="9"/>
  <c r="BE19" i="9"/>
  <c r="R19" i="9"/>
  <c r="I19" i="9"/>
  <c r="H19" i="9"/>
  <c r="G19" i="9"/>
  <c r="F19" i="9"/>
  <c r="E19" i="9"/>
  <c r="D19" i="9"/>
  <c r="C19" i="9"/>
  <c r="BE18" i="9"/>
  <c r="R18" i="9"/>
  <c r="I18" i="9"/>
  <c r="H18" i="9"/>
  <c r="G18" i="9"/>
  <c r="F18" i="9"/>
  <c r="E18" i="9"/>
  <c r="D18" i="9"/>
  <c r="C18" i="9"/>
  <c r="BE17" i="9"/>
  <c r="R17" i="9"/>
  <c r="I17" i="9"/>
  <c r="H17" i="9"/>
  <c r="G17" i="9"/>
  <c r="F17" i="9"/>
  <c r="E17" i="9"/>
  <c r="D17" i="9"/>
  <c r="C17" i="9"/>
  <c r="BE16" i="9"/>
  <c r="R16" i="9"/>
  <c r="I16" i="9"/>
  <c r="H16" i="9"/>
  <c r="G16" i="9"/>
  <c r="F16" i="9"/>
  <c r="E16" i="9"/>
  <c r="D16" i="9"/>
  <c r="C16" i="9"/>
  <c r="BE15" i="9"/>
  <c r="R15" i="9"/>
  <c r="I15" i="9"/>
  <c r="H15" i="9"/>
  <c r="G15" i="9"/>
  <c r="F15" i="9"/>
  <c r="E15" i="9"/>
  <c r="D15" i="9"/>
  <c r="C15" i="9"/>
  <c r="BE14" i="9"/>
  <c r="R14" i="9"/>
  <c r="I14" i="9"/>
  <c r="H14" i="9"/>
  <c r="G14" i="9"/>
  <c r="F14" i="9"/>
  <c r="E14" i="9"/>
  <c r="D14" i="9"/>
  <c r="C14" i="9"/>
  <c r="BE13" i="9"/>
  <c r="R13" i="9"/>
  <c r="I13" i="9"/>
  <c r="H13" i="9"/>
  <c r="G13" i="9"/>
  <c r="F13" i="9"/>
  <c r="E13" i="9"/>
  <c r="D13" i="9"/>
  <c r="C13" i="9"/>
  <c r="BE12" i="9"/>
  <c r="R12" i="9"/>
  <c r="I12" i="9"/>
  <c r="H12" i="9"/>
  <c r="G12" i="9"/>
  <c r="F12" i="9"/>
  <c r="E12" i="9"/>
  <c r="D12" i="9"/>
  <c r="C12" i="9"/>
  <c r="BE11" i="9"/>
  <c r="R11" i="9"/>
  <c r="I11" i="9"/>
  <c r="H11" i="9"/>
  <c r="G11" i="9"/>
  <c r="F11" i="9"/>
  <c r="E11" i="9"/>
  <c r="D11" i="9"/>
  <c r="C11" i="9"/>
  <c r="BE10" i="9"/>
  <c r="R10" i="9"/>
  <c r="I10" i="9"/>
  <c r="H10" i="9"/>
  <c r="G10" i="9"/>
  <c r="F10" i="9"/>
  <c r="E10" i="9"/>
  <c r="D10" i="9"/>
  <c r="C10" i="9"/>
  <c r="BE9" i="9"/>
  <c r="R9" i="9"/>
  <c r="I9" i="9"/>
  <c r="H9" i="9"/>
  <c r="G9" i="9"/>
  <c r="F9" i="9"/>
  <c r="E9" i="9"/>
  <c r="D9" i="9"/>
  <c r="C9" i="9"/>
  <c r="BE8" i="9"/>
  <c r="R8" i="9"/>
  <c r="I8" i="9"/>
  <c r="H8" i="9"/>
  <c r="G8" i="9"/>
  <c r="F8" i="9"/>
  <c r="E8" i="9"/>
  <c r="D8" i="9"/>
  <c r="C8" i="9"/>
  <c r="BE7" i="9"/>
  <c r="R7" i="9"/>
  <c r="I7" i="9"/>
  <c r="H7" i="9"/>
  <c r="G7" i="9"/>
  <c r="F7" i="9"/>
  <c r="E7" i="9"/>
  <c r="D7" i="9"/>
  <c r="C7" i="9"/>
  <c r="BE6" i="9"/>
  <c r="R6" i="9"/>
  <c r="I6" i="9"/>
  <c r="H6" i="9"/>
  <c r="G6" i="9"/>
  <c r="F6" i="9"/>
  <c r="E6" i="9"/>
  <c r="D6" i="9"/>
  <c r="C6" i="9"/>
  <c r="BE5" i="9"/>
  <c r="R5" i="9"/>
  <c r="I5" i="9"/>
  <c r="H5" i="9"/>
  <c r="G5" i="9"/>
  <c r="F5" i="9"/>
  <c r="E5" i="9"/>
  <c r="D5" i="9"/>
  <c r="C5" i="9"/>
  <c r="BE122" i="4"/>
  <c r="BD122" i="4"/>
  <c r="BC122" i="4"/>
  <c r="BB122" i="4"/>
  <c r="BA122" i="4"/>
  <c r="AZ122" i="4"/>
  <c r="AY122" i="4"/>
  <c r="AX122" i="4"/>
  <c r="AW122" i="4"/>
  <c r="AV122" i="4"/>
  <c r="AU122" i="4"/>
  <c r="AT122" i="4"/>
  <c r="AS122" i="4"/>
  <c r="AR122" i="4"/>
  <c r="AQ122" i="4"/>
  <c r="AP122" i="4"/>
  <c r="AO122" i="4"/>
  <c r="AN122" i="4"/>
  <c r="AM122" i="4"/>
  <c r="AL122" i="4"/>
  <c r="AK122" i="4"/>
  <c r="AJ122" i="4"/>
  <c r="AI122" i="4"/>
  <c r="AH122" i="4"/>
  <c r="AG122" i="4"/>
  <c r="AF122" i="4"/>
  <c r="AE122" i="4"/>
  <c r="AD122" i="4"/>
  <c r="AB122" i="4"/>
  <c r="AA122" i="4"/>
  <c r="Z122" i="4"/>
  <c r="X122" i="4"/>
  <c r="V122" i="4"/>
  <c r="R122" i="4"/>
  <c r="Q122" i="4"/>
  <c r="P122" i="4"/>
  <c r="N122" i="4"/>
  <c r="M122" i="4"/>
  <c r="L122" i="4"/>
  <c r="K122" i="4"/>
  <c r="J122" i="4"/>
  <c r="I122" i="4"/>
  <c r="H122" i="4"/>
  <c r="G122" i="4"/>
  <c r="F122" i="4"/>
  <c r="E122" i="4"/>
  <c r="D122" i="4"/>
  <c r="C122" i="4"/>
  <c r="R121" i="4"/>
  <c r="BE120" i="4"/>
  <c r="R120" i="4"/>
  <c r="I120" i="4"/>
  <c r="H120" i="4"/>
  <c r="G120" i="4"/>
  <c r="F120" i="4"/>
  <c r="E120" i="4"/>
  <c r="D120" i="4"/>
  <c r="C120" i="4"/>
  <c r="R119" i="4"/>
  <c r="BE118" i="4"/>
  <c r="R118" i="4"/>
  <c r="I118" i="4"/>
  <c r="H118" i="4"/>
  <c r="G118" i="4"/>
  <c r="F118" i="4"/>
  <c r="E118" i="4"/>
  <c r="D118" i="4"/>
  <c r="C118" i="4"/>
  <c r="BE117" i="4"/>
  <c r="R117" i="4"/>
  <c r="I117" i="4"/>
  <c r="H117" i="4"/>
  <c r="G117" i="4"/>
  <c r="F117" i="4"/>
  <c r="E117" i="4"/>
  <c r="D117" i="4"/>
  <c r="C117" i="4"/>
  <c r="BE116" i="4"/>
  <c r="R116" i="4"/>
  <c r="I116" i="4"/>
  <c r="H116" i="4"/>
  <c r="G116" i="4"/>
  <c r="F116" i="4"/>
  <c r="E116" i="4"/>
  <c r="D116" i="4"/>
  <c r="C116" i="4"/>
  <c r="R115" i="4"/>
  <c r="I115" i="4"/>
  <c r="BE114" i="4"/>
  <c r="BD114" i="4"/>
  <c r="BC114" i="4"/>
  <c r="BB114" i="4"/>
  <c r="BA114" i="4"/>
  <c r="AZ114" i="4"/>
  <c r="AY114" i="4"/>
  <c r="AX114" i="4"/>
  <c r="AW114" i="4"/>
  <c r="AV114" i="4"/>
  <c r="AU114" i="4"/>
  <c r="AT114" i="4"/>
  <c r="AS114" i="4"/>
  <c r="AR114" i="4"/>
  <c r="AQ114" i="4"/>
  <c r="AP114" i="4"/>
  <c r="AO114" i="4"/>
  <c r="AN114" i="4"/>
  <c r="AM114" i="4"/>
  <c r="AL114" i="4"/>
  <c r="AK114" i="4"/>
  <c r="AJ114" i="4"/>
  <c r="AI114" i="4"/>
  <c r="AH114" i="4"/>
  <c r="AG114" i="4"/>
  <c r="AF114" i="4"/>
  <c r="AE114" i="4"/>
  <c r="AD114" i="4"/>
  <c r="AC114" i="4"/>
  <c r="AB114" i="4"/>
  <c r="AA114" i="4"/>
  <c r="Z114" i="4"/>
  <c r="Y114" i="4"/>
  <c r="X114" i="4"/>
  <c r="W114" i="4"/>
  <c r="V114" i="4"/>
  <c r="R114" i="4"/>
  <c r="Q114" i="4"/>
  <c r="P114" i="4"/>
  <c r="N114" i="4"/>
  <c r="M114" i="4"/>
  <c r="L114" i="4"/>
  <c r="K114" i="4"/>
  <c r="J114" i="4"/>
  <c r="I114" i="4"/>
  <c r="H114" i="4"/>
  <c r="G114" i="4"/>
  <c r="F114" i="4"/>
  <c r="E114" i="4"/>
  <c r="D114" i="4"/>
  <c r="C114" i="4"/>
  <c r="BE113" i="4"/>
  <c r="R113" i="4"/>
  <c r="I113" i="4"/>
  <c r="H113" i="4"/>
  <c r="G113" i="4"/>
  <c r="F113" i="4"/>
  <c r="E113" i="4"/>
  <c r="D113" i="4"/>
  <c r="C113" i="4"/>
  <c r="BE112" i="4"/>
  <c r="R112" i="4"/>
  <c r="I112" i="4"/>
  <c r="H112" i="4"/>
  <c r="G112" i="4"/>
  <c r="F112" i="4"/>
  <c r="E112" i="4"/>
  <c r="D112" i="4"/>
  <c r="C112" i="4"/>
  <c r="BE111" i="4"/>
  <c r="R111" i="4"/>
  <c r="I111" i="4"/>
  <c r="H111" i="4"/>
  <c r="G111" i="4"/>
  <c r="F111" i="4"/>
  <c r="E111" i="4"/>
  <c r="D111" i="4"/>
  <c r="C111" i="4"/>
  <c r="BE110" i="4"/>
  <c r="R110" i="4"/>
  <c r="I110" i="4"/>
  <c r="H110" i="4"/>
  <c r="G110" i="4"/>
  <c r="F110" i="4"/>
  <c r="E110" i="4"/>
  <c r="D110" i="4"/>
  <c r="C110" i="4"/>
  <c r="BE109" i="4"/>
  <c r="R109" i="4"/>
  <c r="I109" i="4"/>
  <c r="H109" i="4"/>
  <c r="G109" i="4"/>
  <c r="F109" i="4"/>
  <c r="E109" i="4"/>
  <c r="D109" i="4"/>
  <c r="C109" i="4"/>
  <c r="BE108" i="4"/>
  <c r="R108" i="4"/>
  <c r="I108" i="4"/>
  <c r="H108" i="4"/>
  <c r="G108" i="4"/>
  <c r="F108" i="4"/>
  <c r="E108" i="4"/>
  <c r="D108" i="4"/>
  <c r="C108" i="4"/>
  <c r="BE107" i="4"/>
  <c r="R107" i="4"/>
  <c r="I107" i="4"/>
  <c r="H107" i="4"/>
  <c r="G107" i="4"/>
  <c r="F107" i="4"/>
  <c r="E107" i="4"/>
  <c r="D107" i="4"/>
  <c r="C107" i="4"/>
  <c r="BE106" i="4"/>
  <c r="R106" i="4"/>
  <c r="I106" i="4"/>
  <c r="H106" i="4"/>
  <c r="G106" i="4"/>
  <c r="F106" i="4"/>
  <c r="E106" i="4"/>
  <c r="D106" i="4"/>
  <c r="C106" i="4"/>
  <c r="BE105" i="4"/>
  <c r="R105" i="4"/>
  <c r="I105" i="4"/>
  <c r="H105" i="4"/>
  <c r="G105" i="4"/>
  <c r="F105" i="4"/>
  <c r="E105" i="4"/>
  <c r="D105" i="4"/>
  <c r="C105" i="4"/>
  <c r="BE104" i="4"/>
  <c r="R104" i="4"/>
  <c r="I104" i="4"/>
  <c r="H104" i="4"/>
  <c r="G104" i="4"/>
  <c r="F104" i="4"/>
  <c r="E104" i="4"/>
  <c r="D104" i="4"/>
  <c r="C104" i="4"/>
  <c r="BE103" i="4"/>
  <c r="R103" i="4"/>
  <c r="I103" i="4"/>
  <c r="H103" i="4"/>
  <c r="G103" i="4"/>
  <c r="F103" i="4"/>
  <c r="E103" i="4"/>
  <c r="D103" i="4"/>
  <c r="C103" i="4"/>
  <c r="BE102" i="4"/>
  <c r="R102" i="4"/>
  <c r="I102" i="4"/>
  <c r="H102" i="4"/>
  <c r="G102" i="4"/>
  <c r="F102" i="4"/>
  <c r="E102" i="4"/>
  <c r="D102" i="4"/>
  <c r="C102" i="4"/>
  <c r="BE101" i="4"/>
  <c r="R101" i="4"/>
  <c r="I101" i="4"/>
  <c r="H101" i="4"/>
  <c r="G101" i="4"/>
  <c r="F101" i="4"/>
  <c r="E101" i="4"/>
  <c r="D101" i="4"/>
  <c r="C101" i="4"/>
  <c r="BE100" i="4"/>
  <c r="R100" i="4"/>
  <c r="I100" i="4"/>
  <c r="H100" i="4"/>
  <c r="G100" i="4"/>
  <c r="F100" i="4"/>
  <c r="E100" i="4"/>
  <c r="D100" i="4"/>
  <c r="C100" i="4"/>
  <c r="BE99" i="4"/>
  <c r="R99" i="4"/>
  <c r="I99" i="4"/>
  <c r="H99" i="4"/>
  <c r="G99" i="4"/>
  <c r="F99" i="4"/>
  <c r="E99" i="4"/>
  <c r="D99" i="4"/>
  <c r="C99" i="4"/>
  <c r="BE98" i="4"/>
  <c r="R98" i="4"/>
  <c r="I98" i="4"/>
  <c r="H98" i="4"/>
  <c r="G98" i="4"/>
  <c r="F98" i="4"/>
  <c r="E98" i="4"/>
  <c r="D98" i="4"/>
  <c r="C98" i="4"/>
  <c r="BE97" i="4"/>
  <c r="R97" i="4"/>
  <c r="I97" i="4"/>
  <c r="H97" i="4"/>
  <c r="G97" i="4"/>
  <c r="F97" i="4"/>
  <c r="E97" i="4"/>
  <c r="D97" i="4"/>
  <c r="C97" i="4"/>
  <c r="BE96" i="4"/>
  <c r="R96" i="4"/>
  <c r="I96" i="4"/>
  <c r="H96" i="4"/>
  <c r="G96" i="4"/>
  <c r="F96" i="4"/>
  <c r="E96" i="4"/>
  <c r="D96" i="4"/>
  <c r="C96" i="4"/>
  <c r="BE95" i="4"/>
  <c r="R95" i="4"/>
  <c r="I95" i="4"/>
  <c r="H95" i="4"/>
  <c r="G95" i="4"/>
  <c r="F95" i="4"/>
  <c r="E95" i="4"/>
  <c r="D95" i="4"/>
  <c r="C95" i="4"/>
  <c r="BE94" i="4"/>
  <c r="R94" i="4"/>
  <c r="I94" i="4"/>
  <c r="H94" i="4"/>
  <c r="G94" i="4"/>
  <c r="F94" i="4"/>
  <c r="E94" i="4"/>
  <c r="D94" i="4"/>
  <c r="C94" i="4"/>
  <c r="BE93" i="4"/>
  <c r="R93" i="4"/>
  <c r="I93" i="4"/>
  <c r="H93" i="4"/>
  <c r="G93" i="4"/>
  <c r="F93" i="4"/>
  <c r="E93" i="4"/>
  <c r="D93" i="4"/>
  <c r="C93" i="4"/>
  <c r="BE92" i="4"/>
  <c r="R92" i="4"/>
  <c r="I92" i="4"/>
  <c r="H92" i="4"/>
  <c r="G92" i="4"/>
  <c r="F92" i="4"/>
  <c r="E92" i="4"/>
  <c r="D92" i="4"/>
  <c r="C92" i="4"/>
  <c r="BE91" i="4"/>
  <c r="R91" i="4"/>
  <c r="I91" i="4"/>
  <c r="H91" i="4"/>
  <c r="G91" i="4"/>
  <c r="F91" i="4"/>
  <c r="E91" i="4"/>
  <c r="D91" i="4"/>
  <c r="C91" i="4"/>
  <c r="BE90" i="4"/>
  <c r="R90" i="4"/>
  <c r="I90" i="4"/>
  <c r="H90" i="4"/>
  <c r="G90" i="4"/>
  <c r="F90" i="4"/>
  <c r="E90" i="4"/>
  <c r="D90" i="4"/>
  <c r="C90" i="4"/>
  <c r="BE89" i="4"/>
  <c r="R89" i="4"/>
  <c r="I89" i="4"/>
  <c r="H89" i="4"/>
  <c r="G89" i="4"/>
  <c r="F89" i="4"/>
  <c r="E89" i="4"/>
  <c r="D89" i="4"/>
  <c r="C89" i="4"/>
  <c r="BE88" i="4"/>
  <c r="R88" i="4"/>
  <c r="I88" i="4"/>
  <c r="H88" i="4"/>
  <c r="G88" i="4"/>
  <c r="F88" i="4"/>
  <c r="E88" i="4"/>
  <c r="D88" i="4"/>
  <c r="C88" i="4"/>
  <c r="BE87" i="4"/>
  <c r="R87" i="4"/>
  <c r="I87" i="4"/>
  <c r="H87" i="4"/>
  <c r="G87" i="4"/>
  <c r="F87" i="4"/>
  <c r="E87" i="4"/>
  <c r="D87" i="4"/>
  <c r="C87" i="4"/>
  <c r="BE86" i="4"/>
  <c r="R86" i="4"/>
  <c r="I86" i="4"/>
  <c r="H86" i="4"/>
  <c r="G86" i="4"/>
  <c r="F86" i="4"/>
  <c r="E86" i="4"/>
  <c r="D86" i="4"/>
  <c r="C86" i="4"/>
  <c r="BE85" i="4"/>
  <c r="R85" i="4"/>
  <c r="I85" i="4"/>
  <c r="H85" i="4"/>
  <c r="G85" i="4"/>
  <c r="F85" i="4"/>
  <c r="E85" i="4"/>
  <c r="D85" i="4"/>
  <c r="C85" i="4"/>
  <c r="BE84" i="4"/>
  <c r="R84" i="4"/>
  <c r="I84" i="4"/>
  <c r="H84" i="4"/>
  <c r="G84" i="4"/>
  <c r="F84" i="4"/>
  <c r="E84" i="4"/>
  <c r="D84" i="4"/>
  <c r="C84" i="4"/>
  <c r="BE83" i="4"/>
  <c r="R83" i="4"/>
  <c r="I83" i="4"/>
  <c r="H83" i="4"/>
  <c r="G83" i="4"/>
  <c r="F83" i="4"/>
  <c r="E83" i="4"/>
  <c r="D83" i="4"/>
  <c r="C83" i="4"/>
  <c r="BE82" i="4"/>
  <c r="R82" i="4"/>
  <c r="I82" i="4"/>
  <c r="H82" i="4"/>
  <c r="G82" i="4"/>
  <c r="F82" i="4"/>
  <c r="E82" i="4"/>
  <c r="D82" i="4"/>
  <c r="C82" i="4"/>
  <c r="BE81" i="4"/>
  <c r="R81" i="4"/>
  <c r="I81" i="4"/>
  <c r="H81" i="4"/>
  <c r="G81" i="4"/>
  <c r="F81" i="4"/>
  <c r="E81" i="4"/>
  <c r="D81" i="4"/>
  <c r="C81" i="4"/>
  <c r="BE80" i="4"/>
  <c r="R80" i="4"/>
  <c r="I80" i="4"/>
  <c r="H80" i="4"/>
  <c r="G80" i="4"/>
  <c r="F80" i="4"/>
  <c r="E80" i="4"/>
  <c r="D80" i="4"/>
  <c r="C80" i="4"/>
  <c r="BE79" i="4"/>
  <c r="R79" i="4"/>
  <c r="I79" i="4"/>
  <c r="H79" i="4"/>
  <c r="G79" i="4"/>
  <c r="F79" i="4"/>
  <c r="E79" i="4"/>
  <c r="D79" i="4"/>
  <c r="C79" i="4"/>
  <c r="BE78" i="4"/>
  <c r="R78" i="4"/>
  <c r="I78" i="4"/>
  <c r="H78" i="4"/>
  <c r="G78" i="4"/>
  <c r="F78" i="4"/>
  <c r="E78" i="4"/>
  <c r="D78" i="4"/>
  <c r="C78" i="4"/>
  <c r="BE77" i="4"/>
  <c r="R77" i="4"/>
  <c r="I77" i="4"/>
  <c r="H77" i="4"/>
  <c r="G77" i="4"/>
  <c r="F77" i="4"/>
  <c r="E77" i="4"/>
  <c r="D77" i="4"/>
  <c r="C77" i="4"/>
  <c r="BE76" i="4"/>
  <c r="R76" i="4"/>
  <c r="I76" i="4"/>
  <c r="H76" i="4"/>
  <c r="G76" i="4"/>
  <c r="F76" i="4"/>
  <c r="E76" i="4"/>
  <c r="D76" i="4"/>
  <c r="C76" i="4"/>
  <c r="BE75" i="4"/>
  <c r="R75" i="4"/>
  <c r="I75" i="4"/>
  <c r="H75" i="4"/>
  <c r="G75" i="4"/>
  <c r="F75" i="4"/>
  <c r="E75" i="4"/>
  <c r="D75" i="4"/>
  <c r="C75" i="4"/>
  <c r="BE74" i="4"/>
  <c r="R74" i="4"/>
  <c r="I74" i="4"/>
  <c r="H74" i="4"/>
  <c r="G74" i="4"/>
  <c r="F74" i="4"/>
  <c r="E74" i="4"/>
  <c r="D74" i="4"/>
  <c r="C74" i="4"/>
  <c r="BE73" i="4"/>
  <c r="R73" i="4"/>
  <c r="I73" i="4"/>
  <c r="H73" i="4"/>
  <c r="G73" i="4"/>
  <c r="F73" i="4"/>
  <c r="E73" i="4"/>
  <c r="D73" i="4"/>
  <c r="C73" i="4"/>
  <c r="BE72" i="4"/>
  <c r="R72" i="4"/>
  <c r="I72" i="4"/>
  <c r="H72" i="4"/>
  <c r="G72" i="4"/>
  <c r="F72" i="4"/>
  <c r="E72" i="4"/>
  <c r="D72" i="4"/>
  <c r="C72" i="4"/>
  <c r="BE71" i="4"/>
  <c r="R71" i="4"/>
  <c r="I71" i="4"/>
  <c r="H71" i="4"/>
  <c r="G71" i="4"/>
  <c r="F71" i="4"/>
  <c r="E71" i="4"/>
  <c r="D71" i="4"/>
  <c r="C71" i="4"/>
  <c r="BE70" i="4"/>
  <c r="R70" i="4"/>
  <c r="I70" i="4"/>
  <c r="H70" i="4"/>
  <c r="G70" i="4"/>
  <c r="F70" i="4"/>
  <c r="E70" i="4"/>
  <c r="D70" i="4"/>
  <c r="C70" i="4"/>
  <c r="BE69" i="4"/>
  <c r="R69" i="4"/>
  <c r="I69" i="4"/>
  <c r="H69" i="4"/>
  <c r="G69" i="4"/>
  <c r="F69" i="4"/>
  <c r="E69" i="4"/>
  <c r="D69" i="4"/>
  <c r="C69" i="4"/>
  <c r="BE68" i="4"/>
  <c r="R68" i="4"/>
  <c r="I68" i="4"/>
  <c r="H68" i="4"/>
  <c r="G68" i="4"/>
  <c r="F68" i="4"/>
  <c r="E68" i="4"/>
  <c r="D68" i="4"/>
  <c r="C68" i="4"/>
  <c r="BE67" i="4"/>
  <c r="R67" i="4"/>
  <c r="I67" i="4"/>
  <c r="H67" i="4"/>
  <c r="G67" i="4"/>
  <c r="F67" i="4"/>
  <c r="E67" i="4"/>
  <c r="D67" i="4"/>
  <c r="C67" i="4"/>
  <c r="BE66" i="4"/>
  <c r="R66" i="4"/>
  <c r="I66" i="4"/>
  <c r="H66" i="4"/>
  <c r="G66" i="4"/>
  <c r="F66" i="4"/>
  <c r="E66" i="4"/>
  <c r="D66" i="4"/>
  <c r="C66" i="4"/>
  <c r="BE65" i="4"/>
  <c r="R65" i="4"/>
  <c r="I65" i="4"/>
  <c r="H65" i="4"/>
  <c r="G65" i="4"/>
  <c r="F65" i="4"/>
  <c r="E65" i="4"/>
  <c r="D65" i="4"/>
  <c r="C65" i="4"/>
  <c r="BE64" i="4"/>
  <c r="R64" i="4"/>
  <c r="I64" i="4"/>
  <c r="H64" i="4"/>
  <c r="G64" i="4"/>
  <c r="F64" i="4"/>
  <c r="E64" i="4"/>
  <c r="D64" i="4"/>
  <c r="C64" i="4"/>
  <c r="BE63" i="4"/>
  <c r="R63" i="4"/>
  <c r="I63" i="4"/>
  <c r="H63" i="4"/>
  <c r="G63" i="4"/>
  <c r="F63" i="4"/>
  <c r="E63" i="4"/>
  <c r="D63" i="4"/>
  <c r="C63" i="4"/>
  <c r="BE62" i="4"/>
  <c r="R62" i="4"/>
  <c r="I62" i="4"/>
  <c r="H62" i="4"/>
  <c r="G62" i="4"/>
  <c r="F62" i="4"/>
  <c r="E62" i="4"/>
  <c r="D62" i="4"/>
  <c r="C62" i="4"/>
  <c r="BE61" i="4"/>
  <c r="R61" i="4"/>
  <c r="I61" i="4"/>
  <c r="H61" i="4"/>
  <c r="G61" i="4"/>
  <c r="F61" i="4"/>
  <c r="E61" i="4"/>
  <c r="D61" i="4"/>
  <c r="C61" i="4"/>
  <c r="BE60" i="4"/>
  <c r="R60" i="4"/>
  <c r="I60" i="4"/>
  <c r="H60" i="4"/>
  <c r="G60" i="4"/>
  <c r="F60" i="4"/>
  <c r="E60" i="4"/>
  <c r="D60" i="4"/>
  <c r="C60" i="4"/>
  <c r="BE59" i="4"/>
  <c r="R59" i="4"/>
  <c r="I59" i="4"/>
  <c r="H59" i="4"/>
  <c r="G59" i="4"/>
  <c r="F59" i="4"/>
  <c r="E59" i="4"/>
  <c r="D59" i="4"/>
  <c r="C59" i="4"/>
  <c r="BE58" i="4"/>
  <c r="R58" i="4"/>
  <c r="I58" i="4"/>
  <c r="H58" i="4"/>
  <c r="G58" i="4"/>
  <c r="F58" i="4"/>
  <c r="E58" i="4"/>
  <c r="D58" i="4"/>
  <c r="C58" i="4"/>
  <c r="BE57" i="4"/>
  <c r="R57" i="4"/>
  <c r="I57" i="4"/>
  <c r="H57" i="4"/>
  <c r="G57" i="4"/>
  <c r="F57" i="4"/>
  <c r="E57" i="4"/>
  <c r="D57" i="4"/>
  <c r="C57" i="4"/>
  <c r="BE56" i="4"/>
  <c r="R56" i="4"/>
  <c r="I56" i="4"/>
  <c r="H56" i="4"/>
  <c r="G56" i="4"/>
  <c r="F56" i="4"/>
  <c r="E56" i="4"/>
  <c r="D56" i="4"/>
  <c r="C56" i="4"/>
  <c r="BE55" i="4"/>
  <c r="R55" i="4"/>
  <c r="I55" i="4"/>
  <c r="H55" i="4"/>
  <c r="G55" i="4"/>
  <c r="F55" i="4"/>
  <c r="E55" i="4"/>
  <c r="D55" i="4"/>
  <c r="C55" i="4"/>
  <c r="BE54" i="4"/>
  <c r="R54" i="4"/>
  <c r="I54" i="4"/>
  <c r="H54" i="4"/>
  <c r="G54" i="4"/>
  <c r="F54" i="4"/>
  <c r="E54" i="4"/>
  <c r="D54" i="4"/>
  <c r="C54" i="4"/>
  <c r="BE53" i="4"/>
  <c r="R53" i="4"/>
  <c r="I53" i="4"/>
  <c r="H53" i="4"/>
  <c r="G53" i="4"/>
  <c r="F53" i="4"/>
  <c r="E53" i="4"/>
  <c r="D53" i="4"/>
  <c r="C53" i="4"/>
  <c r="BE52" i="4"/>
  <c r="R52" i="4"/>
  <c r="I52" i="4"/>
  <c r="H52" i="4"/>
  <c r="G52" i="4"/>
  <c r="F52" i="4"/>
  <c r="E52" i="4"/>
  <c r="D52" i="4"/>
  <c r="C52" i="4"/>
  <c r="BE51" i="4"/>
  <c r="R51" i="4"/>
  <c r="I51" i="4"/>
  <c r="H51" i="4"/>
  <c r="G51" i="4"/>
  <c r="F51" i="4"/>
  <c r="E51" i="4"/>
  <c r="D51" i="4"/>
  <c r="C51" i="4"/>
  <c r="BE50" i="4"/>
  <c r="R50" i="4"/>
  <c r="I50" i="4"/>
  <c r="H50" i="4"/>
  <c r="G50" i="4"/>
  <c r="F50" i="4"/>
  <c r="E50" i="4"/>
  <c r="D50" i="4"/>
  <c r="C50" i="4"/>
  <c r="BE49" i="4"/>
  <c r="R49" i="4"/>
  <c r="I49" i="4"/>
  <c r="H49" i="4"/>
  <c r="G49" i="4"/>
  <c r="F49" i="4"/>
  <c r="E49" i="4"/>
  <c r="D49" i="4"/>
  <c r="C49" i="4"/>
  <c r="BE48" i="4"/>
  <c r="R48" i="4"/>
  <c r="I48" i="4"/>
  <c r="H48" i="4"/>
  <c r="G48" i="4"/>
  <c r="F48" i="4"/>
  <c r="E48" i="4"/>
  <c r="D48" i="4"/>
  <c r="C48" i="4"/>
  <c r="BE47" i="4"/>
  <c r="R47" i="4"/>
  <c r="I47" i="4"/>
  <c r="H47" i="4"/>
  <c r="G47" i="4"/>
  <c r="F47" i="4"/>
  <c r="E47" i="4"/>
  <c r="D47" i="4"/>
  <c r="C47" i="4"/>
  <c r="R46" i="4"/>
  <c r="I46" i="4"/>
  <c r="H46" i="4"/>
  <c r="G46" i="4"/>
  <c r="F46" i="4"/>
  <c r="E46" i="4"/>
  <c r="D46" i="4"/>
  <c r="C46" i="4"/>
  <c r="BE45" i="4"/>
  <c r="R45" i="4"/>
  <c r="I45" i="4"/>
  <c r="H45" i="4"/>
  <c r="G45" i="4"/>
  <c r="F45" i="4"/>
  <c r="E45" i="4"/>
  <c r="D45" i="4"/>
  <c r="C45" i="4"/>
  <c r="BE44" i="4"/>
  <c r="R44" i="4"/>
  <c r="I44" i="4"/>
  <c r="H44" i="4"/>
  <c r="G44" i="4"/>
  <c r="F44" i="4"/>
  <c r="E44" i="4"/>
  <c r="D44" i="4"/>
  <c r="C44" i="4"/>
  <c r="BE43" i="4"/>
  <c r="R43" i="4"/>
  <c r="I43" i="4"/>
  <c r="H43" i="4"/>
  <c r="G43" i="4"/>
  <c r="F43" i="4"/>
  <c r="E43" i="4"/>
  <c r="D43" i="4"/>
  <c r="C43" i="4"/>
  <c r="BE42" i="4"/>
  <c r="R42" i="4"/>
  <c r="I42" i="4"/>
  <c r="H42" i="4"/>
  <c r="G42" i="4"/>
  <c r="F42" i="4"/>
  <c r="E42" i="4"/>
  <c r="D42" i="4"/>
  <c r="C42" i="4"/>
  <c r="BE41" i="4"/>
  <c r="R41" i="4"/>
  <c r="I41" i="4"/>
  <c r="H41" i="4"/>
  <c r="G41" i="4"/>
  <c r="F41" i="4"/>
  <c r="E41" i="4"/>
  <c r="D41" i="4"/>
  <c r="C41" i="4"/>
  <c r="BE40" i="4"/>
  <c r="R40" i="4"/>
  <c r="I40" i="4"/>
  <c r="H40" i="4"/>
  <c r="G40" i="4"/>
  <c r="F40" i="4"/>
  <c r="E40" i="4"/>
  <c r="D40" i="4"/>
  <c r="C40" i="4"/>
  <c r="BE39" i="4"/>
  <c r="R39" i="4"/>
  <c r="I39" i="4"/>
  <c r="H39" i="4"/>
  <c r="G39" i="4"/>
  <c r="F39" i="4"/>
  <c r="E39" i="4"/>
  <c r="D39" i="4"/>
  <c r="C39" i="4"/>
  <c r="BE38" i="4"/>
  <c r="R38" i="4"/>
  <c r="I38" i="4"/>
  <c r="H38" i="4"/>
  <c r="G38" i="4"/>
  <c r="F38" i="4"/>
  <c r="E38" i="4"/>
  <c r="D38" i="4"/>
  <c r="C38" i="4"/>
  <c r="BE37" i="4"/>
  <c r="R37" i="4"/>
  <c r="I37" i="4"/>
  <c r="H37" i="4"/>
  <c r="G37" i="4"/>
  <c r="F37" i="4"/>
  <c r="E37" i="4"/>
  <c r="D37" i="4"/>
  <c r="C37" i="4"/>
  <c r="BE36" i="4"/>
  <c r="R36" i="4"/>
  <c r="I36" i="4"/>
  <c r="H36" i="4"/>
  <c r="G36" i="4"/>
  <c r="F36" i="4"/>
  <c r="E36" i="4"/>
  <c r="D36" i="4"/>
  <c r="C36" i="4"/>
  <c r="BE35" i="4"/>
  <c r="R35" i="4"/>
  <c r="I35" i="4"/>
  <c r="H35" i="4"/>
  <c r="G35" i="4"/>
  <c r="F35" i="4"/>
  <c r="E35" i="4"/>
  <c r="D35" i="4"/>
  <c r="C35" i="4"/>
  <c r="BE34" i="4"/>
  <c r="R34" i="4"/>
  <c r="I34" i="4"/>
  <c r="H34" i="4"/>
  <c r="G34" i="4"/>
  <c r="F34" i="4"/>
  <c r="E34" i="4"/>
  <c r="D34" i="4"/>
  <c r="C34" i="4"/>
  <c r="BE33" i="4"/>
  <c r="R33" i="4"/>
  <c r="I33" i="4"/>
  <c r="H33" i="4"/>
  <c r="G33" i="4"/>
  <c r="F33" i="4"/>
  <c r="E33" i="4"/>
  <c r="D33" i="4"/>
  <c r="C33" i="4"/>
  <c r="BE32" i="4"/>
  <c r="R32" i="4"/>
  <c r="I32" i="4"/>
  <c r="H32" i="4"/>
  <c r="G32" i="4"/>
  <c r="F32" i="4"/>
  <c r="E32" i="4"/>
  <c r="D32" i="4"/>
  <c r="C32" i="4"/>
  <c r="BE31" i="4"/>
  <c r="R31" i="4"/>
  <c r="I31" i="4"/>
  <c r="H31" i="4"/>
  <c r="G31" i="4"/>
  <c r="F31" i="4"/>
  <c r="E31" i="4"/>
  <c r="D31" i="4"/>
  <c r="C31" i="4"/>
  <c r="BE30" i="4"/>
  <c r="R30" i="4"/>
  <c r="I30" i="4"/>
  <c r="H30" i="4"/>
  <c r="G30" i="4"/>
  <c r="F30" i="4"/>
  <c r="E30" i="4"/>
  <c r="D30" i="4"/>
  <c r="C30" i="4"/>
  <c r="BE29" i="4"/>
  <c r="R29" i="4"/>
  <c r="I29" i="4"/>
  <c r="H29" i="4"/>
  <c r="G29" i="4"/>
  <c r="F29" i="4"/>
  <c r="E29" i="4"/>
  <c r="D29" i="4"/>
  <c r="C29" i="4"/>
  <c r="BE28" i="4"/>
  <c r="R28" i="4"/>
  <c r="I28" i="4"/>
  <c r="H28" i="4"/>
  <c r="G28" i="4"/>
  <c r="F28" i="4"/>
  <c r="E28" i="4"/>
  <c r="D28" i="4"/>
  <c r="C28" i="4"/>
  <c r="BE27" i="4"/>
  <c r="R27" i="4"/>
  <c r="I27" i="4"/>
  <c r="H27" i="4"/>
  <c r="G27" i="4"/>
  <c r="F27" i="4"/>
  <c r="E27" i="4"/>
  <c r="D27" i="4"/>
  <c r="C27" i="4"/>
  <c r="BE26" i="4"/>
  <c r="R26" i="4"/>
  <c r="I26" i="4"/>
  <c r="H26" i="4"/>
  <c r="G26" i="4"/>
  <c r="F26" i="4"/>
  <c r="E26" i="4"/>
  <c r="D26" i="4"/>
  <c r="C26" i="4"/>
  <c r="BE25" i="4"/>
  <c r="R25" i="4"/>
  <c r="I25" i="4"/>
  <c r="H25" i="4"/>
  <c r="G25" i="4"/>
  <c r="F25" i="4"/>
  <c r="E25" i="4"/>
  <c r="D25" i="4"/>
  <c r="C25" i="4"/>
  <c r="BE24" i="4"/>
  <c r="R24" i="4"/>
  <c r="I24" i="4"/>
  <c r="H24" i="4"/>
  <c r="G24" i="4"/>
  <c r="F24" i="4"/>
  <c r="E24" i="4"/>
  <c r="D24" i="4"/>
  <c r="C24" i="4"/>
  <c r="BE23" i="4"/>
  <c r="R23" i="4"/>
  <c r="I23" i="4"/>
  <c r="H23" i="4"/>
  <c r="G23" i="4"/>
  <c r="F23" i="4"/>
  <c r="E23" i="4"/>
  <c r="D23" i="4"/>
  <c r="C23" i="4"/>
  <c r="BE22" i="4"/>
  <c r="R22" i="4"/>
  <c r="I22" i="4"/>
  <c r="H22" i="4"/>
  <c r="G22" i="4"/>
  <c r="F22" i="4"/>
  <c r="E22" i="4"/>
  <c r="D22" i="4"/>
  <c r="C22" i="4"/>
  <c r="BE21" i="4"/>
  <c r="R21" i="4"/>
  <c r="I21" i="4"/>
  <c r="H21" i="4"/>
  <c r="G21" i="4"/>
  <c r="F21" i="4"/>
  <c r="E21" i="4"/>
  <c r="D21" i="4"/>
  <c r="C21" i="4"/>
  <c r="BE20" i="4"/>
  <c r="R20" i="4"/>
  <c r="I20" i="4"/>
  <c r="H20" i="4"/>
  <c r="G20" i="4"/>
  <c r="F20" i="4"/>
  <c r="E20" i="4"/>
  <c r="D20" i="4"/>
  <c r="C20" i="4"/>
  <c r="BE19" i="4"/>
  <c r="R19" i="4"/>
  <c r="I19" i="4"/>
  <c r="H19" i="4"/>
  <c r="G19" i="4"/>
  <c r="F19" i="4"/>
  <c r="E19" i="4"/>
  <c r="D19" i="4"/>
  <c r="C19" i="4"/>
  <c r="BE18" i="4"/>
  <c r="R18" i="4"/>
  <c r="I18" i="4"/>
  <c r="H18" i="4"/>
  <c r="G18" i="4"/>
  <c r="F18" i="4"/>
  <c r="E18" i="4"/>
  <c r="D18" i="4"/>
  <c r="C18" i="4"/>
  <c r="BE17" i="4"/>
  <c r="R17" i="4"/>
  <c r="I17" i="4"/>
  <c r="H17" i="4"/>
  <c r="G17" i="4"/>
  <c r="F17" i="4"/>
  <c r="E17" i="4"/>
  <c r="D17" i="4"/>
  <c r="C17" i="4"/>
  <c r="BE16" i="4"/>
  <c r="R16" i="4"/>
  <c r="I16" i="4"/>
  <c r="H16" i="4"/>
  <c r="G16" i="4"/>
  <c r="F16" i="4"/>
  <c r="E16" i="4"/>
  <c r="D16" i="4"/>
  <c r="C16" i="4"/>
  <c r="BE15" i="4"/>
  <c r="R15" i="4"/>
  <c r="I15" i="4"/>
  <c r="H15" i="4"/>
  <c r="G15" i="4"/>
  <c r="F15" i="4"/>
  <c r="E15" i="4"/>
  <c r="D15" i="4"/>
  <c r="C15" i="4"/>
  <c r="BE14" i="4"/>
  <c r="R14" i="4"/>
  <c r="I14" i="4"/>
  <c r="H14" i="4"/>
  <c r="G14" i="4"/>
  <c r="F14" i="4"/>
  <c r="E14" i="4"/>
  <c r="D14" i="4"/>
  <c r="C14" i="4"/>
  <c r="BE13" i="4"/>
  <c r="R13" i="4"/>
  <c r="I13" i="4"/>
  <c r="H13" i="4"/>
  <c r="G13" i="4"/>
  <c r="F13" i="4"/>
  <c r="E13" i="4"/>
  <c r="D13" i="4"/>
  <c r="C13" i="4"/>
  <c r="BE12" i="4"/>
  <c r="R12" i="4"/>
  <c r="I12" i="4"/>
  <c r="H12" i="4"/>
  <c r="G12" i="4"/>
  <c r="F12" i="4"/>
  <c r="E12" i="4"/>
  <c r="D12" i="4"/>
  <c r="C12" i="4"/>
  <c r="BE11" i="4"/>
  <c r="R11" i="4"/>
  <c r="I11" i="4"/>
  <c r="H11" i="4"/>
  <c r="G11" i="4"/>
  <c r="F11" i="4"/>
  <c r="E11" i="4"/>
  <c r="D11" i="4"/>
  <c r="C11" i="4"/>
  <c r="BE10" i="4"/>
  <c r="R10" i="4"/>
  <c r="I10" i="4"/>
  <c r="H10" i="4"/>
  <c r="G10" i="4"/>
  <c r="F10" i="4"/>
  <c r="E10" i="4"/>
  <c r="D10" i="4"/>
  <c r="C10" i="4"/>
  <c r="BE9" i="4"/>
  <c r="R9" i="4"/>
  <c r="I9" i="4"/>
  <c r="H9" i="4"/>
  <c r="G9" i="4"/>
  <c r="F9" i="4"/>
  <c r="E9" i="4"/>
  <c r="D9" i="4"/>
  <c r="C9" i="4"/>
  <c r="BE8" i="4"/>
  <c r="R8" i="4"/>
  <c r="I8" i="4"/>
  <c r="H8" i="4"/>
  <c r="G8" i="4"/>
  <c r="F8" i="4"/>
  <c r="E8" i="4"/>
  <c r="D8" i="4"/>
  <c r="C8" i="4"/>
  <c r="BE7" i="4"/>
  <c r="R7" i="4"/>
  <c r="I7" i="4"/>
  <c r="H7" i="4"/>
  <c r="G7" i="4"/>
  <c r="F7" i="4"/>
  <c r="E7" i="4"/>
  <c r="D7" i="4"/>
  <c r="C7" i="4"/>
  <c r="BE6" i="4"/>
  <c r="R6" i="4"/>
  <c r="I6" i="4"/>
  <c r="H6" i="4"/>
  <c r="G6" i="4"/>
  <c r="F6" i="4"/>
  <c r="E6" i="4"/>
  <c r="D6" i="4"/>
  <c r="C6" i="4"/>
  <c r="BE5" i="4"/>
  <c r="R5" i="4"/>
  <c r="I5" i="4"/>
  <c r="H5" i="4"/>
  <c r="G5" i="4"/>
  <c r="F5" i="4"/>
  <c r="E5" i="4"/>
  <c r="D5" i="4"/>
  <c r="C5" i="4"/>
  <c r="BE122" i="8"/>
  <c r="BD122" i="8"/>
  <c r="BC122" i="8"/>
  <c r="BB122" i="8"/>
  <c r="BA122" i="8"/>
  <c r="AZ122" i="8"/>
  <c r="AY122" i="8"/>
  <c r="AX122" i="8"/>
  <c r="AW122" i="8"/>
  <c r="AV122" i="8"/>
  <c r="AU122" i="8"/>
  <c r="AT122" i="8"/>
  <c r="AS122" i="8"/>
  <c r="AR122" i="8"/>
  <c r="AQ122" i="8"/>
  <c r="AP122" i="8"/>
  <c r="AO122" i="8"/>
  <c r="AN122" i="8"/>
  <c r="AM122" i="8"/>
  <c r="AL122" i="8"/>
  <c r="AK122" i="8"/>
  <c r="AJ122" i="8"/>
  <c r="AI122" i="8"/>
  <c r="AH122" i="8"/>
  <c r="AG122" i="8"/>
  <c r="AF122" i="8"/>
  <c r="AE122" i="8"/>
  <c r="AD122" i="8"/>
  <c r="AB122" i="8"/>
  <c r="AA122" i="8"/>
  <c r="Z122" i="8"/>
  <c r="X122" i="8"/>
  <c r="V122" i="8"/>
  <c r="R122" i="8"/>
  <c r="Q122" i="8"/>
  <c r="P122" i="8"/>
  <c r="N122" i="8"/>
  <c r="M122" i="8"/>
  <c r="L122" i="8"/>
  <c r="K122" i="8"/>
  <c r="J122" i="8"/>
  <c r="I122" i="8"/>
  <c r="H122" i="8"/>
  <c r="G122" i="8"/>
  <c r="F122" i="8"/>
  <c r="E122" i="8"/>
  <c r="D122" i="8"/>
  <c r="C122" i="8"/>
  <c r="R121" i="8"/>
  <c r="BE120" i="8"/>
  <c r="R120" i="8"/>
  <c r="I120" i="8"/>
  <c r="H120" i="8"/>
  <c r="G120" i="8"/>
  <c r="F120" i="8"/>
  <c r="E120" i="8"/>
  <c r="D120" i="8"/>
  <c r="C120" i="8"/>
  <c r="R119" i="8"/>
  <c r="BE118" i="8"/>
  <c r="R118" i="8"/>
  <c r="I118" i="8"/>
  <c r="H118" i="8"/>
  <c r="G118" i="8"/>
  <c r="F118" i="8"/>
  <c r="E118" i="8"/>
  <c r="D118" i="8"/>
  <c r="C118" i="8"/>
  <c r="BE117" i="8"/>
  <c r="R117" i="8"/>
  <c r="I117" i="8"/>
  <c r="H117" i="8"/>
  <c r="G117" i="8"/>
  <c r="F117" i="8"/>
  <c r="E117" i="8"/>
  <c r="D117" i="8"/>
  <c r="C117" i="8"/>
  <c r="BE116" i="8"/>
  <c r="R116" i="8"/>
  <c r="I116" i="8"/>
  <c r="H116" i="8"/>
  <c r="G116" i="8"/>
  <c r="F116" i="8"/>
  <c r="E116" i="8"/>
  <c r="D116" i="8"/>
  <c r="C116" i="8"/>
  <c r="R115" i="8"/>
  <c r="I115" i="8"/>
  <c r="BE114" i="8"/>
  <c r="BD114" i="8"/>
  <c r="BC114" i="8"/>
  <c r="BB114" i="8"/>
  <c r="BA114" i="8"/>
  <c r="AZ114" i="8"/>
  <c r="AY114" i="8"/>
  <c r="AX114" i="8"/>
  <c r="AW114" i="8"/>
  <c r="AV114" i="8"/>
  <c r="AU114" i="8"/>
  <c r="AT114" i="8"/>
  <c r="AS114" i="8"/>
  <c r="AR114" i="8"/>
  <c r="AQ114" i="8"/>
  <c r="AP114" i="8"/>
  <c r="AO114" i="8"/>
  <c r="AN114" i="8"/>
  <c r="AM114" i="8"/>
  <c r="AL114" i="8"/>
  <c r="AK114" i="8"/>
  <c r="AJ114" i="8"/>
  <c r="AI114" i="8"/>
  <c r="AH114" i="8"/>
  <c r="AG114" i="8"/>
  <c r="AF114" i="8"/>
  <c r="AE114" i="8"/>
  <c r="AD114" i="8"/>
  <c r="AC114" i="8"/>
  <c r="AB114" i="8"/>
  <c r="AA114" i="8"/>
  <c r="Z114" i="8"/>
  <c r="Y114" i="8"/>
  <c r="X114" i="8"/>
  <c r="W114" i="8"/>
  <c r="V114" i="8"/>
  <c r="R114" i="8"/>
  <c r="Q114" i="8"/>
  <c r="P114" i="8"/>
  <c r="N114" i="8"/>
  <c r="M114" i="8"/>
  <c r="L114" i="8"/>
  <c r="K114" i="8"/>
  <c r="J114" i="8"/>
  <c r="I114" i="8"/>
  <c r="H114" i="8"/>
  <c r="G114" i="8"/>
  <c r="F114" i="8"/>
  <c r="E114" i="8"/>
  <c r="D114" i="8"/>
  <c r="C114" i="8"/>
  <c r="BE113" i="8"/>
  <c r="R113" i="8"/>
  <c r="I113" i="8"/>
  <c r="H113" i="8"/>
  <c r="G113" i="8"/>
  <c r="F113" i="8"/>
  <c r="E113" i="8"/>
  <c r="D113" i="8"/>
  <c r="C113" i="8"/>
  <c r="BE112" i="8"/>
  <c r="R112" i="8"/>
  <c r="I112" i="8"/>
  <c r="H112" i="8"/>
  <c r="G112" i="8"/>
  <c r="F112" i="8"/>
  <c r="E112" i="8"/>
  <c r="D112" i="8"/>
  <c r="C112" i="8"/>
  <c r="BE111" i="8"/>
  <c r="R111" i="8"/>
  <c r="I111" i="8"/>
  <c r="H111" i="8"/>
  <c r="G111" i="8"/>
  <c r="F111" i="8"/>
  <c r="E111" i="8"/>
  <c r="D111" i="8"/>
  <c r="C111" i="8"/>
  <c r="BE110" i="8"/>
  <c r="R110" i="8"/>
  <c r="I110" i="8"/>
  <c r="H110" i="8"/>
  <c r="G110" i="8"/>
  <c r="F110" i="8"/>
  <c r="E110" i="8"/>
  <c r="D110" i="8"/>
  <c r="C110" i="8"/>
  <c r="BE109" i="8"/>
  <c r="R109" i="8"/>
  <c r="I109" i="8"/>
  <c r="H109" i="8"/>
  <c r="G109" i="8"/>
  <c r="F109" i="8"/>
  <c r="E109" i="8"/>
  <c r="D109" i="8"/>
  <c r="C109" i="8"/>
  <c r="BE108" i="8"/>
  <c r="R108" i="8"/>
  <c r="I108" i="8"/>
  <c r="H108" i="8"/>
  <c r="G108" i="8"/>
  <c r="F108" i="8"/>
  <c r="E108" i="8"/>
  <c r="D108" i="8"/>
  <c r="C108" i="8"/>
  <c r="BE107" i="8"/>
  <c r="R107" i="8"/>
  <c r="I107" i="8"/>
  <c r="H107" i="8"/>
  <c r="G107" i="8"/>
  <c r="F107" i="8"/>
  <c r="E107" i="8"/>
  <c r="D107" i="8"/>
  <c r="C107" i="8"/>
  <c r="BE106" i="8"/>
  <c r="R106" i="8"/>
  <c r="I106" i="8"/>
  <c r="H106" i="8"/>
  <c r="G106" i="8"/>
  <c r="F106" i="8"/>
  <c r="E106" i="8"/>
  <c r="D106" i="8"/>
  <c r="C106" i="8"/>
  <c r="BE105" i="8"/>
  <c r="R105" i="8"/>
  <c r="I105" i="8"/>
  <c r="H105" i="8"/>
  <c r="G105" i="8"/>
  <c r="F105" i="8"/>
  <c r="E105" i="8"/>
  <c r="D105" i="8"/>
  <c r="C105" i="8"/>
  <c r="BE104" i="8"/>
  <c r="R104" i="8"/>
  <c r="I104" i="8"/>
  <c r="H104" i="8"/>
  <c r="G104" i="8"/>
  <c r="F104" i="8"/>
  <c r="E104" i="8"/>
  <c r="D104" i="8"/>
  <c r="C104" i="8"/>
  <c r="BE103" i="8"/>
  <c r="R103" i="8"/>
  <c r="I103" i="8"/>
  <c r="H103" i="8"/>
  <c r="G103" i="8"/>
  <c r="F103" i="8"/>
  <c r="E103" i="8"/>
  <c r="D103" i="8"/>
  <c r="C103" i="8"/>
  <c r="BE102" i="8"/>
  <c r="R102" i="8"/>
  <c r="I102" i="8"/>
  <c r="H102" i="8"/>
  <c r="G102" i="8"/>
  <c r="F102" i="8"/>
  <c r="E102" i="8"/>
  <c r="D102" i="8"/>
  <c r="C102" i="8"/>
  <c r="BE101" i="8"/>
  <c r="R101" i="8"/>
  <c r="I101" i="8"/>
  <c r="H101" i="8"/>
  <c r="G101" i="8"/>
  <c r="F101" i="8"/>
  <c r="E101" i="8"/>
  <c r="D101" i="8"/>
  <c r="C101" i="8"/>
  <c r="BE100" i="8"/>
  <c r="R100" i="8"/>
  <c r="I100" i="8"/>
  <c r="H100" i="8"/>
  <c r="G100" i="8"/>
  <c r="F100" i="8"/>
  <c r="E100" i="8"/>
  <c r="D100" i="8"/>
  <c r="C100" i="8"/>
  <c r="BE99" i="8"/>
  <c r="R99" i="8"/>
  <c r="I99" i="8"/>
  <c r="H99" i="8"/>
  <c r="G99" i="8"/>
  <c r="F99" i="8"/>
  <c r="E99" i="8"/>
  <c r="D99" i="8"/>
  <c r="C99" i="8"/>
  <c r="BE98" i="8"/>
  <c r="R98" i="8"/>
  <c r="I98" i="8"/>
  <c r="H98" i="8"/>
  <c r="G98" i="8"/>
  <c r="F98" i="8"/>
  <c r="E98" i="8"/>
  <c r="D98" i="8"/>
  <c r="C98" i="8"/>
  <c r="BE97" i="8"/>
  <c r="R97" i="8"/>
  <c r="I97" i="8"/>
  <c r="H97" i="8"/>
  <c r="G97" i="8"/>
  <c r="F97" i="8"/>
  <c r="E97" i="8"/>
  <c r="D97" i="8"/>
  <c r="C97" i="8"/>
  <c r="BE96" i="8"/>
  <c r="R96" i="8"/>
  <c r="I96" i="8"/>
  <c r="H96" i="8"/>
  <c r="G96" i="8"/>
  <c r="F96" i="8"/>
  <c r="E96" i="8"/>
  <c r="D96" i="8"/>
  <c r="C96" i="8"/>
  <c r="BE95" i="8"/>
  <c r="R95" i="8"/>
  <c r="I95" i="8"/>
  <c r="H95" i="8"/>
  <c r="G95" i="8"/>
  <c r="F95" i="8"/>
  <c r="E95" i="8"/>
  <c r="D95" i="8"/>
  <c r="C95" i="8"/>
  <c r="BE94" i="8"/>
  <c r="R94" i="8"/>
  <c r="I94" i="8"/>
  <c r="H94" i="8"/>
  <c r="G94" i="8"/>
  <c r="F94" i="8"/>
  <c r="E94" i="8"/>
  <c r="D94" i="8"/>
  <c r="C94" i="8"/>
  <c r="BE93" i="8"/>
  <c r="R93" i="8"/>
  <c r="I93" i="8"/>
  <c r="H93" i="8"/>
  <c r="G93" i="8"/>
  <c r="F93" i="8"/>
  <c r="E93" i="8"/>
  <c r="D93" i="8"/>
  <c r="C93" i="8"/>
  <c r="BE92" i="8"/>
  <c r="R92" i="8"/>
  <c r="I92" i="8"/>
  <c r="H92" i="8"/>
  <c r="G92" i="8"/>
  <c r="F92" i="8"/>
  <c r="E92" i="8"/>
  <c r="D92" i="8"/>
  <c r="C92" i="8"/>
  <c r="BE91" i="8"/>
  <c r="R91" i="8"/>
  <c r="I91" i="8"/>
  <c r="H91" i="8"/>
  <c r="G91" i="8"/>
  <c r="F91" i="8"/>
  <c r="E91" i="8"/>
  <c r="D91" i="8"/>
  <c r="C91" i="8"/>
  <c r="BE90" i="8"/>
  <c r="R90" i="8"/>
  <c r="I90" i="8"/>
  <c r="H90" i="8"/>
  <c r="G90" i="8"/>
  <c r="F90" i="8"/>
  <c r="E90" i="8"/>
  <c r="D90" i="8"/>
  <c r="C90" i="8"/>
  <c r="BE89" i="8"/>
  <c r="R89" i="8"/>
  <c r="I89" i="8"/>
  <c r="H89" i="8"/>
  <c r="G89" i="8"/>
  <c r="F89" i="8"/>
  <c r="E89" i="8"/>
  <c r="D89" i="8"/>
  <c r="C89" i="8"/>
  <c r="BE88" i="8"/>
  <c r="R88" i="8"/>
  <c r="I88" i="8"/>
  <c r="H88" i="8"/>
  <c r="G88" i="8"/>
  <c r="F88" i="8"/>
  <c r="E88" i="8"/>
  <c r="D88" i="8"/>
  <c r="C88" i="8"/>
  <c r="BE87" i="8"/>
  <c r="R87" i="8"/>
  <c r="I87" i="8"/>
  <c r="H87" i="8"/>
  <c r="G87" i="8"/>
  <c r="F87" i="8"/>
  <c r="E87" i="8"/>
  <c r="D87" i="8"/>
  <c r="C87" i="8"/>
  <c r="BE86" i="8"/>
  <c r="R86" i="8"/>
  <c r="I86" i="8"/>
  <c r="H86" i="8"/>
  <c r="G86" i="8"/>
  <c r="F86" i="8"/>
  <c r="E86" i="8"/>
  <c r="D86" i="8"/>
  <c r="C86" i="8"/>
  <c r="BE85" i="8"/>
  <c r="R85" i="8"/>
  <c r="I85" i="8"/>
  <c r="H85" i="8"/>
  <c r="G85" i="8"/>
  <c r="F85" i="8"/>
  <c r="E85" i="8"/>
  <c r="D85" i="8"/>
  <c r="C85" i="8"/>
  <c r="BE84" i="8"/>
  <c r="R84" i="8"/>
  <c r="I84" i="8"/>
  <c r="H84" i="8"/>
  <c r="G84" i="8"/>
  <c r="F84" i="8"/>
  <c r="E84" i="8"/>
  <c r="D84" i="8"/>
  <c r="C84" i="8"/>
  <c r="BE83" i="8"/>
  <c r="R83" i="8"/>
  <c r="I83" i="8"/>
  <c r="H83" i="8"/>
  <c r="G83" i="8"/>
  <c r="F83" i="8"/>
  <c r="E83" i="8"/>
  <c r="D83" i="8"/>
  <c r="C83" i="8"/>
  <c r="BE82" i="8"/>
  <c r="R82" i="8"/>
  <c r="I82" i="8"/>
  <c r="H82" i="8"/>
  <c r="G82" i="8"/>
  <c r="F82" i="8"/>
  <c r="E82" i="8"/>
  <c r="D82" i="8"/>
  <c r="C82" i="8"/>
  <c r="BE81" i="8"/>
  <c r="R81" i="8"/>
  <c r="I81" i="8"/>
  <c r="H81" i="8"/>
  <c r="G81" i="8"/>
  <c r="F81" i="8"/>
  <c r="E81" i="8"/>
  <c r="D81" i="8"/>
  <c r="C81" i="8"/>
  <c r="BE80" i="8"/>
  <c r="R80" i="8"/>
  <c r="I80" i="8"/>
  <c r="H80" i="8"/>
  <c r="G80" i="8"/>
  <c r="F80" i="8"/>
  <c r="E80" i="8"/>
  <c r="D80" i="8"/>
  <c r="C80" i="8"/>
  <c r="BE79" i="8"/>
  <c r="R79" i="8"/>
  <c r="I79" i="8"/>
  <c r="H79" i="8"/>
  <c r="G79" i="8"/>
  <c r="F79" i="8"/>
  <c r="E79" i="8"/>
  <c r="D79" i="8"/>
  <c r="C79" i="8"/>
  <c r="BE78" i="8"/>
  <c r="R78" i="8"/>
  <c r="I78" i="8"/>
  <c r="H78" i="8"/>
  <c r="G78" i="8"/>
  <c r="F78" i="8"/>
  <c r="E78" i="8"/>
  <c r="D78" i="8"/>
  <c r="C78" i="8"/>
  <c r="BE77" i="8"/>
  <c r="R77" i="8"/>
  <c r="I77" i="8"/>
  <c r="H77" i="8"/>
  <c r="G77" i="8"/>
  <c r="F77" i="8"/>
  <c r="E77" i="8"/>
  <c r="D77" i="8"/>
  <c r="C77" i="8"/>
  <c r="BE76" i="8"/>
  <c r="R76" i="8"/>
  <c r="I76" i="8"/>
  <c r="H76" i="8"/>
  <c r="G76" i="8"/>
  <c r="F76" i="8"/>
  <c r="E76" i="8"/>
  <c r="D76" i="8"/>
  <c r="C76" i="8"/>
  <c r="BE75" i="8"/>
  <c r="R75" i="8"/>
  <c r="I75" i="8"/>
  <c r="H75" i="8"/>
  <c r="G75" i="8"/>
  <c r="F75" i="8"/>
  <c r="E75" i="8"/>
  <c r="D75" i="8"/>
  <c r="C75" i="8"/>
  <c r="BE74" i="8"/>
  <c r="R74" i="8"/>
  <c r="I74" i="8"/>
  <c r="H74" i="8"/>
  <c r="G74" i="8"/>
  <c r="F74" i="8"/>
  <c r="E74" i="8"/>
  <c r="D74" i="8"/>
  <c r="C74" i="8"/>
  <c r="BE73" i="8"/>
  <c r="R73" i="8"/>
  <c r="I73" i="8"/>
  <c r="H73" i="8"/>
  <c r="G73" i="8"/>
  <c r="F73" i="8"/>
  <c r="E73" i="8"/>
  <c r="D73" i="8"/>
  <c r="C73" i="8"/>
  <c r="BE72" i="8"/>
  <c r="R72" i="8"/>
  <c r="I72" i="8"/>
  <c r="H72" i="8"/>
  <c r="G72" i="8"/>
  <c r="F72" i="8"/>
  <c r="E72" i="8"/>
  <c r="D72" i="8"/>
  <c r="C72" i="8"/>
  <c r="BE71" i="8"/>
  <c r="R71" i="8"/>
  <c r="I71" i="8"/>
  <c r="H71" i="8"/>
  <c r="G71" i="8"/>
  <c r="F71" i="8"/>
  <c r="E71" i="8"/>
  <c r="D71" i="8"/>
  <c r="C71" i="8"/>
  <c r="BE70" i="8"/>
  <c r="R70" i="8"/>
  <c r="I70" i="8"/>
  <c r="H70" i="8"/>
  <c r="G70" i="8"/>
  <c r="F70" i="8"/>
  <c r="E70" i="8"/>
  <c r="D70" i="8"/>
  <c r="C70" i="8"/>
  <c r="BE69" i="8"/>
  <c r="R69" i="8"/>
  <c r="I69" i="8"/>
  <c r="H69" i="8"/>
  <c r="G69" i="8"/>
  <c r="F69" i="8"/>
  <c r="E69" i="8"/>
  <c r="D69" i="8"/>
  <c r="C69" i="8"/>
  <c r="BE68" i="8"/>
  <c r="R68" i="8"/>
  <c r="I68" i="8"/>
  <c r="H68" i="8"/>
  <c r="G68" i="8"/>
  <c r="F68" i="8"/>
  <c r="E68" i="8"/>
  <c r="D68" i="8"/>
  <c r="C68" i="8"/>
  <c r="BE67" i="8"/>
  <c r="R67" i="8"/>
  <c r="I67" i="8"/>
  <c r="H67" i="8"/>
  <c r="G67" i="8"/>
  <c r="F67" i="8"/>
  <c r="E67" i="8"/>
  <c r="D67" i="8"/>
  <c r="C67" i="8"/>
  <c r="BE66" i="8"/>
  <c r="R66" i="8"/>
  <c r="I66" i="8"/>
  <c r="H66" i="8"/>
  <c r="G66" i="8"/>
  <c r="F66" i="8"/>
  <c r="E66" i="8"/>
  <c r="D66" i="8"/>
  <c r="C66" i="8"/>
  <c r="BE65" i="8"/>
  <c r="R65" i="8"/>
  <c r="I65" i="8"/>
  <c r="H65" i="8"/>
  <c r="G65" i="8"/>
  <c r="F65" i="8"/>
  <c r="E65" i="8"/>
  <c r="D65" i="8"/>
  <c r="C65" i="8"/>
  <c r="BE64" i="8"/>
  <c r="R64" i="8"/>
  <c r="I64" i="8"/>
  <c r="H64" i="8"/>
  <c r="G64" i="8"/>
  <c r="F64" i="8"/>
  <c r="E64" i="8"/>
  <c r="D64" i="8"/>
  <c r="C64" i="8"/>
  <c r="BE63" i="8"/>
  <c r="R63" i="8"/>
  <c r="I63" i="8"/>
  <c r="H63" i="8"/>
  <c r="G63" i="8"/>
  <c r="F63" i="8"/>
  <c r="E63" i="8"/>
  <c r="D63" i="8"/>
  <c r="C63" i="8"/>
  <c r="BE62" i="8"/>
  <c r="R62" i="8"/>
  <c r="I62" i="8"/>
  <c r="H62" i="8"/>
  <c r="G62" i="8"/>
  <c r="F62" i="8"/>
  <c r="E62" i="8"/>
  <c r="D62" i="8"/>
  <c r="C62" i="8"/>
  <c r="BE61" i="8"/>
  <c r="R61" i="8"/>
  <c r="I61" i="8"/>
  <c r="H61" i="8"/>
  <c r="G61" i="8"/>
  <c r="F61" i="8"/>
  <c r="E61" i="8"/>
  <c r="D61" i="8"/>
  <c r="C61" i="8"/>
  <c r="BE60" i="8"/>
  <c r="R60" i="8"/>
  <c r="I60" i="8"/>
  <c r="H60" i="8"/>
  <c r="G60" i="8"/>
  <c r="F60" i="8"/>
  <c r="E60" i="8"/>
  <c r="D60" i="8"/>
  <c r="C60" i="8"/>
  <c r="BE59" i="8"/>
  <c r="R59" i="8"/>
  <c r="I59" i="8"/>
  <c r="H59" i="8"/>
  <c r="G59" i="8"/>
  <c r="F59" i="8"/>
  <c r="E59" i="8"/>
  <c r="D59" i="8"/>
  <c r="C59" i="8"/>
  <c r="BE58" i="8"/>
  <c r="R58" i="8"/>
  <c r="I58" i="8"/>
  <c r="H58" i="8"/>
  <c r="G58" i="8"/>
  <c r="F58" i="8"/>
  <c r="E58" i="8"/>
  <c r="D58" i="8"/>
  <c r="C58" i="8"/>
  <c r="BE57" i="8"/>
  <c r="R57" i="8"/>
  <c r="I57" i="8"/>
  <c r="H57" i="8"/>
  <c r="G57" i="8"/>
  <c r="F57" i="8"/>
  <c r="E57" i="8"/>
  <c r="D57" i="8"/>
  <c r="C57" i="8"/>
  <c r="BE56" i="8"/>
  <c r="R56" i="8"/>
  <c r="I56" i="8"/>
  <c r="H56" i="8"/>
  <c r="G56" i="8"/>
  <c r="F56" i="8"/>
  <c r="E56" i="8"/>
  <c r="D56" i="8"/>
  <c r="C56" i="8"/>
  <c r="BE55" i="8"/>
  <c r="R55" i="8"/>
  <c r="I55" i="8"/>
  <c r="H55" i="8"/>
  <c r="G55" i="8"/>
  <c r="F55" i="8"/>
  <c r="E55" i="8"/>
  <c r="D55" i="8"/>
  <c r="C55" i="8"/>
  <c r="BE54" i="8"/>
  <c r="R54" i="8"/>
  <c r="I54" i="8"/>
  <c r="H54" i="8"/>
  <c r="G54" i="8"/>
  <c r="F54" i="8"/>
  <c r="E54" i="8"/>
  <c r="D54" i="8"/>
  <c r="C54" i="8"/>
  <c r="BE53" i="8"/>
  <c r="R53" i="8"/>
  <c r="I53" i="8"/>
  <c r="H53" i="8"/>
  <c r="G53" i="8"/>
  <c r="F53" i="8"/>
  <c r="E53" i="8"/>
  <c r="D53" i="8"/>
  <c r="C53" i="8"/>
  <c r="BE52" i="8"/>
  <c r="R52" i="8"/>
  <c r="I52" i="8"/>
  <c r="H52" i="8"/>
  <c r="G52" i="8"/>
  <c r="F52" i="8"/>
  <c r="E52" i="8"/>
  <c r="D52" i="8"/>
  <c r="C52" i="8"/>
  <c r="BE51" i="8"/>
  <c r="R51" i="8"/>
  <c r="I51" i="8"/>
  <c r="H51" i="8"/>
  <c r="G51" i="8"/>
  <c r="F51" i="8"/>
  <c r="E51" i="8"/>
  <c r="D51" i="8"/>
  <c r="C51" i="8"/>
  <c r="BE50" i="8"/>
  <c r="R50" i="8"/>
  <c r="I50" i="8"/>
  <c r="H50" i="8"/>
  <c r="G50" i="8"/>
  <c r="F50" i="8"/>
  <c r="E50" i="8"/>
  <c r="D50" i="8"/>
  <c r="C50" i="8"/>
  <c r="BE49" i="8"/>
  <c r="R49" i="8"/>
  <c r="I49" i="8"/>
  <c r="H49" i="8"/>
  <c r="G49" i="8"/>
  <c r="F49" i="8"/>
  <c r="E49" i="8"/>
  <c r="D49" i="8"/>
  <c r="C49" i="8"/>
  <c r="BE48" i="8"/>
  <c r="R48" i="8"/>
  <c r="I48" i="8"/>
  <c r="H48" i="8"/>
  <c r="G48" i="8"/>
  <c r="F48" i="8"/>
  <c r="E48" i="8"/>
  <c r="D48" i="8"/>
  <c r="C48" i="8"/>
  <c r="BE47" i="8"/>
  <c r="R47" i="8"/>
  <c r="I47" i="8"/>
  <c r="H47" i="8"/>
  <c r="G47" i="8"/>
  <c r="F47" i="8"/>
  <c r="E47" i="8"/>
  <c r="D47" i="8"/>
  <c r="C47" i="8"/>
  <c r="R46" i="8"/>
  <c r="I46" i="8"/>
  <c r="H46" i="8"/>
  <c r="G46" i="8"/>
  <c r="F46" i="8"/>
  <c r="E46" i="8"/>
  <c r="D46" i="8"/>
  <c r="C46" i="8"/>
  <c r="BE45" i="8"/>
  <c r="R45" i="8"/>
  <c r="I45" i="8"/>
  <c r="H45" i="8"/>
  <c r="G45" i="8"/>
  <c r="F45" i="8"/>
  <c r="E45" i="8"/>
  <c r="D45" i="8"/>
  <c r="C45" i="8"/>
  <c r="BE44" i="8"/>
  <c r="R44" i="8"/>
  <c r="I44" i="8"/>
  <c r="H44" i="8"/>
  <c r="G44" i="8"/>
  <c r="F44" i="8"/>
  <c r="E44" i="8"/>
  <c r="D44" i="8"/>
  <c r="C44" i="8"/>
  <c r="BE43" i="8"/>
  <c r="R43" i="8"/>
  <c r="I43" i="8"/>
  <c r="H43" i="8"/>
  <c r="G43" i="8"/>
  <c r="F43" i="8"/>
  <c r="E43" i="8"/>
  <c r="D43" i="8"/>
  <c r="C43" i="8"/>
  <c r="BE42" i="8"/>
  <c r="R42" i="8"/>
  <c r="I42" i="8"/>
  <c r="H42" i="8"/>
  <c r="G42" i="8"/>
  <c r="F42" i="8"/>
  <c r="E42" i="8"/>
  <c r="D42" i="8"/>
  <c r="C42" i="8"/>
  <c r="BE41" i="8"/>
  <c r="R41" i="8"/>
  <c r="I41" i="8"/>
  <c r="H41" i="8"/>
  <c r="G41" i="8"/>
  <c r="F41" i="8"/>
  <c r="E41" i="8"/>
  <c r="D41" i="8"/>
  <c r="C41" i="8"/>
  <c r="BE40" i="8"/>
  <c r="R40" i="8"/>
  <c r="I40" i="8"/>
  <c r="H40" i="8"/>
  <c r="G40" i="8"/>
  <c r="F40" i="8"/>
  <c r="E40" i="8"/>
  <c r="D40" i="8"/>
  <c r="C40" i="8"/>
  <c r="BE39" i="8"/>
  <c r="R39" i="8"/>
  <c r="I39" i="8"/>
  <c r="H39" i="8"/>
  <c r="G39" i="8"/>
  <c r="F39" i="8"/>
  <c r="E39" i="8"/>
  <c r="D39" i="8"/>
  <c r="C39" i="8"/>
  <c r="BE38" i="8"/>
  <c r="R38" i="8"/>
  <c r="I38" i="8"/>
  <c r="H38" i="8"/>
  <c r="G38" i="8"/>
  <c r="F38" i="8"/>
  <c r="E38" i="8"/>
  <c r="D38" i="8"/>
  <c r="C38" i="8"/>
  <c r="BE37" i="8"/>
  <c r="R37" i="8"/>
  <c r="I37" i="8"/>
  <c r="H37" i="8"/>
  <c r="G37" i="8"/>
  <c r="F37" i="8"/>
  <c r="E37" i="8"/>
  <c r="D37" i="8"/>
  <c r="C37" i="8"/>
  <c r="BE36" i="8"/>
  <c r="R36" i="8"/>
  <c r="I36" i="8"/>
  <c r="H36" i="8"/>
  <c r="G36" i="8"/>
  <c r="F36" i="8"/>
  <c r="E36" i="8"/>
  <c r="D36" i="8"/>
  <c r="C36" i="8"/>
  <c r="BE35" i="8"/>
  <c r="R35" i="8"/>
  <c r="I35" i="8"/>
  <c r="H35" i="8"/>
  <c r="G35" i="8"/>
  <c r="F35" i="8"/>
  <c r="E35" i="8"/>
  <c r="D35" i="8"/>
  <c r="C35" i="8"/>
  <c r="BE34" i="8"/>
  <c r="R34" i="8"/>
  <c r="I34" i="8"/>
  <c r="H34" i="8"/>
  <c r="G34" i="8"/>
  <c r="F34" i="8"/>
  <c r="E34" i="8"/>
  <c r="D34" i="8"/>
  <c r="C34" i="8"/>
  <c r="BE33" i="8"/>
  <c r="R33" i="8"/>
  <c r="I33" i="8"/>
  <c r="H33" i="8"/>
  <c r="G33" i="8"/>
  <c r="F33" i="8"/>
  <c r="E33" i="8"/>
  <c r="D33" i="8"/>
  <c r="C33" i="8"/>
  <c r="BE32" i="8"/>
  <c r="R32" i="8"/>
  <c r="I32" i="8"/>
  <c r="H32" i="8"/>
  <c r="G32" i="8"/>
  <c r="F32" i="8"/>
  <c r="E32" i="8"/>
  <c r="D32" i="8"/>
  <c r="C32" i="8"/>
  <c r="BE31" i="8"/>
  <c r="R31" i="8"/>
  <c r="I31" i="8"/>
  <c r="H31" i="8"/>
  <c r="G31" i="8"/>
  <c r="F31" i="8"/>
  <c r="E31" i="8"/>
  <c r="D31" i="8"/>
  <c r="C31" i="8"/>
  <c r="BE30" i="8"/>
  <c r="R30" i="8"/>
  <c r="I30" i="8"/>
  <c r="H30" i="8"/>
  <c r="G30" i="8"/>
  <c r="F30" i="8"/>
  <c r="E30" i="8"/>
  <c r="D30" i="8"/>
  <c r="C30" i="8"/>
  <c r="BE29" i="8"/>
  <c r="R29" i="8"/>
  <c r="I29" i="8"/>
  <c r="H29" i="8"/>
  <c r="G29" i="8"/>
  <c r="F29" i="8"/>
  <c r="E29" i="8"/>
  <c r="D29" i="8"/>
  <c r="C29" i="8"/>
  <c r="BE28" i="8"/>
  <c r="R28" i="8"/>
  <c r="I28" i="8"/>
  <c r="H28" i="8"/>
  <c r="G28" i="8"/>
  <c r="F28" i="8"/>
  <c r="E28" i="8"/>
  <c r="D28" i="8"/>
  <c r="C28" i="8"/>
  <c r="BE27" i="8"/>
  <c r="R27" i="8"/>
  <c r="I27" i="8"/>
  <c r="H27" i="8"/>
  <c r="G27" i="8"/>
  <c r="F27" i="8"/>
  <c r="E27" i="8"/>
  <c r="D27" i="8"/>
  <c r="C27" i="8"/>
  <c r="BE26" i="8"/>
  <c r="R26" i="8"/>
  <c r="I26" i="8"/>
  <c r="H26" i="8"/>
  <c r="G26" i="8"/>
  <c r="F26" i="8"/>
  <c r="E26" i="8"/>
  <c r="D26" i="8"/>
  <c r="C26" i="8"/>
  <c r="BE25" i="8"/>
  <c r="R25" i="8"/>
  <c r="I25" i="8"/>
  <c r="H25" i="8"/>
  <c r="G25" i="8"/>
  <c r="F25" i="8"/>
  <c r="E25" i="8"/>
  <c r="D25" i="8"/>
  <c r="C25" i="8"/>
  <c r="BE24" i="8"/>
  <c r="R24" i="8"/>
  <c r="I24" i="8"/>
  <c r="H24" i="8"/>
  <c r="G24" i="8"/>
  <c r="F24" i="8"/>
  <c r="E24" i="8"/>
  <c r="D24" i="8"/>
  <c r="C24" i="8"/>
  <c r="BE23" i="8"/>
  <c r="R23" i="8"/>
  <c r="I23" i="8"/>
  <c r="H23" i="8"/>
  <c r="G23" i="8"/>
  <c r="F23" i="8"/>
  <c r="E23" i="8"/>
  <c r="D23" i="8"/>
  <c r="C23" i="8"/>
  <c r="BE22" i="8"/>
  <c r="R22" i="8"/>
  <c r="I22" i="8"/>
  <c r="H22" i="8"/>
  <c r="G22" i="8"/>
  <c r="F22" i="8"/>
  <c r="E22" i="8"/>
  <c r="D22" i="8"/>
  <c r="C22" i="8"/>
  <c r="BE21" i="8"/>
  <c r="R21" i="8"/>
  <c r="I21" i="8"/>
  <c r="H21" i="8"/>
  <c r="G21" i="8"/>
  <c r="F21" i="8"/>
  <c r="E21" i="8"/>
  <c r="D21" i="8"/>
  <c r="C21" i="8"/>
  <c r="BE20" i="8"/>
  <c r="R20" i="8"/>
  <c r="I20" i="8"/>
  <c r="H20" i="8"/>
  <c r="G20" i="8"/>
  <c r="F20" i="8"/>
  <c r="E20" i="8"/>
  <c r="D20" i="8"/>
  <c r="C20" i="8"/>
  <c r="BE19" i="8"/>
  <c r="R19" i="8"/>
  <c r="I19" i="8"/>
  <c r="H19" i="8"/>
  <c r="G19" i="8"/>
  <c r="F19" i="8"/>
  <c r="E19" i="8"/>
  <c r="D19" i="8"/>
  <c r="C19" i="8"/>
  <c r="BE18" i="8"/>
  <c r="R18" i="8"/>
  <c r="I18" i="8"/>
  <c r="H18" i="8"/>
  <c r="G18" i="8"/>
  <c r="F18" i="8"/>
  <c r="E18" i="8"/>
  <c r="D18" i="8"/>
  <c r="C18" i="8"/>
  <c r="BE17" i="8"/>
  <c r="R17" i="8"/>
  <c r="I17" i="8"/>
  <c r="H17" i="8"/>
  <c r="G17" i="8"/>
  <c r="F17" i="8"/>
  <c r="E17" i="8"/>
  <c r="D17" i="8"/>
  <c r="C17" i="8"/>
  <c r="BE16" i="8"/>
  <c r="R16" i="8"/>
  <c r="I16" i="8"/>
  <c r="H16" i="8"/>
  <c r="G16" i="8"/>
  <c r="F16" i="8"/>
  <c r="E16" i="8"/>
  <c r="D16" i="8"/>
  <c r="C16" i="8"/>
  <c r="BE15" i="8"/>
  <c r="R15" i="8"/>
  <c r="I15" i="8"/>
  <c r="H15" i="8"/>
  <c r="G15" i="8"/>
  <c r="F15" i="8"/>
  <c r="E15" i="8"/>
  <c r="D15" i="8"/>
  <c r="C15" i="8"/>
  <c r="BE14" i="8"/>
  <c r="R14" i="8"/>
  <c r="I14" i="8"/>
  <c r="H14" i="8"/>
  <c r="G14" i="8"/>
  <c r="F14" i="8"/>
  <c r="E14" i="8"/>
  <c r="D14" i="8"/>
  <c r="C14" i="8"/>
  <c r="BE13" i="8"/>
  <c r="R13" i="8"/>
  <c r="I13" i="8"/>
  <c r="H13" i="8"/>
  <c r="G13" i="8"/>
  <c r="F13" i="8"/>
  <c r="E13" i="8"/>
  <c r="D13" i="8"/>
  <c r="C13" i="8"/>
  <c r="BE12" i="8"/>
  <c r="R12" i="8"/>
  <c r="I12" i="8"/>
  <c r="H12" i="8"/>
  <c r="G12" i="8"/>
  <c r="F12" i="8"/>
  <c r="E12" i="8"/>
  <c r="D12" i="8"/>
  <c r="C12" i="8"/>
  <c r="BE11" i="8"/>
  <c r="R11" i="8"/>
  <c r="I11" i="8"/>
  <c r="H11" i="8"/>
  <c r="G11" i="8"/>
  <c r="F11" i="8"/>
  <c r="E11" i="8"/>
  <c r="D11" i="8"/>
  <c r="C11" i="8"/>
  <c r="BE10" i="8"/>
  <c r="R10" i="8"/>
  <c r="I10" i="8"/>
  <c r="H10" i="8"/>
  <c r="G10" i="8"/>
  <c r="F10" i="8"/>
  <c r="E10" i="8"/>
  <c r="D10" i="8"/>
  <c r="C10" i="8"/>
  <c r="BE9" i="8"/>
  <c r="R9" i="8"/>
  <c r="I9" i="8"/>
  <c r="H9" i="8"/>
  <c r="G9" i="8"/>
  <c r="F9" i="8"/>
  <c r="E9" i="8"/>
  <c r="D9" i="8"/>
  <c r="C9" i="8"/>
  <c r="BE8" i="8"/>
  <c r="R8" i="8"/>
  <c r="I8" i="8"/>
  <c r="H8" i="8"/>
  <c r="G8" i="8"/>
  <c r="F8" i="8"/>
  <c r="E8" i="8"/>
  <c r="D8" i="8"/>
  <c r="C8" i="8"/>
  <c r="BE7" i="8"/>
  <c r="R7" i="8"/>
  <c r="I7" i="8"/>
  <c r="H7" i="8"/>
  <c r="G7" i="8"/>
  <c r="F7" i="8"/>
  <c r="E7" i="8"/>
  <c r="D7" i="8"/>
  <c r="C7" i="8"/>
  <c r="BE6" i="8"/>
  <c r="R6" i="8"/>
  <c r="I6" i="8"/>
  <c r="H6" i="8"/>
  <c r="G6" i="8"/>
  <c r="F6" i="8"/>
  <c r="E6" i="8"/>
  <c r="D6" i="8"/>
  <c r="C6" i="8"/>
  <c r="BE5" i="8"/>
  <c r="R5" i="8"/>
  <c r="I5" i="8"/>
  <c r="H5" i="8"/>
  <c r="G5" i="8"/>
  <c r="F5" i="8"/>
  <c r="E5" i="8"/>
  <c r="D5" i="8"/>
  <c r="C5" i="8"/>
  <c r="BE122" i="5"/>
  <c r="BD122" i="5"/>
  <c r="BC122" i="5"/>
  <c r="BB122" i="5"/>
  <c r="BA122" i="5"/>
  <c r="AZ122" i="5"/>
  <c r="AY122" i="5"/>
  <c r="AX122" i="5"/>
  <c r="AW122" i="5"/>
  <c r="AV122" i="5"/>
  <c r="AU122" i="5"/>
  <c r="AT122" i="5"/>
  <c r="AS122" i="5"/>
  <c r="AR122" i="5"/>
  <c r="AQ122" i="5"/>
  <c r="AP122" i="5"/>
  <c r="AO122" i="5"/>
  <c r="AN122" i="5"/>
  <c r="AM122" i="5"/>
  <c r="AL122" i="5"/>
  <c r="AK122" i="5"/>
  <c r="AJ122" i="5"/>
  <c r="AI122" i="5"/>
  <c r="AH122" i="5"/>
  <c r="AG122" i="5"/>
  <c r="AF122" i="5"/>
  <c r="AE122" i="5"/>
  <c r="AD122" i="5"/>
  <c r="AB122" i="5"/>
  <c r="AA122" i="5"/>
  <c r="Z122" i="5"/>
  <c r="X122" i="5"/>
  <c r="V122" i="5"/>
  <c r="R122" i="5"/>
  <c r="Q122" i="5"/>
  <c r="P122" i="5"/>
  <c r="N122" i="5"/>
  <c r="M122" i="5"/>
  <c r="L122" i="5"/>
  <c r="K122" i="5"/>
  <c r="J122" i="5"/>
  <c r="I122" i="5"/>
  <c r="H122" i="5"/>
  <c r="G122" i="5"/>
  <c r="F122" i="5"/>
  <c r="E122" i="5"/>
  <c r="D122" i="5"/>
  <c r="C122" i="5"/>
  <c r="R121" i="5"/>
  <c r="BE120" i="5"/>
  <c r="R120" i="5"/>
  <c r="I120" i="5"/>
  <c r="H120" i="5"/>
  <c r="G120" i="5"/>
  <c r="F120" i="5"/>
  <c r="E120" i="5"/>
  <c r="D120" i="5"/>
  <c r="C120" i="5"/>
  <c r="R119" i="5"/>
  <c r="BE118" i="5"/>
  <c r="R118" i="5"/>
  <c r="I118" i="5"/>
  <c r="H118" i="5"/>
  <c r="G118" i="5"/>
  <c r="F118" i="5"/>
  <c r="E118" i="5"/>
  <c r="D118" i="5"/>
  <c r="C118" i="5"/>
  <c r="BE117" i="5"/>
  <c r="R117" i="5"/>
  <c r="I117" i="5"/>
  <c r="H117" i="5"/>
  <c r="G117" i="5"/>
  <c r="F117" i="5"/>
  <c r="E117" i="5"/>
  <c r="D117" i="5"/>
  <c r="C117" i="5"/>
  <c r="BE116" i="5"/>
  <c r="R116" i="5"/>
  <c r="I116" i="5"/>
  <c r="H116" i="5"/>
  <c r="G116" i="5"/>
  <c r="F116" i="5"/>
  <c r="E116" i="5"/>
  <c r="D116" i="5"/>
  <c r="C116" i="5"/>
  <c r="R115" i="5"/>
  <c r="I115" i="5"/>
  <c r="BE114" i="5"/>
  <c r="BD114" i="5"/>
  <c r="BC114" i="5"/>
  <c r="BB114" i="5"/>
  <c r="BA114" i="5"/>
  <c r="AZ114" i="5"/>
  <c r="AY114" i="5"/>
  <c r="AX114" i="5"/>
  <c r="AW114" i="5"/>
  <c r="AV114" i="5"/>
  <c r="AU114" i="5"/>
  <c r="AT114" i="5"/>
  <c r="AS114" i="5"/>
  <c r="AR114" i="5"/>
  <c r="AQ114" i="5"/>
  <c r="AP114" i="5"/>
  <c r="AO114" i="5"/>
  <c r="AN114" i="5"/>
  <c r="AM114" i="5"/>
  <c r="AL114" i="5"/>
  <c r="AK114" i="5"/>
  <c r="AJ114" i="5"/>
  <c r="AI114" i="5"/>
  <c r="AH114" i="5"/>
  <c r="AG114" i="5"/>
  <c r="AF114" i="5"/>
  <c r="AE114" i="5"/>
  <c r="AD114" i="5"/>
  <c r="AC114" i="5"/>
  <c r="AB114" i="5"/>
  <c r="AA114" i="5"/>
  <c r="Z114" i="5"/>
  <c r="Y114" i="5"/>
  <c r="X114" i="5"/>
  <c r="W114" i="5"/>
  <c r="V114" i="5"/>
  <c r="R114" i="5"/>
  <c r="Q114" i="5"/>
  <c r="P114" i="5"/>
  <c r="N114" i="5"/>
  <c r="M114" i="5"/>
  <c r="L114" i="5"/>
  <c r="K114" i="5"/>
  <c r="J114" i="5"/>
  <c r="I114" i="5"/>
  <c r="H114" i="5"/>
  <c r="G114" i="5"/>
  <c r="F114" i="5"/>
  <c r="E114" i="5"/>
  <c r="D114" i="5"/>
  <c r="C114" i="5"/>
  <c r="BE113" i="5"/>
  <c r="R113" i="5"/>
  <c r="I113" i="5"/>
  <c r="H113" i="5"/>
  <c r="G113" i="5"/>
  <c r="F113" i="5"/>
  <c r="E113" i="5"/>
  <c r="D113" i="5"/>
  <c r="C113" i="5"/>
  <c r="BE112" i="5"/>
  <c r="R112" i="5"/>
  <c r="I112" i="5"/>
  <c r="H112" i="5"/>
  <c r="G112" i="5"/>
  <c r="F112" i="5"/>
  <c r="E112" i="5"/>
  <c r="D112" i="5"/>
  <c r="C112" i="5"/>
  <c r="BE111" i="5"/>
  <c r="R111" i="5"/>
  <c r="I111" i="5"/>
  <c r="H111" i="5"/>
  <c r="G111" i="5"/>
  <c r="F111" i="5"/>
  <c r="E111" i="5"/>
  <c r="D111" i="5"/>
  <c r="C111" i="5"/>
  <c r="BE110" i="5"/>
  <c r="R110" i="5"/>
  <c r="I110" i="5"/>
  <c r="H110" i="5"/>
  <c r="G110" i="5"/>
  <c r="F110" i="5"/>
  <c r="E110" i="5"/>
  <c r="D110" i="5"/>
  <c r="C110" i="5"/>
  <c r="BE109" i="5"/>
  <c r="R109" i="5"/>
  <c r="I109" i="5"/>
  <c r="H109" i="5"/>
  <c r="G109" i="5"/>
  <c r="F109" i="5"/>
  <c r="E109" i="5"/>
  <c r="D109" i="5"/>
  <c r="C109" i="5"/>
  <c r="BE108" i="5"/>
  <c r="R108" i="5"/>
  <c r="I108" i="5"/>
  <c r="H108" i="5"/>
  <c r="G108" i="5"/>
  <c r="F108" i="5"/>
  <c r="E108" i="5"/>
  <c r="D108" i="5"/>
  <c r="C108" i="5"/>
  <c r="BE107" i="5"/>
  <c r="R107" i="5"/>
  <c r="I107" i="5"/>
  <c r="H107" i="5"/>
  <c r="G107" i="5"/>
  <c r="F107" i="5"/>
  <c r="E107" i="5"/>
  <c r="D107" i="5"/>
  <c r="C107" i="5"/>
  <c r="BE106" i="5"/>
  <c r="R106" i="5"/>
  <c r="I106" i="5"/>
  <c r="H106" i="5"/>
  <c r="G106" i="5"/>
  <c r="F106" i="5"/>
  <c r="E106" i="5"/>
  <c r="D106" i="5"/>
  <c r="C106" i="5"/>
  <c r="BE105" i="5"/>
  <c r="R105" i="5"/>
  <c r="I105" i="5"/>
  <c r="H105" i="5"/>
  <c r="G105" i="5"/>
  <c r="F105" i="5"/>
  <c r="E105" i="5"/>
  <c r="D105" i="5"/>
  <c r="C105" i="5"/>
  <c r="BE104" i="5"/>
  <c r="R104" i="5"/>
  <c r="I104" i="5"/>
  <c r="H104" i="5"/>
  <c r="G104" i="5"/>
  <c r="F104" i="5"/>
  <c r="E104" i="5"/>
  <c r="D104" i="5"/>
  <c r="C104" i="5"/>
  <c r="BE103" i="5"/>
  <c r="R103" i="5"/>
  <c r="I103" i="5"/>
  <c r="H103" i="5"/>
  <c r="G103" i="5"/>
  <c r="F103" i="5"/>
  <c r="E103" i="5"/>
  <c r="D103" i="5"/>
  <c r="C103" i="5"/>
  <c r="BE102" i="5"/>
  <c r="R102" i="5"/>
  <c r="I102" i="5"/>
  <c r="H102" i="5"/>
  <c r="G102" i="5"/>
  <c r="F102" i="5"/>
  <c r="E102" i="5"/>
  <c r="D102" i="5"/>
  <c r="C102" i="5"/>
  <c r="BE101" i="5"/>
  <c r="R101" i="5"/>
  <c r="I101" i="5"/>
  <c r="H101" i="5"/>
  <c r="G101" i="5"/>
  <c r="F101" i="5"/>
  <c r="E101" i="5"/>
  <c r="D101" i="5"/>
  <c r="C101" i="5"/>
  <c r="BE100" i="5"/>
  <c r="R100" i="5"/>
  <c r="I100" i="5"/>
  <c r="H100" i="5"/>
  <c r="G100" i="5"/>
  <c r="F100" i="5"/>
  <c r="E100" i="5"/>
  <c r="D100" i="5"/>
  <c r="C100" i="5"/>
  <c r="BE99" i="5"/>
  <c r="R99" i="5"/>
  <c r="I99" i="5"/>
  <c r="H99" i="5"/>
  <c r="G99" i="5"/>
  <c r="F99" i="5"/>
  <c r="E99" i="5"/>
  <c r="D99" i="5"/>
  <c r="C99" i="5"/>
  <c r="BE98" i="5"/>
  <c r="R98" i="5"/>
  <c r="I98" i="5"/>
  <c r="H98" i="5"/>
  <c r="G98" i="5"/>
  <c r="F98" i="5"/>
  <c r="E98" i="5"/>
  <c r="D98" i="5"/>
  <c r="C98" i="5"/>
  <c r="BE97" i="5"/>
  <c r="R97" i="5"/>
  <c r="I97" i="5"/>
  <c r="H97" i="5"/>
  <c r="G97" i="5"/>
  <c r="F97" i="5"/>
  <c r="E97" i="5"/>
  <c r="D97" i="5"/>
  <c r="C97" i="5"/>
  <c r="BE96" i="5"/>
  <c r="R96" i="5"/>
  <c r="I96" i="5"/>
  <c r="H96" i="5"/>
  <c r="G96" i="5"/>
  <c r="F96" i="5"/>
  <c r="E96" i="5"/>
  <c r="D96" i="5"/>
  <c r="C96" i="5"/>
  <c r="BE95" i="5"/>
  <c r="R95" i="5"/>
  <c r="I95" i="5"/>
  <c r="H95" i="5"/>
  <c r="G95" i="5"/>
  <c r="F95" i="5"/>
  <c r="E95" i="5"/>
  <c r="D95" i="5"/>
  <c r="C95" i="5"/>
  <c r="BE94" i="5"/>
  <c r="R94" i="5"/>
  <c r="I94" i="5"/>
  <c r="H94" i="5"/>
  <c r="G94" i="5"/>
  <c r="F94" i="5"/>
  <c r="E94" i="5"/>
  <c r="D94" i="5"/>
  <c r="C94" i="5"/>
  <c r="BE93" i="5"/>
  <c r="R93" i="5"/>
  <c r="I93" i="5"/>
  <c r="H93" i="5"/>
  <c r="G93" i="5"/>
  <c r="F93" i="5"/>
  <c r="E93" i="5"/>
  <c r="D93" i="5"/>
  <c r="C93" i="5"/>
  <c r="BE92" i="5"/>
  <c r="R92" i="5"/>
  <c r="I92" i="5"/>
  <c r="H92" i="5"/>
  <c r="G92" i="5"/>
  <c r="F92" i="5"/>
  <c r="E92" i="5"/>
  <c r="D92" i="5"/>
  <c r="C92" i="5"/>
  <c r="BE91" i="5"/>
  <c r="R91" i="5"/>
  <c r="I91" i="5"/>
  <c r="H91" i="5"/>
  <c r="G91" i="5"/>
  <c r="F91" i="5"/>
  <c r="E91" i="5"/>
  <c r="D91" i="5"/>
  <c r="C91" i="5"/>
  <c r="BE90" i="5"/>
  <c r="R90" i="5"/>
  <c r="I90" i="5"/>
  <c r="H90" i="5"/>
  <c r="G90" i="5"/>
  <c r="F90" i="5"/>
  <c r="E90" i="5"/>
  <c r="D90" i="5"/>
  <c r="C90" i="5"/>
  <c r="BE89" i="5"/>
  <c r="R89" i="5"/>
  <c r="I89" i="5"/>
  <c r="H89" i="5"/>
  <c r="G89" i="5"/>
  <c r="F89" i="5"/>
  <c r="E89" i="5"/>
  <c r="D89" i="5"/>
  <c r="C89" i="5"/>
  <c r="BE88" i="5"/>
  <c r="R88" i="5"/>
  <c r="I88" i="5"/>
  <c r="H88" i="5"/>
  <c r="G88" i="5"/>
  <c r="F88" i="5"/>
  <c r="E88" i="5"/>
  <c r="D88" i="5"/>
  <c r="C88" i="5"/>
  <c r="BE87" i="5"/>
  <c r="R87" i="5"/>
  <c r="I87" i="5"/>
  <c r="H87" i="5"/>
  <c r="G87" i="5"/>
  <c r="F87" i="5"/>
  <c r="E87" i="5"/>
  <c r="D87" i="5"/>
  <c r="C87" i="5"/>
  <c r="BE86" i="5"/>
  <c r="R86" i="5"/>
  <c r="I86" i="5"/>
  <c r="H86" i="5"/>
  <c r="G86" i="5"/>
  <c r="F86" i="5"/>
  <c r="E86" i="5"/>
  <c r="D86" i="5"/>
  <c r="C86" i="5"/>
  <c r="BE85" i="5"/>
  <c r="R85" i="5"/>
  <c r="I85" i="5"/>
  <c r="H85" i="5"/>
  <c r="G85" i="5"/>
  <c r="F85" i="5"/>
  <c r="E85" i="5"/>
  <c r="D85" i="5"/>
  <c r="C85" i="5"/>
  <c r="BE84" i="5"/>
  <c r="R84" i="5"/>
  <c r="I84" i="5"/>
  <c r="H84" i="5"/>
  <c r="G84" i="5"/>
  <c r="F84" i="5"/>
  <c r="E84" i="5"/>
  <c r="D84" i="5"/>
  <c r="C84" i="5"/>
  <c r="BE83" i="5"/>
  <c r="R83" i="5"/>
  <c r="I83" i="5"/>
  <c r="H83" i="5"/>
  <c r="G83" i="5"/>
  <c r="F83" i="5"/>
  <c r="E83" i="5"/>
  <c r="D83" i="5"/>
  <c r="C83" i="5"/>
  <c r="BE82" i="5"/>
  <c r="R82" i="5"/>
  <c r="I82" i="5"/>
  <c r="H82" i="5"/>
  <c r="G82" i="5"/>
  <c r="F82" i="5"/>
  <c r="E82" i="5"/>
  <c r="D82" i="5"/>
  <c r="C82" i="5"/>
  <c r="BE81" i="5"/>
  <c r="R81" i="5"/>
  <c r="I81" i="5"/>
  <c r="H81" i="5"/>
  <c r="G81" i="5"/>
  <c r="F81" i="5"/>
  <c r="E81" i="5"/>
  <c r="D81" i="5"/>
  <c r="C81" i="5"/>
  <c r="BE80" i="5"/>
  <c r="R80" i="5"/>
  <c r="I80" i="5"/>
  <c r="H80" i="5"/>
  <c r="G80" i="5"/>
  <c r="F80" i="5"/>
  <c r="E80" i="5"/>
  <c r="D80" i="5"/>
  <c r="C80" i="5"/>
  <c r="BE79" i="5"/>
  <c r="R79" i="5"/>
  <c r="I79" i="5"/>
  <c r="H79" i="5"/>
  <c r="G79" i="5"/>
  <c r="F79" i="5"/>
  <c r="E79" i="5"/>
  <c r="D79" i="5"/>
  <c r="C79" i="5"/>
  <c r="BE78" i="5"/>
  <c r="R78" i="5"/>
  <c r="I78" i="5"/>
  <c r="H78" i="5"/>
  <c r="G78" i="5"/>
  <c r="F78" i="5"/>
  <c r="E78" i="5"/>
  <c r="D78" i="5"/>
  <c r="C78" i="5"/>
  <c r="BE77" i="5"/>
  <c r="R77" i="5"/>
  <c r="I77" i="5"/>
  <c r="H77" i="5"/>
  <c r="G77" i="5"/>
  <c r="F77" i="5"/>
  <c r="E77" i="5"/>
  <c r="D77" i="5"/>
  <c r="C77" i="5"/>
  <c r="BE76" i="5"/>
  <c r="R76" i="5"/>
  <c r="I76" i="5"/>
  <c r="H76" i="5"/>
  <c r="G76" i="5"/>
  <c r="F76" i="5"/>
  <c r="E76" i="5"/>
  <c r="D76" i="5"/>
  <c r="C76" i="5"/>
  <c r="BE75" i="5"/>
  <c r="R75" i="5"/>
  <c r="I75" i="5"/>
  <c r="H75" i="5"/>
  <c r="G75" i="5"/>
  <c r="F75" i="5"/>
  <c r="E75" i="5"/>
  <c r="D75" i="5"/>
  <c r="C75" i="5"/>
  <c r="BE74" i="5"/>
  <c r="R74" i="5"/>
  <c r="I74" i="5"/>
  <c r="H74" i="5"/>
  <c r="G74" i="5"/>
  <c r="F74" i="5"/>
  <c r="E74" i="5"/>
  <c r="D74" i="5"/>
  <c r="C74" i="5"/>
  <c r="BE73" i="5"/>
  <c r="R73" i="5"/>
  <c r="I73" i="5"/>
  <c r="H73" i="5"/>
  <c r="G73" i="5"/>
  <c r="F73" i="5"/>
  <c r="E73" i="5"/>
  <c r="D73" i="5"/>
  <c r="C73" i="5"/>
  <c r="BE72" i="5"/>
  <c r="R72" i="5"/>
  <c r="I72" i="5"/>
  <c r="H72" i="5"/>
  <c r="G72" i="5"/>
  <c r="F72" i="5"/>
  <c r="E72" i="5"/>
  <c r="D72" i="5"/>
  <c r="C72" i="5"/>
  <c r="BE71" i="5"/>
  <c r="R71" i="5"/>
  <c r="I71" i="5"/>
  <c r="H71" i="5"/>
  <c r="G71" i="5"/>
  <c r="F71" i="5"/>
  <c r="E71" i="5"/>
  <c r="D71" i="5"/>
  <c r="C71" i="5"/>
  <c r="BE70" i="5"/>
  <c r="R70" i="5"/>
  <c r="I70" i="5"/>
  <c r="H70" i="5"/>
  <c r="G70" i="5"/>
  <c r="F70" i="5"/>
  <c r="E70" i="5"/>
  <c r="D70" i="5"/>
  <c r="C70" i="5"/>
  <c r="BE69" i="5"/>
  <c r="R69" i="5"/>
  <c r="I69" i="5"/>
  <c r="H69" i="5"/>
  <c r="G69" i="5"/>
  <c r="F69" i="5"/>
  <c r="E69" i="5"/>
  <c r="D69" i="5"/>
  <c r="C69" i="5"/>
  <c r="BE68" i="5"/>
  <c r="R68" i="5"/>
  <c r="I68" i="5"/>
  <c r="H68" i="5"/>
  <c r="G68" i="5"/>
  <c r="F68" i="5"/>
  <c r="E68" i="5"/>
  <c r="D68" i="5"/>
  <c r="C68" i="5"/>
  <c r="BE67" i="5"/>
  <c r="R67" i="5"/>
  <c r="I67" i="5"/>
  <c r="H67" i="5"/>
  <c r="G67" i="5"/>
  <c r="F67" i="5"/>
  <c r="E67" i="5"/>
  <c r="D67" i="5"/>
  <c r="C67" i="5"/>
  <c r="BE66" i="5"/>
  <c r="R66" i="5"/>
  <c r="I66" i="5"/>
  <c r="H66" i="5"/>
  <c r="G66" i="5"/>
  <c r="F66" i="5"/>
  <c r="E66" i="5"/>
  <c r="D66" i="5"/>
  <c r="C66" i="5"/>
  <c r="BE65" i="5"/>
  <c r="R65" i="5"/>
  <c r="I65" i="5"/>
  <c r="H65" i="5"/>
  <c r="G65" i="5"/>
  <c r="F65" i="5"/>
  <c r="E65" i="5"/>
  <c r="D65" i="5"/>
  <c r="C65" i="5"/>
  <c r="BE64" i="5"/>
  <c r="R64" i="5"/>
  <c r="I64" i="5"/>
  <c r="H64" i="5"/>
  <c r="G64" i="5"/>
  <c r="F64" i="5"/>
  <c r="E64" i="5"/>
  <c r="D64" i="5"/>
  <c r="C64" i="5"/>
  <c r="BE63" i="5"/>
  <c r="R63" i="5"/>
  <c r="I63" i="5"/>
  <c r="H63" i="5"/>
  <c r="G63" i="5"/>
  <c r="F63" i="5"/>
  <c r="E63" i="5"/>
  <c r="D63" i="5"/>
  <c r="C63" i="5"/>
  <c r="BE62" i="5"/>
  <c r="R62" i="5"/>
  <c r="I62" i="5"/>
  <c r="H62" i="5"/>
  <c r="G62" i="5"/>
  <c r="F62" i="5"/>
  <c r="E62" i="5"/>
  <c r="D62" i="5"/>
  <c r="C62" i="5"/>
  <c r="BE61" i="5"/>
  <c r="R61" i="5"/>
  <c r="I61" i="5"/>
  <c r="H61" i="5"/>
  <c r="G61" i="5"/>
  <c r="F61" i="5"/>
  <c r="E61" i="5"/>
  <c r="D61" i="5"/>
  <c r="C61" i="5"/>
  <c r="BE60" i="5"/>
  <c r="R60" i="5"/>
  <c r="I60" i="5"/>
  <c r="H60" i="5"/>
  <c r="G60" i="5"/>
  <c r="F60" i="5"/>
  <c r="E60" i="5"/>
  <c r="D60" i="5"/>
  <c r="C60" i="5"/>
  <c r="BE59" i="5"/>
  <c r="R59" i="5"/>
  <c r="I59" i="5"/>
  <c r="H59" i="5"/>
  <c r="G59" i="5"/>
  <c r="F59" i="5"/>
  <c r="E59" i="5"/>
  <c r="D59" i="5"/>
  <c r="C59" i="5"/>
  <c r="BE58" i="5"/>
  <c r="R58" i="5"/>
  <c r="I58" i="5"/>
  <c r="H58" i="5"/>
  <c r="G58" i="5"/>
  <c r="F58" i="5"/>
  <c r="E58" i="5"/>
  <c r="D58" i="5"/>
  <c r="C58" i="5"/>
  <c r="BE57" i="5"/>
  <c r="R57" i="5"/>
  <c r="I57" i="5"/>
  <c r="H57" i="5"/>
  <c r="G57" i="5"/>
  <c r="F57" i="5"/>
  <c r="E57" i="5"/>
  <c r="D57" i="5"/>
  <c r="C57" i="5"/>
  <c r="BE56" i="5"/>
  <c r="R56" i="5"/>
  <c r="I56" i="5"/>
  <c r="H56" i="5"/>
  <c r="G56" i="5"/>
  <c r="F56" i="5"/>
  <c r="E56" i="5"/>
  <c r="D56" i="5"/>
  <c r="C56" i="5"/>
  <c r="BE55" i="5"/>
  <c r="R55" i="5"/>
  <c r="I55" i="5"/>
  <c r="H55" i="5"/>
  <c r="G55" i="5"/>
  <c r="F55" i="5"/>
  <c r="E55" i="5"/>
  <c r="D55" i="5"/>
  <c r="C55" i="5"/>
  <c r="BE54" i="5"/>
  <c r="R54" i="5"/>
  <c r="I54" i="5"/>
  <c r="H54" i="5"/>
  <c r="G54" i="5"/>
  <c r="F54" i="5"/>
  <c r="E54" i="5"/>
  <c r="D54" i="5"/>
  <c r="C54" i="5"/>
  <c r="BE53" i="5"/>
  <c r="R53" i="5"/>
  <c r="I53" i="5"/>
  <c r="H53" i="5"/>
  <c r="G53" i="5"/>
  <c r="F53" i="5"/>
  <c r="E53" i="5"/>
  <c r="D53" i="5"/>
  <c r="C53" i="5"/>
  <c r="BE52" i="5"/>
  <c r="R52" i="5"/>
  <c r="I52" i="5"/>
  <c r="H52" i="5"/>
  <c r="G52" i="5"/>
  <c r="F52" i="5"/>
  <c r="E52" i="5"/>
  <c r="D52" i="5"/>
  <c r="C52" i="5"/>
  <c r="BE51" i="5"/>
  <c r="R51" i="5"/>
  <c r="I51" i="5"/>
  <c r="H51" i="5"/>
  <c r="G51" i="5"/>
  <c r="F51" i="5"/>
  <c r="E51" i="5"/>
  <c r="D51" i="5"/>
  <c r="C51" i="5"/>
  <c r="BE50" i="5"/>
  <c r="R50" i="5"/>
  <c r="I50" i="5"/>
  <c r="H50" i="5"/>
  <c r="G50" i="5"/>
  <c r="F50" i="5"/>
  <c r="E50" i="5"/>
  <c r="D50" i="5"/>
  <c r="C50" i="5"/>
  <c r="BE49" i="5"/>
  <c r="R49" i="5"/>
  <c r="I49" i="5"/>
  <c r="H49" i="5"/>
  <c r="G49" i="5"/>
  <c r="F49" i="5"/>
  <c r="E49" i="5"/>
  <c r="D49" i="5"/>
  <c r="C49" i="5"/>
  <c r="BE48" i="5"/>
  <c r="R48" i="5"/>
  <c r="I48" i="5"/>
  <c r="H48" i="5"/>
  <c r="G48" i="5"/>
  <c r="F48" i="5"/>
  <c r="E48" i="5"/>
  <c r="D48" i="5"/>
  <c r="C48" i="5"/>
  <c r="BE47" i="5"/>
  <c r="R47" i="5"/>
  <c r="I47" i="5"/>
  <c r="H47" i="5"/>
  <c r="G47" i="5"/>
  <c r="F47" i="5"/>
  <c r="E47" i="5"/>
  <c r="D47" i="5"/>
  <c r="C47" i="5"/>
  <c r="R46" i="5"/>
  <c r="I46" i="5"/>
  <c r="H46" i="5"/>
  <c r="G46" i="5"/>
  <c r="F46" i="5"/>
  <c r="E46" i="5"/>
  <c r="D46" i="5"/>
  <c r="C46" i="5"/>
  <c r="BE45" i="5"/>
  <c r="R45" i="5"/>
  <c r="I45" i="5"/>
  <c r="H45" i="5"/>
  <c r="G45" i="5"/>
  <c r="F45" i="5"/>
  <c r="E45" i="5"/>
  <c r="D45" i="5"/>
  <c r="C45" i="5"/>
  <c r="BE44" i="5"/>
  <c r="R44" i="5"/>
  <c r="I44" i="5"/>
  <c r="H44" i="5"/>
  <c r="G44" i="5"/>
  <c r="F44" i="5"/>
  <c r="E44" i="5"/>
  <c r="D44" i="5"/>
  <c r="C44" i="5"/>
  <c r="BE43" i="5"/>
  <c r="R43" i="5"/>
  <c r="I43" i="5"/>
  <c r="H43" i="5"/>
  <c r="G43" i="5"/>
  <c r="F43" i="5"/>
  <c r="E43" i="5"/>
  <c r="D43" i="5"/>
  <c r="C43" i="5"/>
  <c r="BE42" i="5"/>
  <c r="R42" i="5"/>
  <c r="I42" i="5"/>
  <c r="H42" i="5"/>
  <c r="G42" i="5"/>
  <c r="F42" i="5"/>
  <c r="E42" i="5"/>
  <c r="D42" i="5"/>
  <c r="C42" i="5"/>
  <c r="BE41" i="5"/>
  <c r="R41" i="5"/>
  <c r="I41" i="5"/>
  <c r="H41" i="5"/>
  <c r="G41" i="5"/>
  <c r="F41" i="5"/>
  <c r="E41" i="5"/>
  <c r="D41" i="5"/>
  <c r="C41" i="5"/>
  <c r="BE40" i="5"/>
  <c r="R40" i="5"/>
  <c r="I40" i="5"/>
  <c r="H40" i="5"/>
  <c r="G40" i="5"/>
  <c r="F40" i="5"/>
  <c r="E40" i="5"/>
  <c r="D40" i="5"/>
  <c r="C40" i="5"/>
  <c r="BE39" i="5"/>
  <c r="R39" i="5"/>
  <c r="I39" i="5"/>
  <c r="H39" i="5"/>
  <c r="G39" i="5"/>
  <c r="F39" i="5"/>
  <c r="E39" i="5"/>
  <c r="D39" i="5"/>
  <c r="C39" i="5"/>
  <c r="BE38" i="5"/>
  <c r="R38" i="5"/>
  <c r="I38" i="5"/>
  <c r="H38" i="5"/>
  <c r="G38" i="5"/>
  <c r="F38" i="5"/>
  <c r="E38" i="5"/>
  <c r="D38" i="5"/>
  <c r="C38" i="5"/>
  <c r="BE37" i="5"/>
  <c r="R37" i="5"/>
  <c r="I37" i="5"/>
  <c r="H37" i="5"/>
  <c r="G37" i="5"/>
  <c r="F37" i="5"/>
  <c r="E37" i="5"/>
  <c r="D37" i="5"/>
  <c r="C37" i="5"/>
  <c r="BE36" i="5"/>
  <c r="R36" i="5"/>
  <c r="I36" i="5"/>
  <c r="H36" i="5"/>
  <c r="G36" i="5"/>
  <c r="F36" i="5"/>
  <c r="E36" i="5"/>
  <c r="D36" i="5"/>
  <c r="C36" i="5"/>
  <c r="BE35" i="5"/>
  <c r="R35" i="5"/>
  <c r="I35" i="5"/>
  <c r="H35" i="5"/>
  <c r="G35" i="5"/>
  <c r="F35" i="5"/>
  <c r="E35" i="5"/>
  <c r="D35" i="5"/>
  <c r="C35" i="5"/>
  <c r="BE34" i="5"/>
  <c r="R34" i="5"/>
  <c r="I34" i="5"/>
  <c r="H34" i="5"/>
  <c r="G34" i="5"/>
  <c r="F34" i="5"/>
  <c r="E34" i="5"/>
  <c r="D34" i="5"/>
  <c r="C34" i="5"/>
  <c r="BE33" i="5"/>
  <c r="R33" i="5"/>
  <c r="I33" i="5"/>
  <c r="H33" i="5"/>
  <c r="G33" i="5"/>
  <c r="F33" i="5"/>
  <c r="E33" i="5"/>
  <c r="D33" i="5"/>
  <c r="C33" i="5"/>
  <c r="BE32" i="5"/>
  <c r="R32" i="5"/>
  <c r="I32" i="5"/>
  <c r="H32" i="5"/>
  <c r="G32" i="5"/>
  <c r="F32" i="5"/>
  <c r="E32" i="5"/>
  <c r="D32" i="5"/>
  <c r="C32" i="5"/>
  <c r="BE31" i="5"/>
  <c r="R31" i="5"/>
  <c r="I31" i="5"/>
  <c r="H31" i="5"/>
  <c r="G31" i="5"/>
  <c r="F31" i="5"/>
  <c r="E31" i="5"/>
  <c r="D31" i="5"/>
  <c r="C31" i="5"/>
  <c r="BE30" i="5"/>
  <c r="R30" i="5"/>
  <c r="I30" i="5"/>
  <c r="H30" i="5"/>
  <c r="G30" i="5"/>
  <c r="F30" i="5"/>
  <c r="E30" i="5"/>
  <c r="D30" i="5"/>
  <c r="C30" i="5"/>
  <c r="BE29" i="5"/>
  <c r="R29" i="5"/>
  <c r="I29" i="5"/>
  <c r="H29" i="5"/>
  <c r="G29" i="5"/>
  <c r="F29" i="5"/>
  <c r="E29" i="5"/>
  <c r="D29" i="5"/>
  <c r="C29" i="5"/>
  <c r="BE28" i="5"/>
  <c r="R28" i="5"/>
  <c r="I28" i="5"/>
  <c r="H28" i="5"/>
  <c r="G28" i="5"/>
  <c r="F28" i="5"/>
  <c r="E28" i="5"/>
  <c r="D28" i="5"/>
  <c r="C28" i="5"/>
  <c r="BE27" i="5"/>
  <c r="R27" i="5"/>
  <c r="I27" i="5"/>
  <c r="H27" i="5"/>
  <c r="G27" i="5"/>
  <c r="F27" i="5"/>
  <c r="E27" i="5"/>
  <c r="D27" i="5"/>
  <c r="C27" i="5"/>
  <c r="BE26" i="5"/>
  <c r="R26" i="5"/>
  <c r="I26" i="5"/>
  <c r="H26" i="5"/>
  <c r="G26" i="5"/>
  <c r="F26" i="5"/>
  <c r="E26" i="5"/>
  <c r="D26" i="5"/>
  <c r="C26" i="5"/>
  <c r="BE25" i="5"/>
  <c r="R25" i="5"/>
  <c r="I25" i="5"/>
  <c r="H25" i="5"/>
  <c r="G25" i="5"/>
  <c r="F25" i="5"/>
  <c r="E25" i="5"/>
  <c r="D25" i="5"/>
  <c r="C25" i="5"/>
  <c r="BE24" i="5"/>
  <c r="R24" i="5"/>
  <c r="I24" i="5"/>
  <c r="H24" i="5"/>
  <c r="G24" i="5"/>
  <c r="F24" i="5"/>
  <c r="E24" i="5"/>
  <c r="D24" i="5"/>
  <c r="C24" i="5"/>
  <c r="BE23" i="5"/>
  <c r="R23" i="5"/>
  <c r="I23" i="5"/>
  <c r="H23" i="5"/>
  <c r="G23" i="5"/>
  <c r="F23" i="5"/>
  <c r="E23" i="5"/>
  <c r="D23" i="5"/>
  <c r="C23" i="5"/>
  <c r="BE22" i="5"/>
  <c r="R22" i="5"/>
  <c r="I22" i="5"/>
  <c r="H22" i="5"/>
  <c r="G22" i="5"/>
  <c r="F22" i="5"/>
  <c r="E22" i="5"/>
  <c r="D22" i="5"/>
  <c r="C22" i="5"/>
  <c r="BE21" i="5"/>
  <c r="R21" i="5"/>
  <c r="I21" i="5"/>
  <c r="H21" i="5"/>
  <c r="G21" i="5"/>
  <c r="F21" i="5"/>
  <c r="E21" i="5"/>
  <c r="D21" i="5"/>
  <c r="C21" i="5"/>
  <c r="BE20" i="5"/>
  <c r="R20" i="5"/>
  <c r="I20" i="5"/>
  <c r="H20" i="5"/>
  <c r="G20" i="5"/>
  <c r="F20" i="5"/>
  <c r="E20" i="5"/>
  <c r="D20" i="5"/>
  <c r="C20" i="5"/>
  <c r="BE19" i="5"/>
  <c r="R19" i="5"/>
  <c r="I19" i="5"/>
  <c r="H19" i="5"/>
  <c r="G19" i="5"/>
  <c r="F19" i="5"/>
  <c r="E19" i="5"/>
  <c r="D19" i="5"/>
  <c r="C19" i="5"/>
  <c r="BE18" i="5"/>
  <c r="R18" i="5"/>
  <c r="I18" i="5"/>
  <c r="H18" i="5"/>
  <c r="G18" i="5"/>
  <c r="F18" i="5"/>
  <c r="E18" i="5"/>
  <c r="D18" i="5"/>
  <c r="C18" i="5"/>
  <c r="BE17" i="5"/>
  <c r="R17" i="5"/>
  <c r="I17" i="5"/>
  <c r="H17" i="5"/>
  <c r="G17" i="5"/>
  <c r="F17" i="5"/>
  <c r="E17" i="5"/>
  <c r="D17" i="5"/>
  <c r="C17" i="5"/>
  <c r="BE16" i="5"/>
  <c r="R16" i="5"/>
  <c r="I16" i="5"/>
  <c r="H16" i="5"/>
  <c r="G16" i="5"/>
  <c r="F16" i="5"/>
  <c r="E16" i="5"/>
  <c r="D16" i="5"/>
  <c r="C16" i="5"/>
  <c r="BE15" i="5"/>
  <c r="R15" i="5"/>
  <c r="I15" i="5"/>
  <c r="H15" i="5"/>
  <c r="G15" i="5"/>
  <c r="F15" i="5"/>
  <c r="E15" i="5"/>
  <c r="D15" i="5"/>
  <c r="C15" i="5"/>
  <c r="BE14" i="5"/>
  <c r="R14" i="5"/>
  <c r="I14" i="5"/>
  <c r="H14" i="5"/>
  <c r="G14" i="5"/>
  <c r="F14" i="5"/>
  <c r="E14" i="5"/>
  <c r="D14" i="5"/>
  <c r="C14" i="5"/>
  <c r="BE13" i="5"/>
  <c r="R13" i="5"/>
  <c r="I13" i="5"/>
  <c r="H13" i="5"/>
  <c r="G13" i="5"/>
  <c r="F13" i="5"/>
  <c r="E13" i="5"/>
  <c r="D13" i="5"/>
  <c r="C13" i="5"/>
  <c r="BE12" i="5"/>
  <c r="R12" i="5"/>
  <c r="I12" i="5"/>
  <c r="H12" i="5"/>
  <c r="G12" i="5"/>
  <c r="F12" i="5"/>
  <c r="E12" i="5"/>
  <c r="D12" i="5"/>
  <c r="C12" i="5"/>
  <c r="BE11" i="5"/>
  <c r="R11" i="5"/>
  <c r="I11" i="5"/>
  <c r="H11" i="5"/>
  <c r="G11" i="5"/>
  <c r="F11" i="5"/>
  <c r="E11" i="5"/>
  <c r="D11" i="5"/>
  <c r="C11" i="5"/>
  <c r="BE10" i="5"/>
  <c r="R10" i="5"/>
  <c r="I10" i="5"/>
  <c r="H10" i="5"/>
  <c r="G10" i="5"/>
  <c r="F10" i="5"/>
  <c r="E10" i="5"/>
  <c r="D10" i="5"/>
  <c r="C10" i="5"/>
  <c r="BE9" i="5"/>
  <c r="R9" i="5"/>
  <c r="I9" i="5"/>
  <c r="H9" i="5"/>
  <c r="G9" i="5"/>
  <c r="F9" i="5"/>
  <c r="E9" i="5"/>
  <c r="D9" i="5"/>
  <c r="C9" i="5"/>
  <c r="BE8" i="5"/>
  <c r="R8" i="5"/>
  <c r="I8" i="5"/>
  <c r="H8" i="5"/>
  <c r="G8" i="5"/>
  <c r="F8" i="5"/>
  <c r="E8" i="5"/>
  <c r="D8" i="5"/>
  <c r="C8" i="5"/>
  <c r="BE7" i="5"/>
  <c r="R7" i="5"/>
  <c r="I7" i="5"/>
  <c r="H7" i="5"/>
  <c r="G7" i="5"/>
  <c r="F7" i="5"/>
  <c r="E7" i="5"/>
  <c r="D7" i="5"/>
  <c r="C7" i="5"/>
  <c r="BE6" i="5"/>
  <c r="R6" i="5"/>
  <c r="I6" i="5"/>
  <c r="H6" i="5"/>
  <c r="G6" i="5"/>
  <c r="F6" i="5"/>
  <c r="E6" i="5"/>
  <c r="D6" i="5"/>
  <c r="C6" i="5"/>
  <c r="BE5" i="5"/>
  <c r="R5" i="5"/>
  <c r="I5" i="5"/>
  <c r="H5" i="5"/>
  <c r="G5" i="5"/>
  <c r="F5" i="5"/>
  <c r="E5" i="5"/>
  <c r="D5" i="5"/>
  <c r="C5" i="5"/>
  <c r="BE122" i="3"/>
  <c r="BD122" i="3"/>
  <c r="BC122" i="3"/>
  <c r="BB122" i="3"/>
  <c r="BA122" i="3"/>
  <c r="AZ122" i="3"/>
  <c r="AY122" i="3"/>
  <c r="AX122" i="3"/>
  <c r="AW122" i="3"/>
  <c r="AV122" i="3"/>
  <c r="AU122" i="3"/>
  <c r="AT122" i="3"/>
  <c r="AS122" i="3"/>
  <c r="AR122" i="3"/>
  <c r="AQ122" i="3"/>
  <c r="AP122" i="3"/>
  <c r="AO122" i="3"/>
  <c r="AN122" i="3"/>
  <c r="AM122" i="3"/>
  <c r="AL122" i="3"/>
  <c r="AK122" i="3"/>
  <c r="AJ122" i="3"/>
  <c r="AI122" i="3"/>
  <c r="AH122" i="3"/>
  <c r="AG122" i="3"/>
  <c r="AF122" i="3"/>
  <c r="AE122" i="3"/>
  <c r="AD122" i="3"/>
  <c r="AB122" i="3"/>
  <c r="AA122" i="3"/>
  <c r="Z122" i="3"/>
  <c r="X122" i="3"/>
  <c r="V122" i="3"/>
  <c r="R122" i="3"/>
  <c r="Q122" i="3"/>
  <c r="P122" i="3"/>
  <c r="N122" i="3"/>
  <c r="M122" i="3"/>
  <c r="L122" i="3"/>
  <c r="K122" i="3"/>
  <c r="J122" i="3"/>
  <c r="I122" i="3"/>
  <c r="H122" i="3"/>
  <c r="G122" i="3"/>
  <c r="F122" i="3"/>
  <c r="E122" i="3"/>
  <c r="D122" i="3"/>
  <c r="C122" i="3"/>
  <c r="R121" i="3"/>
  <c r="BE120" i="3"/>
  <c r="R120" i="3"/>
  <c r="I120" i="3"/>
  <c r="H120" i="3"/>
  <c r="G120" i="3"/>
  <c r="F120" i="3"/>
  <c r="E120" i="3"/>
  <c r="D120" i="3"/>
  <c r="C120" i="3"/>
  <c r="R119" i="3"/>
  <c r="BE118" i="3"/>
  <c r="R118" i="3"/>
  <c r="I118" i="3"/>
  <c r="H118" i="3"/>
  <c r="G118" i="3"/>
  <c r="F118" i="3"/>
  <c r="E118" i="3"/>
  <c r="D118" i="3"/>
  <c r="C118" i="3"/>
  <c r="BE117" i="3"/>
  <c r="R117" i="3"/>
  <c r="I117" i="3"/>
  <c r="H117" i="3"/>
  <c r="G117" i="3"/>
  <c r="F117" i="3"/>
  <c r="E117" i="3"/>
  <c r="D117" i="3"/>
  <c r="C117" i="3"/>
  <c r="BE116" i="3"/>
  <c r="R116" i="3"/>
  <c r="I116" i="3"/>
  <c r="H116" i="3"/>
  <c r="G116" i="3"/>
  <c r="F116" i="3"/>
  <c r="E116" i="3"/>
  <c r="D116" i="3"/>
  <c r="C116" i="3"/>
  <c r="R115" i="3"/>
  <c r="I115" i="3"/>
  <c r="BE114" i="3"/>
  <c r="BD114" i="3"/>
  <c r="BC114" i="3"/>
  <c r="BB114" i="3"/>
  <c r="BA114" i="3"/>
  <c r="AZ114" i="3"/>
  <c r="AY114" i="3"/>
  <c r="AX114" i="3"/>
  <c r="AW114" i="3"/>
  <c r="AV114" i="3"/>
  <c r="AU114" i="3"/>
  <c r="AT114" i="3"/>
  <c r="AS114" i="3"/>
  <c r="AR114" i="3"/>
  <c r="AQ114" i="3"/>
  <c r="AP114" i="3"/>
  <c r="AO114" i="3"/>
  <c r="AN114" i="3"/>
  <c r="AM114" i="3"/>
  <c r="AL114" i="3"/>
  <c r="AK114" i="3"/>
  <c r="AJ114" i="3"/>
  <c r="AI114" i="3"/>
  <c r="AH114" i="3"/>
  <c r="AG114" i="3"/>
  <c r="AF114" i="3"/>
  <c r="AE114" i="3"/>
  <c r="AD114" i="3"/>
  <c r="AC114" i="3"/>
  <c r="AB114" i="3"/>
  <c r="AA114" i="3"/>
  <c r="Z114" i="3"/>
  <c r="Y114" i="3"/>
  <c r="X114" i="3"/>
  <c r="W114" i="3"/>
  <c r="V114" i="3"/>
  <c r="R114" i="3"/>
  <c r="Q114" i="3"/>
  <c r="P114" i="3"/>
  <c r="N114" i="3"/>
  <c r="M114" i="3"/>
  <c r="L114" i="3"/>
  <c r="K114" i="3"/>
  <c r="J114" i="3"/>
  <c r="I114" i="3"/>
  <c r="H114" i="3"/>
  <c r="G114" i="3"/>
  <c r="F114" i="3"/>
  <c r="E114" i="3"/>
  <c r="D114" i="3"/>
  <c r="C114" i="3"/>
  <c r="BE113" i="3"/>
  <c r="R113" i="3"/>
  <c r="I113" i="3"/>
  <c r="H113" i="3"/>
  <c r="G113" i="3"/>
  <c r="F113" i="3"/>
  <c r="E113" i="3"/>
  <c r="D113" i="3"/>
  <c r="C113" i="3"/>
  <c r="BE112" i="3"/>
  <c r="R112" i="3"/>
  <c r="I112" i="3"/>
  <c r="H112" i="3"/>
  <c r="G112" i="3"/>
  <c r="F112" i="3"/>
  <c r="E112" i="3"/>
  <c r="D112" i="3"/>
  <c r="C112" i="3"/>
  <c r="BE111" i="3"/>
  <c r="R111" i="3"/>
  <c r="I111" i="3"/>
  <c r="H111" i="3"/>
  <c r="G111" i="3"/>
  <c r="F111" i="3"/>
  <c r="E111" i="3"/>
  <c r="D111" i="3"/>
  <c r="C111" i="3"/>
  <c r="BE110" i="3"/>
  <c r="R110" i="3"/>
  <c r="I110" i="3"/>
  <c r="H110" i="3"/>
  <c r="G110" i="3"/>
  <c r="F110" i="3"/>
  <c r="E110" i="3"/>
  <c r="D110" i="3"/>
  <c r="C110" i="3"/>
  <c r="BE109" i="3"/>
  <c r="R109" i="3"/>
  <c r="I109" i="3"/>
  <c r="H109" i="3"/>
  <c r="G109" i="3"/>
  <c r="F109" i="3"/>
  <c r="E109" i="3"/>
  <c r="D109" i="3"/>
  <c r="C109" i="3"/>
  <c r="BE108" i="3"/>
  <c r="R108" i="3"/>
  <c r="I108" i="3"/>
  <c r="H108" i="3"/>
  <c r="G108" i="3"/>
  <c r="F108" i="3"/>
  <c r="E108" i="3"/>
  <c r="D108" i="3"/>
  <c r="C108" i="3"/>
  <c r="BE107" i="3"/>
  <c r="R107" i="3"/>
  <c r="I107" i="3"/>
  <c r="H107" i="3"/>
  <c r="G107" i="3"/>
  <c r="F107" i="3"/>
  <c r="E107" i="3"/>
  <c r="D107" i="3"/>
  <c r="C107" i="3"/>
  <c r="BE106" i="3"/>
  <c r="R106" i="3"/>
  <c r="I106" i="3"/>
  <c r="H106" i="3"/>
  <c r="G106" i="3"/>
  <c r="F106" i="3"/>
  <c r="E106" i="3"/>
  <c r="D106" i="3"/>
  <c r="C106" i="3"/>
  <c r="BE105" i="3"/>
  <c r="R105" i="3"/>
  <c r="I105" i="3"/>
  <c r="H105" i="3"/>
  <c r="G105" i="3"/>
  <c r="F105" i="3"/>
  <c r="E105" i="3"/>
  <c r="D105" i="3"/>
  <c r="C105" i="3"/>
  <c r="BE104" i="3"/>
  <c r="R104" i="3"/>
  <c r="I104" i="3"/>
  <c r="H104" i="3"/>
  <c r="G104" i="3"/>
  <c r="F104" i="3"/>
  <c r="E104" i="3"/>
  <c r="D104" i="3"/>
  <c r="C104" i="3"/>
  <c r="BE103" i="3"/>
  <c r="R103" i="3"/>
  <c r="I103" i="3"/>
  <c r="H103" i="3"/>
  <c r="G103" i="3"/>
  <c r="F103" i="3"/>
  <c r="E103" i="3"/>
  <c r="D103" i="3"/>
  <c r="C103" i="3"/>
  <c r="BE102" i="3"/>
  <c r="R102" i="3"/>
  <c r="I102" i="3"/>
  <c r="H102" i="3"/>
  <c r="G102" i="3"/>
  <c r="F102" i="3"/>
  <c r="E102" i="3"/>
  <c r="D102" i="3"/>
  <c r="C102" i="3"/>
  <c r="BE101" i="3"/>
  <c r="R101" i="3"/>
  <c r="I101" i="3"/>
  <c r="H101" i="3"/>
  <c r="G101" i="3"/>
  <c r="F101" i="3"/>
  <c r="E101" i="3"/>
  <c r="D101" i="3"/>
  <c r="C101" i="3"/>
  <c r="BE100" i="3"/>
  <c r="R100" i="3"/>
  <c r="I100" i="3"/>
  <c r="H100" i="3"/>
  <c r="G100" i="3"/>
  <c r="F100" i="3"/>
  <c r="E100" i="3"/>
  <c r="D100" i="3"/>
  <c r="C100" i="3"/>
  <c r="BE99" i="3"/>
  <c r="R99" i="3"/>
  <c r="I99" i="3"/>
  <c r="H99" i="3"/>
  <c r="G99" i="3"/>
  <c r="F99" i="3"/>
  <c r="E99" i="3"/>
  <c r="D99" i="3"/>
  <c r="C99" i="3"/>
  <c r="BE98" i="3"/>
  <c r="R98" i="3"/>
  <c r="I98" i="3"/>
  <c r="H98" i="3"/>
  <c r="G98" i="3"/>
  <c r="F98" i="3"/>
  <c r="E98" i="3"/>
  <c r="D98" i="3"/>
  <c r="C98" i="3"/>
  <c r="BE97" i="3"/>
  <c r="R97" i="3"/>
  <c r="I97" i="3"/>
  <c r="H97" i="3"/>
  <c r="G97" i="3"/>
  <c r="F97" i="3"/>
  <c r="E97" i="3"/>
  <c r="D97" i="3"/>
  <c r="C97" i="3"/>
  <c r="BE96" i="3"/>
  <c r="R96" i="3"/>
  <c r="I96" i="3"/>
  <c r="H96" i="3"/>
  <c r="G96" i="3"/>
  <c r="F96" i="3"/>
  <c r="E96" i="3"/>
  <c r="D96" i="3"/>
  <c r="C96" i="3"/>
  <c r="BE95" i="3"/>
  <c r="R95" i="3"/>
  <c r="I95" i="3"/>
  <c r="H95" i="3"/>
  <c r="G95" i="3"/>
  <c r="F95" i="3"/>
  <c r="E95" i="3"/>
  <c r="D95" i="3"/>
  <c r="C95" i="3"/>
  <c r="BE94" i="3"/>
  <c r="R94" i="3"/>
  <c r="I94" i="3"/>
  <c r="H94" i="3"/>
  <c r="G94" i="3"/>
  <c r="F94" i="3"/>
  <c r="E94" i="3"/>
  <c r="D94" i="3"/>
  <c r="C94" i="3"/>
  <c r="BE93" i="3"/>
  <c r="R93" i="3"/>
  <c r="I93" i="3"/>
  <c r="H93" i="3"/>
  <c r="G93" i="3"/>
  <c r="F93" i="3"/>
  <c r="E93" i="3"/>
  <c r="D93" i="3"/>
  <c r="C93" i="3"/>
  <c r="BE92" i="3"/>
  <c r="R92" i="3"/>
  <c r="I92" i="3"/>
  <c r="H92" i="3"/>
  <c r="G92" i="3"/>
  <c r="F92" i="3"/>
  <c r="E92" i="3"/>
  <c r="D92" i="3"/>
  <c r="C92" i="3"/>
  <c r="BE91" i="3"/>
  <c r="R91" i="3"/>
  <c r="I91" i="3"/>
  <c r="H91" i="3"/>
  <c r="G91" i="3"/>
  <c r="F91" i="3"/>
  <c r="E91" i="3"/>
  <c r="D91" i="3"/>
  <c r="C91" i="3"/>
  <c r="BE90" i="3"/>
  <c r="R90" i="3"/>
  <c r="I90" i="3"/>
  <c r="H90" i="3"/>
  <c r="G90" i="3"/>
  <c r="F90" i="3"/>
  <c r="E90" i="3"/>
  <c r="D90" i="3"/>
  <c r="C90" i="3"/>
  <c r="BE89" i="3"/>
  <c r="R89" i="3"/>
  <c r="I89" i="3"/>
  <c r="H89" i="3"/>
  <c r="G89" i="3"/>
  <c r="F89" i="3"/>
  <c r="E89" i="3"/>
  <c r="D89" i="3"/>
  <c r="C89" i="3"/>
  <c r="BE88" i="3"/>
  <c r="R88" i="3"/>
  <c r="I88" i="3"/>
  <c r="H88" i="3"/>
  <c r="G88" i="3"/>
  <c r="F88" i="3"/>
  <c r="E88" i="3"/>
  <c r="D88" i="3"/>
  <c r="C88" i="3"/>
  <c r="BE87" i="3"/>
  <c r="R87" i="3"/>
  <c r="I87" i="3"/>
  <c r="H87" i="3"/>
  <c r="G87" i="3"/>
  <c r="F87" i="3"/>
  <c r="E87" i="3"/>
  <c r="D87" i="3"/>
  <c r="C87" i="3"/>
  <c r="BE86" i="3"/>
  <c r="R86" i="3"/>
  <c r="I86" i="3"/>
  <c r="H86" i="3"/>
  <c r="G86" i="3"/>
  <c r="F86" i="3"/>
  <c r="E86" i="3"/>
  <c r="D86" i="3"/>
  <c r="C86" i="3"/>
  <c r="BE85" i="3"/>
  <c r="R85" i="3"/>
  <c r="I85" i="3"/>
  <c r="H85" i="3"/>
  <c r="G85" i="3"/>
  <c r="F85" i="3"/>
  <c r="E85" i="3"/>
  <c r="D85" i="3"/>
  <c r="C85" i="3"/>
  <c r="BE84" i="3"/>
  <c r="R84" i="3"/>
  <c r="I84" i="3"/>
  <c r="H84" i="3"/>
  <c r="G84" i="3"/>
  <c r="F84" i="3"/>
  <c r="E84" i="3"/>
  <c r="D84" i="3"/>
  <c r="C84" i="3"/>
  <c r="BE83" i="3"/>
  <c r="R83" i="3"/>
  <c r="I83" i="3"/>
  <c r="H83" i="3"/>
  <c r="G83" i="3"/>
  <c r="F83" i="3"/>
  <c r="E83" i="3"/>
  <c r="D83" i="3"/>
  <c r="C83" i="3"/>
  <c r="BE82" i="3"/>
  <c r="R82" i="3"/>
  <c r="I82" i="3"/>
  <c r="H82" i="3"/>
  <c r="G82" i="3"/>
  <c r="F82" i="3"/>
  <c r="E82" i="3"/>
  <c r="D82" i="3"/>
  <c r="C82" i="3"/>
  <c r="BE81" i="3"/>
  <c r="R81" i="3"/>
  <c r="I81" i="3"/>
  <c r="H81" i="3"/>
  <c r="G81" i="3"/>
  <c r="F81" i="3"/>
  <c r="E81" i="3"/>
  <c r="D81" i="3"/>
  <c r="C81" i="3"/>
  <c r="BE80" i="3"/>
  <c r="R80" i="3"/>
  <c r="I80" i="3"/>
  <c r="H80" i="3"/>
  <c r="G80" i="3"/>
  <c r="F80" i="3"/>
  <c r="E80" i="3"/>
  <c r="D80" i="3"/>
  <c r="C80" i="3"/>
  <c r="BE79" i="3"/>
  <c r="R79" i="3"/>
  <c r="I79" i="3"/>
  <c r="H79" i="3"/>
  <c r="G79" i="3"/>
  <c r="F79" i="3"/>
  <c r="E79" i="3"/>
  <c r="D79" i="3"/>
  <c r="C79" i="3"/>
  <c r="BE78" i="3"/>
  <c r="R78" i="3"/>
  <c r="I78" i="3"/>
  <c r="H78" i="3"/>
  <c r="G78" i="3"/>
  <c r="F78" i="3"/>
  <c r="E78" i="3"/>
  <c r="D78" i="3"/>
  <c r="C78" i="3"/>
  <c r="BE77" i="3"/>
  <c r="R77" i="3"/>
  <c r="I77" i="3"/>
  <c r="H77" i="3"/>
  <c r="G77" i="3"/>
  <c r="F77" i="3"/>
  <c r="E77" i="3"/>
  <c r="D77" i="3"/>
  <c r="C77" i="3"/>
  <c r="BE76" i="3"/>
  <c r="R76" i="3"/>
  <c r="I76" i="3"/>
  <c r="H76" i="3"/>
  <c r="G76" i="3"/>
  <c r="F76" i="3"/>
  <c r="E76" i="3"/>
  <c r="D76" i="3"/>
  <c r="C76" i="3"/>
  <c r="BE75" i="3"/>
  <c r="R75" i="3"/>
  <c r="I75" i="3"/>
  <c r="H75" i="3"/>
  <c r="G75" i="3"/>
  <c r="F75" i="3"/>
  <c r="E75" i="3"/>
  <c r="D75" i="3"/>
  <c r="C75" i="3"/>
  <c r="BE74" i="3"/>
  <c r="R74" i="3"/>
  <c r="I74" i="3"/>
  <c r="H74" i="3"/>
  <c r="G74" i="3"/>
  <c r="F74" i="3"/>
  <c r="E74" i="3"/>
  <c r="D74" i="3"/>
  <c r="C74" i="3"/>
  <c r="BE73" i="3"/>
  <c r="R73" i="3"/>
  <c r="I73" i="3"/>
  <c r="H73" i="3"/>
  <c r="G73" i="3"/>
  <c r="F73" i="3"/>
  <c r="E73" i="3"/>
  <c r="D73" i="3"/>
  <c r="C73" i="3"/>
  <c r="BE72" i="3"/>
  <c r="R72" i="3"/>
  <c r="I72" i="3"/>
  <c r="H72" i="3"/>
  <c r="G72" i="3"/>
  <c r="F72" i="3"/>
  <c r="E72" i="3"/>
  <c r="D72" i="3"/>
  <c r="C72" i="3"/>
  <c r="BE71" i="3"/>
  <c r="R71" i="3"/>
  <c r="I71" i="3"/>
  <c r="H71" i="3"/>
  <c r="G71" i="3"/>
  <c r="F71" i="3"/>
  <c r="E71" i="3"/>
  <c r="D71" i="3"/>
  <c r="C71" i="3"/>
  <c r="BE70" i="3"/>
  <c r="R70" i="3"/>
  <c r="I70" i="3"/>
  <c r="H70" i="3"/>
  <c r="G70" i="3"/>
  <c r="F70" i="3"/>
  <c r="E70" i="3"/>
  <c r="D70" i="3"/>
  <c r="C70" i="3"/>
  <c r="BE69" i="3"/>
  <c r="R69" i="3"/>
  <c r="I69" i="3"/>
  <c r="H69" i="3"/>
  <c r="G69" i="3"/>
  <c r="F69" i="3"/>
  <c r="E69" i="3"/>
  <c r="D69" i="3"/>
  <c r="C69" i="3"/>
  <c r="BE68" i="3"/>
  <c r="R68" i="3"/>
  <c r="I68" i="3"/>
  <c r="H68" i="3"/>
  <c r="G68" i="3"/>
  <c r="F68" i="3"/>
  <c r="E68" i="3"/>
  <c r="D68" i="3"/>
  <c r="C68" i="3"/>
  <c r="BE67" i="3"/>
  <c r="R67" i="3"/>
  <c r="I67" i="3"/>
  <c r="H67" i="3"/>
  <c r="G67" i="3"/>
  <c r="F67" i="3"/>
  <c r="E67" i="3"/>
  <c r="D67" i="3"/>
  <c r="C67" i="3"/>
  <c r="BE66" i="3"/>
  <c r="R66" i="3"/>
  <c r="I66" i="3"/>
  <c r="H66" i="3"/>
  <c r="G66" i="3"/>
  <c r="F66" i="3"/>
  <c r="E66" i="3"/>
  <c r="D66" i="3"/>
  <c r="C66" i="3"/>
  <c r="BE65" i="3"/>
  <c r="R65" i="3"/>
  <c r="I65" i="3"/>
  <c r="H65" i="3"/>
  <c r="G65" i="3"/>
  <c r="F65" i="3"/>
  <c r="E65" i="3"/>
  <c r="D65" i="3"/>
  <c r="C65" i="3"/>
  <c r="BE64" i="3"/>
  <c r="R64" i="3"/>
  <c r="I64" i="3"/>
  <c r="H64" i="3"/>
  <c r="G64" i="3"/>
  <c r="F64" i="3"/>
  <c r="E64" i="3"/>
  <c r="D64" i="3"/>
  <c r="C64" i="3"/>
  <c r="BE63" i="3"/>
  <c r="R63" i="3"/>
  <c r="I63" i="3"/>
  <c r="H63" i="3"/>
  <c r="G63" i="3"/>
  <c r="F63" i="3"/>
  <c r="E63" i="3"/>
  <c r="D63" i="3"/>
  <c r="C63" i="3"/>
  <c r="BE62" i="3"/>
  <c r="R62" i="3"/>
  <c r="I62" i="3"/>
  <c r="H62" i="3"/>
  <c r="G62" i="3"/>
  <c r="F62" i="3"/>
  <c r="E62" i="3"/>
  <c r="D62" i="3"/>
  <c r="C62" i="3"/>
  <c r="BE61" i="3"/>
  <c r="R61" i="3"/>
  <c r="I61" i="3"/>
  <c r="H61" i="3"/>
  <c r="G61" i="3"/>
  <c r="F61" i="3"/>
  <c r="E61" i="3"/>
  <c r="D61" i="3"/>
  <c r="C61" i="3"/>
  <c r="BE60" i="3"/>
  <c r="R60" i="3"/>
  <c r="I60" i="3"/>
  <c r="H60" i="3"/>
  <c r="G60" i="3"/>
  <c r="F60" i="3"/>
  <c r="E60" i="3"/>
  <c r="D60" i="3"/>
  <c r="C60" i="3"/>
  <c r="BE59" i="3"/>
  <c r="R59" i="3"/>
  <c r="I59" i="3"/>
  <c r="H59" i="3"/>
  <c r="G59" i="3"/>
  <c r="F59" i="3"/>
  <c r="E59" i="3"/>
  <c r="D59" i="3"/>
  <c r="C59" i="3"/>
  <c r="BE58" i="3"/>
  <c r="R58" i="3"/>
  <c r="I58" i="3"/>
  <c r="H58" i="3"/>
  <c r="G58" i="3"/>
  <c r="F58" i="3"/>
  <c r="E58" i="3"/>
  <c r="D58" i="3"/>
  <c r="C58" i="3"/>
  <c r="BE57" i="3"/>
  <c r="R57" i="3"/>
  <c r="I57" i="3"/>
  <c r="H57" i="3"/>
  <c r="G57" i="3"/>
  <c r="F57" i="3"/>
  <c r="E57" i="3"/>
  <c r="D57" i="3"/>
  <c r="C57" i="3"/>
  <c r="BE56" i="3"/>
  <c r="R56" i="3"/>
  <c r="I56" i="3"/>
  <c r="H56" i="3"/>
  <c r="G56" i="3"/>
  <c r="F56" i="3"/>
  <c r="E56" i="3"/>
  <c r="D56" i="3"/>
  <c r="C56" i="3"/>
  <c r="BE55" i="3"/>
  <c r="R55" i="3"/>
  <c r="I55" i="3"/>
  <c r="H55" i="3"/>
  <c r="G55" i="3"/>
  <c r="F55" i="3"/>
  <c r="E55" i="3"/>
  <c r="D55" i="3"/>
  <c r="C55" i="3"/>
  <c r="BE54" i="3"/>
  <c r="R54" i="3"/>
  <c r="I54" i="3"/>
  <c r="H54" i="3"/>
  <c r="G54" i="3"/>
  <c r="F54" i="3"/>
  <c r="E54" i="3"/>
  <c r="D54" i="3"/>
  <c r="C54" i="3"/>
  <c r="BE53" i="3"/>
  <c r="R53" i="3"/>
  <c r="I53" i="3"/>
  <c r="H53" i="3"/>
  <c r="G53" i="3"/>
  <c r="F53" i="3"/>
  <c r="E53" i="3"/>
  <c r="D53" i="3"/>
  <c r="C53" i="3"/>
  <c r="BE52" i="3"/>
  <c r="R52" i="3"/>
  <c r="I52" i="3"/>
  <c r="H52" i="3"/>
  <c r="G52" i="3"/>
  <c r="F52" i="3"/>
  <c r="E52" i="3"/>
  <c r="D52" i="3"/>
  <c r="C52" i="3"/>
  <c r="BE51" i="3"/>
  <c r="R51" i="3"/>
  <c r="I51" i="3"/>
  <c r="H51" i="3"/>
  <c r="G51" i="3"/>
  <c r="F51" i="3"/>
  <c r="E51" i="3"/>
  <c r="D51" i="3"/>
  <c r="C51" i="3"/>
  <c r="BE50" i="3"/>
  <c r="R50" i="3"/>
  <c r="I50" i="3"/>
  <c r="H50" i="3"/>
  <c r="G50" i="3"/>
  <c r="F50" i="3"/>
  <c r="E50" i="3"/>
  <c r="D50" i="3"/>
  <c r="C50" i="3"/>
  <c r="BE49" i="3"/>
  <c r="R49" i="3"/>
  <c r="I49" i="3"/>
  <c r="H49" i="3"/>
  <c r="G49" i="3"/>
  <c r="F49" i="3"/>
  <c r="E49" i="3"/>
  <c r="D49" i="3"/>
  <c r="C49" i="3"/>
  <c r="BE48" i="3"/>
  <c r="R48" i="3"/>
  <c r="I48" i="3"/>
  <c r="H48" i="3"/>
  <c r="G48" i="3"/>
  <c r="F48" i="3"/>
  <c r="E48" i="3"/>
  <c r="D48" i="3"/>
  <c r="C48" i="3"/>
  <c r="BE47" i="3"/>
  <c r="R47" i="3"/>
  <c r="I47" i="3"/>
  <c r="H47" i="3"/>
  <c r="G47" i="3"/>
  <c r="F47" i="3"/>
  <c r="E47" i="3"/>
  <c r="D47" i="3"/>
  <c r="C47" i="3"/>
  <c r="R46" i="3"/>
  <c r="I46" i="3"/>
  <c r="H46" i="3"/>
  <c r="G46" i="3"/>
  <c r="F46" i="3"/>
  <c r="E46" i="3"/>
  <c r="D46" i="3"/>
  <c r="C46" i="3"/>
  <c r="BE45" i="3"/>
  <c r="R45" i="3"/>
  <c r="I45" i="3"/>
  <c r="H45" i="3"/>
  <c r="G45" i="3"/>
  <c r="F45" i="3"/>
  <c r="E45" i="3"/>
  <c r="D45" i="3"/>
  <c r="C45" i="3"/>
  <c r="BE44" i="3"/>
  <c r="R44" i="3"/>
  <c r="I44" i="3"/>
  <c r="H44" i="3"/>
  <c r="G44" i="3"/>
  <c r="F44" i="3"/>
  <c r="E44" i="3"/>
  <c r="D44" i="3"/>
  <c r="C44" i="3"/>
  <c r="BE43" i="3"/>
  <c r="R43" i="3"/>
  <c r="I43" i="3"/>
  <c r="H43" i="3"/>
  <c r="G43" i="3"/>
  <c r="F43" i="3"/>
  <c r="E43" i="3"/>
  <c r="D43" i="3"/>
  <c r="C43" i="3"/>
  <c r="BE42" i="3"/>
  <c r="R42" i="3"/>
  <c r="I42" i="3"/>
  <c r="H42" i="3"/>
  <c r="G42" i="3"/>
  <c r="F42" i="3"/>
  <c r="E42" i="3"/>
  <c r="D42" i="3"/>
  <c r="C42" i="3"/>
  <c r="BE41" i="3"/>
  <c r="R41" i="3"/>
  <c r="I41" i="3"/>
  <c r="H41" i="3"/>
  <c r="G41" i="3"/>
  <c r="F41" i="3"/>
  <c r="E41" i="3"/>
  <c r="D41" i="3"/>
  <c r="C41" i="3"/>
  <c r="BE40" i="3"/>
  <c r="R40" i="3"/>
  <c r="I40" i="3"/>
  <c r="H40" i="3"/>
  <c r="G40" i="3"/>
  <c r="F40" i="3"/>
  <c r="E40" i="3"/>
  <c r="D40" i="3"/>
  <c r="C40" i="3"/>
  <c r="BE39" i="3"/>
  <c r="R39" i="3"/>
  <c r="I39" i="3"/>
  <c r="H39" i="3"/>
  <c r="G39" i="3"/>
  <c r="F39" i="3"/>
  <c r="E39" i="3"/>
  <c r="D39" i="3"/>
  <c r="C39" i="3"/>
  <c r="BE38" i="3"/>
  <c r="R38" i="3"/>
  <c r="I38" i="3"/>
  <c r="H38" i="3"/>
  <c r="G38" i="3"/>
  <c r="F38" i="3"/>
  <c r="E38" i="3"/>
  <c r="D38" i="3"/>
  <c r="C38" i="3"/>
  <c r="BE37" i="3"/>
  <c r="R37" i="3"/>
  <c r="I37" i="3"/>
  <c r="H37" i="3"/>
  <c r="G37" i="3"/>
  <c r="F37" i="3"/>
  <c r="E37" i="3"/>
  <c r="D37" i="3"/>
  <c r="C37" i="3"/>
  <c r="BE36" i="3"/>
  <c r="R36" i="3"/>
  <c r="I36" i="3"/>
  <c r="H36" i="3"/>
  <c r="G36" i="3"/>
  <c r="F36" i="3"/>
  <c r="E36" i="3"/>
  <c r="D36" i="3"/>
  <c r="C36" i="3"/>
  <c r="BE35" i="3"/>
  <c r="R35" i="3"/>
  <c r="I35" i="3"/>
  <c r="H35" i="3"/>
  <c r="G35" i="3"/>
  <c r="F35" i="3"/>
  <c r="E35" i="3"/>
  <c r="D35" i="3"/>
  <c r="C35" i="3"/>
  <c r="BE34" i="3"/>
  <c r="R34" i="3"/>
  <c r="I34" i="3"/>
  <c r="H34" i="3"/>
  <c r="G34" i="3"/>
  <c r="F34" i="3"/>
  <c r="E34" i="3"/>
  <c r="D34" i="3"/>
  <c r="C34" i="3"/>
  <c r="BE33" i="3"/>
  <c r="R33" i="3"/>
  <c r="I33" i="3"/>
  <c r="H33" i="3"/>
  <c r="G33" i="3"/>
  <c r="F33" i="3"/>
  <c r="E33" i="3"/>
  <c r="D33" i="3"/>
  <c r="C33" i="3"/>
  <c r="BE32" i="3"/>
  <c r="R32" i="3"/>
  <c r="I32" i="3"/>
  <c r="H32" i="3"/>
  <c r="G32" i="3"/>
  <c r="F32" i="3"/>
  <c r="E32" i="3"/>
  <c r="D32" i="3"/>
  <c r="C32" i="3"/>
  <c r="BE31" i="3"/>
  <c r="R31" i="3"/>
  <c r="I31" i="3"/>
  <c r="H31" i="3"/>
  <c r="G31" i="3"/>
  <c r="F31" i="3"/>
  <c r="E31" i="3"/>
  <c r="D31" i="3"/>
  <c r="C31" i="3"/>
  <c r="BE30" i="3"/>
  <c r="R30" i="3"/>
  <c r="I30" i="3"/>
  <c r="H30" i="3"/>
  <c r="G30" i="3"/>
  <c r="F30" i="3"/>
  <c r="E30" i="3"/>
  <c r="D30" i="3"/>
  <c r="C30" i="3"/>
  <c r="BE29" i="3"/>
  <c r="R29" i="3"/>
  <c r="I29" i="3"/>
  <c r="H29" i="3"/>
  <c r="G29" i="3"/>
  <c r="F29" i="3"/>
  <c r="E29" i="3"/>
  <c r="D29" i="3"/>
  <c r="C29" i="3"/>
  <c r="BE28" i="3"/>
  <c r="R28" i="3"/>
  <c r="I28" i="3"/>
  <c r="H28" i="3"/>
  <c r="G28" i="3"/>
  <c r="F28" i="3"/>
  <c r="E28" i="3"/>
  <c r="D28" i="3"/>
  <c r="C28" i="3"/>
  <c r="BE27" i="3"/>
  <c r="R27" i="3"/>
  <c r="I27" i="3"/>
  <c r="H27" i="3"/>
  <c r="G27" i="3"/>
  <c r="F27" i="3"/>
  <c r="E27" i="3"/>
  <c r="D27" i="3"/>
  <c r="C27" i="3"/>
  <c r="BE26" i="3"/>
  <c r="R26" i="3"/>
  <c r="I26" i="3"/>
  <c r="H26" i="3"/>
  <c r="G26" i="3"/>
  <c r="F26" i="3"/>
  <c r="E26" i="3"/>
  <c r="D26" i="3"/>
  <c r="C26" i="3"/>
  <c r="BE25" i="3"/>
  <c r="R25" i="3"/>
  <c r="I25" i="3"/>
  <c r="H25" i="3"/>
  <c r="G25" i="3"/>
  <c r="F25" i="3"/>
  <c r="E25" i="3"/>
  <c r="D25" i="3"/>
  <c r="C25" i="3"/>
  <c r="BE24" i="3"/>
  <c r="R24" i="3"/>
  <c r="I24" i="3"/>
  <c r="H24" i="3"/>
  <c r="G24" i="3"/>
  <c r="F24" i="3"/>
  <c r="E24" i="3"/>
  <c r="D24" i="3"/>
  <c r="C24" i="3"/>
  <c r="BE23" i="3"/>
  <c r="R23" i="3"/>
  <c r="I23" i="3"/>
  <c r="H23" i="3"/>
  <c r="G23" i="3"/>
  <c r="F23" i="3"/>
  <c r="E23" i="3"/>
  <c r="D23" i="3"/>
  <c r="C23" i="3"/>
  <c r="BE22" i="3"/>
  <c r="R22" i="3"/>
  <c r="I22" i="3"/>
  <c r="H22" i="3"/>
  <c r="G22" i="3"/>
  <c r="F22" i="3"/>
  <c r="E22" i="3"/>
  <c r="D22" i="3"/>
  <c r="C22" i="3"/>
  <c r="BE21" i="3"/>
  <c r="R21" i="3"/>
  <c r="I21" i="3"/>
  <c r="H21" i="3"/>
  <c r="G21" i="3"/>
  <c r="F21" i="3"/>
  <c r="E21" i="3"/>
  <c r="D21" i="3"/>
  <c r="C21" i="3"/>
  <c r="BE20" i="3"/>
  <c r="R20" i="3"/>
  <c r="I20" i="3"/>
  <c r="H20" i="3"/>
  <c r="G20" i="3"/>
  <c r="F20" i="3"/>
  <c r="E20" i="3"/>
  <c r="D20" i="3"/>
  <c r="C20" i="3"/>
  <c r="BE19" i="3"/>
  <c r="R19" i="3"/>
  <c r="I19" i="3"/>
  <c r="H19" i="3"/>
  <c r="G19" i="3"/>
  <c r="F19" i="3"/>
  <c r="E19" i="3"/>
  <c r="D19" i="3"/>
  <c r="C19" i="3"/>
  <c r="BE18" i="3"/>
  <c r="R18" i="3"/>
  <c r="I18" i="3"/>
  <c r="H18" i="3"/>
  <c r="G18" i="3"/>
  <c r="F18" i="3"/>
  <c r="E18" i="3"/>
  <c r="D18" i="3"/>
  <c r="C18" i="3"/>
  <c r="BE17" i="3"/>
  <c r="R17" i="3"/>
  <c r="I17" i="3"/>
  <c r="H17" i="3"/>
  <c r="G17" i="3"/>
  <c r="F17" i="3"/>
  <c r="E17" i="3"/>
  <c r="D17" i="3"/>
  <c r="C17" i="3"/>
  <c r="BE16" i="3"/>
  <c r="R16" i="3"/>
  <c r="I16" i="3"/>
  <c r="H16" i="3"/>
  <c r="G16" i="3"/>
  <c r="F16" i="3"/>
  <c r="E16" i="3"/>
  <c r="D16" i="3"/>
  <c r="C16" i="3"/>
  <c r="BE15" i="3"/>
  <c r="R15" i="3"/>
  <c r="I15" i="3"/>
  <c r="H15" i="3"/>
  <c r="G15" i="3"/>
  <c r="F15" i="3"/>
  <c r="E15" i="3"/>
  <c r="D15" i="3"/>
  <c r="C15" i="3"/>
  <c r="BE14" i="3"/>
  <c r="R14" i="3"/>
  <c r="I14" i="3"/>
  <c r="H14" i="3"/>
  <c r="G14" i="3"/>
  <c r="F14" i="3"/>
  <c r="E14" i="3"/>
  <c r="D14" i="3"/>
  <c r="C14" i="3"/>
  <c r="BE13" i="3"/>
  <c r="R13" i="3"/>
  <c r="I13" i="3"/>
  <c r="H13" i="3"/>
  <c r="G13" i="3"/>
  <c r="F13" i="3"/>
  <c r="E13" i="3"/>
  <c r="D13" i="3"/>
  <c r="C13" i="3"/>
  <c r="BE12" i="3"/>
  <c r="R12" i="3"/>
  <c r="I12" i="3"/>
  <c r="H12" i="3"/>
  <c r="G12" i="3"/>
  <c r="F12" i="3"/>
  <c r="E12" i="3"/>
  <c r="D12" i="3"/>
  <c r="C12" i="3"/>
  <c r="BE11" i="3"/>
  <c r="R11" i="3"/>
  <c r="I11" i="3"/>
  <c r="H11" i="3"/>
  <c r="G11" i="3"/>
  <c r="F11" i="3"/>
  <c r="E11" i="3"/>
  <c r="D11" i="3"/>
  <c r="C11" i="3"/>
  <c r="BE10" i="3"/>
  <c r="R10" i="3"/>
  <c r="I10" i="3"/>
  <c r="H10" i="3"/>
  <c r="G10" i="3"/>
  <c r="F10" i="3"/>
  <c r="E10" i="3"/>
  <c r="D10" i="3"/>
  <c r="C10" i="3"/>
  <c r="BE9" i="3"/>
  <c r="R9" i="3"/>
  <c r="I9" i="3"/>
  <c r="H9" i="3"/>
  <c r="G9" i="3"/>
  <c r="F9" i="3"/>
  <c r="E9" i="3"/>
  <c r="D9" i="3"/>
  <c r="C9" i="3"/>
  <c r="BE8" i="3"/>
  <c r="R8" i="3"/>
  <c r="I8" i="3"/>
  <c r="H8" i="3"/>
  <c r="G8" i="3"/>
  <c r="F8" i="3"/>
  <c r="E8" i="3"/>
  <c r="D8" i="3"/>
  <c r="C8" i="3"/>
  <c r="BE7" i="3"/>
  <c r="R7" i="3"/>
  <c r="I7" i="3"/>
  <c r="H7" i="3"/>
  <c r="G7" i="3"/>
  <c r="F7" i="3"/>
  <c r="E7" i="3"/>
  <c r="D7" i="3"/>
  <c r="C7" i="3"/>
  <c r="BE6" i="3"/>
  <c r="R6" i="3"/>
  <c r="I6" i="3"/>
  <c r="H6" i="3"/>
  <c r="G6" i="3"/>
  <c r="F6" i="3"/>
  <c r="E6" i="3"/>
  <c r="D6" i="3"/>
  <c r="C6" i="3"/>
  <c r="BE5" i="3"/>
  <c r="R5" i="3"/>
  <c r="I5" i="3"/>
  <c r="H5" i="3"/>
  <c r="G5" i="3"/>
  <c r="F5" i="3"/>
  <c r="E5" i="3"/>
  <c r="D5" i="3"/>
  <c r="C5" i="3"/>
  <c r="BE122" i="2"/>
  <c r="BD122" i="2"/>
  <c r="BC122" i="2"/>
  <c r="BB122" i="2"/>
  <c r="BA122" i="2"/>
  <c r="AZ122" i="2"/>
  <c r="AY122" i="2"/>
  <c r="AX122" i="2"/>
  <c r="AW122" i="2"/>
  <c r="AV122" i="2"/>
  <c r="AU122" i="2"/>
  <c r="AT122" i="2"/>
  <c r="AS122" i="2"/>
  <c r="AR122" i="2"/>
  <c r="AQ122" i="2"/>
  <c r="AP122" i="2"/>
  <c r="AO122" i="2"/>
  <c r="AN122" i="2"/>
  <c r="AM122" i="2"/>
  <c r="AL122" i="2"/>
  <c r="AK122" i="2"/>
  <c r="AJ122" i="2"/>
  <c r="AI122" i="2"/>
  <c r="AH122" i="2"/>
  <c r="AG122" i="2"/>
  <c r="AF122" i="2"/>
  <c r="AE122" i="2"/>
  <c r="AD122" i="2"/>
  <c r="AB122" i="2"/>
  <c r="AA122" i="2"/>
  <c r="Z122" i="2"/>
  <c r="X122" i="2"/>
  <c r="V122" i="2"/>
  <c r="R122" i="2"/>
  <c r="Q122" i="2"/>
  <c r="P122" i="2"/>
  <c r="N122" i="2"/>
  <c r="M122" i="2"/>
  <c r="L122" i="2"/>
  <c r="K122" i="2"/>
  <c r="J122" i="2"/>
  <c r="I122" i="2"/>
  <c r="H122" i="2"/>
  <c r="G122" i="2"/>
  <c r="F122" i="2"/>
  <c r="E122" i="2"/>
  <c r="D122" i="2"/>
  <c r="C122" i="2"/>
  <c r="R121" i="2"/>
  <c r="BE120" i="2"/>
  <c r="R120" i="2"/>
  <c r="I120" i="2"/>
  <c r="H120" i="2"/>
  <c r="G120" i="2"/>
  <c r="F120" i="2"/>
  <c r="E120" i="2"/>
  <c r="D120" i="2"/>
  <c r="C120" i="2"/>
  <c r="R119" i="2"/>
  <c r="BE118" i="2"/>
  <c r="R118" i="2"/>
  <c r="I118" i="2"/>
  <c r="H118" i="2"/>
  <c r="G118" i="2"/>
  <c r="F118" i="2"/>
  <c r="E118" i="2"/>
  <c r="D118" i="2"/>
  <c r="C118" i="2"/>
  <c r="BE117" i="2"/>
  <c r="R117" i="2"/>
  <c r="I117" i="2"/>
  <c r="H117" i="2"/>
  <c r="G117" i="2"/>
  <c r="F117" i="2"/>
  <c r="E117" i="2"/>
  <c r="D117" i="2"/>
  <c r="C117" i="2"/>
  <c r="BE116" i="2"/>
  <c r="R116" i="2"/>
  <c r="I116" i="2"/>
  <c r="H116" i="2"/>
  <c r="G116" i="2"/>
  <c r="F116" i="2"/>
  <c r="E116" i="2"/>
  <c r="D116" i="2"/>
  <c r="C116" i="2"/>
  <c r="R115" i="2"/>
  <c r="I115" i="2"/>
  <c r="BE114" i="2"/>
  <c r="BD114" i="2"/>
  <c r="BC114" i="2"/>
  <c r="BB114" i="2"/>
  <c r="BA114" i="2"/>
  <c r="AZ114" i="2"/>
  <c r="AY114" i="2"/>
  <c r="AX114" i="2"/>
  <c r="AW114" i="2"/>
  <c r="AV114" i="2"/>
  <c r="AU114" i="2"/>
  <c r="AT114" i="2"/>
  <c r="AS114" i="2"/>
  <c r="AR114" i="2"/>
  <c r="AQ114" i="2"/>
  <c r="AP114" i="2"/>
  <c r="AO114" i="2"/>
  <c r="AN114" i="2"/>
  <c r="AM114" i="2"/>
  <c r="AL114" i="2"/>
  <c r="AK114" i="2"/>
  <c r="AJ114" i="2"/>
  <c r="AI114" i="2"/>
  <c r="AH114" i="2"/>
  <c r="AG114" i="2"/>
  <c r="AF114" i="2"/>
  <c r="AE114" i="2"/>
  <c r="AD114" i="2"/>
  <c r="AC114" i="2"/>
  <c r="AB114" i="2"/>
  <c r="AA114" i="2"/>
  <c r="Z114" i="2"/>
  <c r="Y114" i="2"/>
  <c r="X114" i="2"/>
  <c r="W114" i="2"/>
  <c r="V114" i="2"/>
  <c r="R114" i="2"/>
  <c r="Q114" i="2"/>
  <c r="P114" i="2"/>
  <c r="N114" i="2"/>
  <c r="M114" i="2"/>
  <c r="L114" i="2"/>
  <c r="K114" i="2"/>
  <c r="J114" i="2"/>
  <c r="I114" i="2"/>
  <c r="H114" i="2"/>
  <c r="G114" i="2"/>
  <c r="F114" i="2"/>
  <c r="E114" i="2"/>
  <c r="D114" i="2"/>
  <c r="C114" i="2"/>
  <c r="BE113" i="2"/>
  <c r="R113" i="2"/>
  <c r="I113" i="2"/>
  <c r="H113" i="2"/>
  <c r="G113" i="2"/>
  <c r="F113" i="2"/>
  <c r="E113" i="2"/>
  <c r="D113" i="2"/>
  <c r="C113" i="2"/>
  <c r="BE112" i="2"/>
  <c r="R112" i="2"/>
  <c r="I112" i="2"/>
  <c r="H112" i="2"/>
  <c r="G112" i="2"/>
  <c r="F112" i="2"/>
  <c r="E112" i="2"/>
  <c r="D112" i="2"/>
  <c r="C112" i="2"/>
  <c r="BE111" i="2"/>
  <c r="R111" i="2"/>
  <c r="I111" i="2"/>
  <c r="H111" i="2"/>
  <c r="G111" i="2"/>
  <c r="F111" i="2"/>
  <c r="E111" i="2"/>
  <c r="D111" i="2"/>
  <c r="C111" i="2"/>
  <c r="BE110" i="2"/>
  <c r="R110" i="2"/>
  <c r="I110" i="2"/>
  <c r="H110" i="2"/>
  <c r="G110" i="2"/>
  <c r="F110" i="2"/>
  <c r="E110" i="2"/>
  <c r="D110" i="2"/>
  <c r="C110" i="2"/>
  <c r="BE109" i="2"/>
  <c r="R109" i="2"/>
  <c r="I109" i="2"/>
  <c r="H109" i="2"/>
  <c r="G109" i="2"/>
  <c r="F109" i="2"/>
  <c r="E109" i="2"/>
  <c r="D109" i="2"/>
  <c r="C109" i="2"/>
  <c r="BE108" i="2"/>
  <c r="R108" i="2"/>
  <c r="I108" i="2"/>
  <c r="H108" i="2"/>
  <c r="G108" i="2"/>
  <c r="F108" i="2"/>
  <c r="E108" i="2"/>
  <c r="D108" i="2"/>
  <c r="C108" i="2"/>
  <c r="BE107" i="2"/>
  <c r="R107" i="2"/>
  <c r="I107" i="2"/>
  <c r="H107" i="2"/>
  <c r="G107" i="2"/>
  <c r="F107" i="2"/>
  <c r="E107" i="2"/>
  <c r="D107" i="2"/>
  <c r="C107" i="2"/>
  <c r="BE106" i="2"/>
  <c r="R106" i="2"/>
  <c r="I106" i="2"/>
  <c r="H106" i="2"/>
  <c r="G106" i="2"/>
  <c r="F106" i="2"/>
  <c r="E106" i="2"/>
  <c r="D106" i="2"/>
  <c r="C106" i="2"/>
  <c r="BE105" i="2"/>
  <c r="R105" i="2"/>
  <c r="I105" i="2"/>
  <c r="H105" i="2"/>
  <c r="G105" i="2"/>
  <c r="F105" i="2"/>
  <c r="E105" i="2"/>
  <c r="D105" i="2"/>
  <c r="C105" i="2"/>
  <c r="BE104" i="2"/>
  <c r="R104" i="2"/>
  <c r="I104" i="2"/>
  <c r="H104" i="2"/>
  <c r="G104" i="2"/>
  <c r="F104" i="2"/>
  <c r="E104" i="2"/>
  <c r="D104" i="2"/>
  <c r="C104" i="2"/>
  <c r="BE103" i="2"/>
  <c r="R103" i="2"/>
  <c r="I103" i="2"/>
  <c r="H103" i="2"/>
  <c r="G103" i="2"/>
  <c r="F103" i="2"/>
  <c r="E103" i="2"/>
  <c r="D103" i="2"/>
  <c r="C103" i="2"/>
  <c r="BE102" i="2"/>
  <c r="R102" i="2"/>
  <c r="I102" i="2"/>
  <c r="H102" i="2"/>
  <c r="G102" i="2"/>
  <c r="F102" i="2"/>
  <c r="E102" i="2"/>
  <c r="D102" i="2"/>
  <c r="C102" i="2"/>
  <c r="BE101" i="2"/>
  <c r="R101" i="2"/>
  <c r="I101" i="2"/>
  <c r="H101" i="2"/>
  <c r="G101" i="2"/>
  <c r="F101" i="2"/>
  <c r="E101" i="2"/>
  <c r="D101" i="2"/>
  <c r="C101" i="2"/>
  <c r="BE100" i="2"/>
  <c r="R100" i="2"/>
  <c r="I100" i="2"/>
  <c r="H100" i="2"/>
  <c r="G100" i="2"/>
  <c r="F100" i="2"/>
  <c r="E100" i="2"/>
  <c r="D100" i="2"/>
  <c r="C100" i="2"/>
  <c r="BE99" i="2"/>
  <c r="R99" i="2"/>
  <c r="I99" i="2"/>
  <c r="H99" i="2"/>
  <c r="G99" i="2"/>
  <c r="F99" i="2"/>
  <c r="E99" i="2"/>
  <c r="D99" i="2"/>
  <c r="C99" i="2"/>
  <c r="BE98" i="2"/>
  <c r="R98" i="2"/>
  <c r="I98" i="2"/>
  <c r="H98" i="2"/>
  <c r="G98" i="2"/>
  <c r="F98" i="2"/>
  <c r="E98" i="2"/>
  <c r="D98" i="2"/>
  <c r="C98" i="2"/>
  <c r="BE97" i="2"/>
  <c r="R97" i="2"/>
  <c r="I97" i="2"/>
  <c r="H97" i="2"/>
  <c r="G97" i="2"/>
  <c r="F97" i="2"/>
  <c r="E97" i="2"/>
  <c r="D97" i="2"/>
  <c r="C97" i="2"/>
  <c r="BE96" i="2"/>
  <c r="R96" i="2"/>
  <c r="I96" i="2"/>
  <c r="H96" i="2"/>
  <c r="G96" i="2"/>
  <c r="F96" i="2"/>
  <c r="E96" i="2"/>
  <c r="D96" i="2"/>
  <c r="C96" i="2"/>
  <c r="BE95" i="2"/>
  <c r="R95" i="2"/>
  <c r="I95" i="2"/>
  <c r="H95" i="2"/>
  <c r="G95" i="2"/>
  <c r="F95" i="2"/>
  <c r="E95" i="2"/>
  <c r="D95" i="2"/>
  <c r="C95" i="2"/>
  <c r="BE94" i="2"/>
  <c r="R94" i="2"/>
  <c r="I94" i="2"/>
  <c r="H94" i="2"/>
  <c r="G94" i="2"/>
  <c r="F94" i="2"/>
  <c r="E94" i="2"/>
  <c r="D94" i="2"/>
  <c r="C94" i="2"/>
  <c r="BE93" i="2"/>
  <c r="R93" i="2"/>
  <c r="I93" i="2"/>
  <c r="H93" i="2"/>
  <c r="G93" i="2"/>
  <c r="F93" i="2"/>
  <c r="E93" i="2"/>
  <c r="D93" i="2"/>
  <c r="C93" i="2"/>
  <c r="BE92" i="2"/>
  <c r="R92" i="2"/>
  <c r="I92" i="2"/>
  <c r="H92" i="2"/>
  <c r="G92" i="2"/>
  <c r="F92" i="2"/>
  <c r="E92" i="2"/>
  <c r="D92" i="2"/>
  <c r="C92" i="2"/>
  <c r="BE91" i="2"/>
  <c r="R91" i="2"/>
  <c r="I91" i="2"/>
  <c r="H91" i="2"/>
  <c r="G91" i="2"/>
  <c r="F91" i="2"/>
  <c r="E91" i="2"/>
  <c r="D91" i="2"/>
  <c r="C91" i="2"/>
  <c r="BE90" i="2"/>
  <c r="R90" i="2"/>
  <c r="I90" i="2"/>
  <c r="H90" i="2"/>
  <c r="G90" i="2"/>
  <c r="F90" i="2"/>
  <c r="E90" i="2"/>
  <c r="D90" i="2"/>
  <c r="C90" i="2"/>
  <c r="BE89" i="2"/>
  <c r="R89" i="2"/>
  <c r="I89" i="2"/>
  <c r="H89" i="2"/>
  <c r="G89" i="2"/>
  <c r="F89" i="2"/>
  <c r="E89" i="2"/>
  <c r="D89" i="2"/>
  <c r="C89" i="2"/>
  <c r="BE88" i="2"/>
  <c r="R88" i="2"/>
  <c r="I88" i="2"/>
  <c r="H88" i="2"/>
  <c r="G88" i="2"/>
  <c r="F88" i="2"/>
  <c r="E88" i="2"/>
  <c r="D88" i="2"/>
  <c r="C88" i="2"/>
  <c r="BE87" i="2"/>
  <c r="R87" i="2"/>
  <c r="I87" i="2"/>
  <c r="H87" i="2"/>
  <c r="G87" i="2"/>
  <c r="F87" i="2"/>
  <c r="E87" i="2"/>
  <c r="D87" i="2"/>
  <c r="C87" i="2"/>
  <c r="BE86" i="2"/>
  <c r="R86" i="2"/>
  <c r="I86" i="2"/>
  <c r="H86" i="2"/>
  <c r="G86" i="2"/>
  <c r="F86" i="2"/>
  <c r="E86" i="2"/>
  <c r="D86" i="2"/>
  <c r="C86" i="2"/>
  <c r="BE85" i="2"/>
  <c r="R85" i="2"/>
  <c r="I85" i="2"/>
  <c r="H85" i="2"/>
  <c r="G85" i="2"/>
  <c r="F85" i="2"/>
  <c r="E85" i="2"/>
  <c r="D85" i="2"/>
  <c r="C85" i="2"/>
  <c r="BE84" i="2"/>
  <c r="R84" i="2"/>
  <c r="I84" i="2"/>
  <c r="H84" i="2"/>
  <c r="G84" i="2"/>
  <c r="F84" i="2"/>
  <c r="E84" i="2"/>
  <c r="D84" i="2"/>
  <c r="C84" i="2"/>
  <c r="BE83" i="2"/>
  <c r="R83" i="2"/>
  <c r="I83" i="2"/>
  <c r="H83" i="2"/>
  <c r="G83" i="2"/>
  <c r="F83" i="2"/>
  <c r="E83" i="2"/>
  <c r="D83" i="2"/>
  <c r="C83" i="2"/>
  <c r="BE82" i="2"/>
  <c r="R82" i="2"/>
  <c r="I82" i="2"/>
  <c r="H82" i="2"/>
  <c r="G82" i="2"/>
  <c r="F82" i="2"/>
  <c r="E82" i="2"/>
  <c r="D82" i="2"/>
  <c r="C82" i="2"/>
  <c r="BE81" i="2"/>
  <c r="R81" i="2"/>
  <c r="I81" i="2"/>
  <c r="H81" i="2"/>
  <c r="G81" i="2"/>
  <c r="F81" i="2"/>
  <c r="E81" i="2"/>
  <c r="D81" i="2"/>
  <c r="C81" i="2"/>
  <c r="BE80" i="2"/>
  <c r="R80" i="2"/>
  <c r="I80" i="2"/>
  <c r="H80" i="2"/>
  <c r="G80" i="2"/>
  <c r="F80" i="2"/>
  <c r="E80" i="2"/>
  <c r="D80" i="2"/>
  <c r="C80" i="2"/>
  <c r="BE79" i="2"/>
  <c r="R79" i="2"/>
  <c r="I79" i="2"/>
  <c r="H79" i="2"/>
  <c r="G79" i="2"/>
  <c r="F79" i="2"/>
  <c r="E79" i="2"/>
  <c r="D79" i="2"/>
  <c r="C79" i="2"/>
  <c r="BE78" i="2"/>
  <c r="R78" i="2"/>
  <c r="I78" i="2"/>
  <c r="H78" i="2"/>
  <c r="G78" i="2"/>
  <c r="F78" i="2"/>
  <c r="E78" i="2"/>
  <c r="D78" i="2"/>
  <c r="C78" i="2"/>
  <c r="BE77" i="2"/>
  <c r="R77" i="2"/>
  <c r="I77" i="2"/>
  <c r="H77" i="2"/>
  <c r="G77" i="2"/>
  <c r="F77" i="2"/>
  <c r="E77" i="2"/>
  <c r="D77" i="2"/>
  <c r="C77" i="2"/>
  <c r="BE76" i="2"/>
  <c r="R76" i="2"/>
  <c r="I76" i="2"/>
  <c r="H76" i="2"/>
  <c r="G76" i="2"/>
  <c r="F76" i="2"/>
  <c r="E76" i="2"/>
  <c r="D76" i="2"/>
  <c r="C76" i="2"/>
  <c r="BE75" i="2"/>
  <c r="R75" i="2"/>
  <c r="I75" i="2"/>
  <c r="H75" i="2"/>
  <c r="G75" i="2"/>
  <c r="F75" i="2"/>
  <c r="E75" i="2"/>
  <c r="D75" i="2"/>
  <c r="C75" i="2"/>
  <c r="BE74" i="2"/>
  <c r="R74" i="2"/>
  <c r="I74" i="2"/>
  <c r="H74" i="2"/>
  <c r="G74" i="2"/>
  <c r="F74" i="2"/>
  <c r="E74" i="2"/>
  <c r="D74" i="2"/>
  <c r="C74" i="2"/>
  <c r="BE73" i="2"/>
  <c r="R73" i="2"/>
  <c r="I73" i="2"/>
  <c r="H73" i="2"/>
  <c r="G73" i="2"/>
  <c r="F73" i="2"/>
  <c r="E73" i="2"/>
  <c r="D73" i="2"/>
  <c r="C73" i="2"/>
  <c r="BE72" i="2"/>
  <c r="R72" i="2"/>
  <c r="I72" i="2"/>
  <c r="H72" i="2"/>
  <c r="G72" i="2"/>
  <c r="F72" i="2"/>
  <c r="E72" i="2"/>
  <c r="D72" i="2"/>
  <c r="C72" i="2"/>
  <c r="BE71" i="2"/>
  <c r="R71" i="2"/>
  <c r="I71" i="2"/>
  <c r="H71" i="2"/>
  <c r="G71" i="2"/>
  <c r="F71" i="2"/>
  <c r="E71" i="2"/>
  <c r="D71" i="2"/>
  <c r="C71" i="2"/>
  <c r="BE70" i="2"/>
  <c r="R70" i="2"/>
  <c r="I70" i="2"/>
  <c r="H70" i="2"/>
  <c r="G70" i="2"/>
  <c r="F70" i="2"/>
  <c r="E70" i="2"/>
  <c r="D70" i="2"/>
  <c r="C70" i="2"/>
  <c r="BE69" i="2"/>
  <c r="R69" i="2"/>
  <c r="I69" i="2"/>
  <c r="H69" i="2"/>
  <c r="G69" i="2"/>
  <c r="F69" i="2"/>
  <c r="E69" i="2"/>
  <c r="D69" i="2"/>
  <c r="C69" i="2"/>
  <c r="BE68" i="2"/>
  <c r="R68" i="2"/>
  <c r="I68" i="2"/>
  <c r="H68" i="2"/>
  <c r="G68" i="2"/>
  <c r="F68" i="2"/>
  <c r="E68" i="2"/>
  <c r="D68" i="2"/>
  <c r="C68" i="2"/>
  <c r="BE67" i="2"/>
  <c r="R67" i="2"/>
  <c r="I67" i="2"/>
  <c r="H67" i="2"/>
  <c r="G67" i="2"/>
  <c r="F67" i="2"/>
  <c r="E67" i="2"/>
  <c r="D67" i="2"/>
  <c r="C67" i="2"/>
  <c r="BE66" i="2"/>
  <c r="R66" i="2"/>
  <c r="I66" i="2"/>
  <c r="H66" i="2"/>
  <c r="G66" i="2"/>
  <c r="F66" i="2"/>
  <c r="E66" i="2"/>
  <c r="D66" i="2"/>
  <c r="C66" i="2"/>
  <c r="BE65" i="2"/>
  <c r="R65" i="2"/>
  <c r="I65" i="2"/>
  <c r="H65" i="2"/>
  <c r="G65" i="2"/>
  <c r="F65" i="2"/>
  <c r="E65" i="2"/>
  <c r="D65" i="2"/>
  <c r="C65" i="2"/>
  <c r="BE64" i="2"/>
  <c r="R64" i="2"/>
  <c r="I64" i="2"/>
  <c r="H64" i="2"/>
  <c r="G64" i="2"/>
  <c r="F64" i="2"/>
  <c r="E64" i="2"/>
  <c r="D64" i="2"/>
  <c r="C64" i="2"/>
  <c r="BE63" i="2"/>
  <c r="R63" i="2"/>
  <c r="I63" i="2"/>
  <c r="H63" i="2"/>
  <c r="G63" i="2"/>
  <c r="F63" i="2"/>
  <c r="E63" i="2"/>
  <c r="D63" i="2"/>
  <c r="C63" i="2"/>
  <c r="BE62" i="2"/>
  <c r="R62" i="2"/>
  <c r="I62" i="2"/>
  <c r="H62" i="2"/>
  <c r="G62" i="2"/>
  <c r="F62" i="2"/>
  <c r="E62" i="2"/>
  <c r="D62" i="2"/>
  <c r="C62" i="2"/>
  <c r="BE61" i="2"/>
  <c r="R61" i="2"/>
  <c r="I61" i="2"/>
  <c r="H61" i="2"/>
  <c r="G61" i="2"/>
  <c r="F61" i="2"/>
  <c r="E61" i="2"/>
  <c r="D61" i="2"/>
  <c r="C61" i="2"/>
  <c r="BE60" i="2"/>
  <c r="R60" i="2"/>
  <c r="I60" i="2"/>
  <c r="H60" i="2"/>
  <c r="G60" i="2"/>
  <c r="F60" i="2"/>
  <c r="E60" i="2"/>
  <c r="D60" i="2"/>
  <c r="C60" i="2"/>
  <c r="BE59" i="2"/>
  <c r="R59" i="2"/>
  <c r="I59" i="2"/>
  <c r="H59" i="2"/>
  <c r="G59" i="2"/>
  <c r="F59" i="2"/>
  <c r="E59" i="2"/>
  <c r="D59" i="2"/>
  <c r="C59" i="2"/>
  <c r="BE58" i="2"/>
  <c r="R58" i="2"/>
  <c r="I58" i="2"/>
  <c r="H58" i="2"/>
  <c r="G58" i="2"/>
  <c r="F58" i="2"/>
  <c r="E58" i="2"/>
  <c r="D58" i="2"/>
  <c r="C58" i="2"/>
  <c r="BE57" i="2"/>
  <c r="R57" i="2"/>
  <c r="I57" i="2"/>
  <c r="H57" i="2"/>
  <c r="G57" i="2"/>
  <c r="F57" i="2"/>
  <c r="E57" i="2"/>
  <c r="D57" i="2"/>
  <c r="C57" i="2"/>
  <c r="BE56" i="2"/>
  <c r="R56" i="2"/>
  <c r="I56" i="2"/>
  <c r="H56" i="2"/>
  <c r="G56" i="2"/>
  <c r="F56" i="2"/>
  <c r="E56" i="2"/>
  <c r="D56" i="2"/>
  <c r="C56" i="2"/>
  <c r="BE55" i="2"/>
  <c r="R55" i="2"/>
  <c r="I55" i="2"/>
  <c r="H55" i="2"/>
  <c r="G55" i="2"/>
  <c r="F55" i="2"/>
  <c r="E55" i="2"/>
  <c r="D55" i="2"/>
  <c r="C55" i="2"/>
  <c r="BE54" i="2"/>
  <c r="R54" i="2"/>
  <c r="I54" i="2"/>
  <c r="H54" i="2"/>
  <c r="G54" i="2"/>
  <c r="F54" i="2"/>
  <c r="E54" i="2"/>
  <c r="D54" i="2"/>
  <c r="C54" i="2"/>
  <c r="BE53" i="2"/>
  <c r="R53" i="2"/>
  <c r="I53" i="2"/>
  <c r="H53" i="2"/>
  <c r="G53" i="2"/>
  <c r="F53" i="2"/>
  <c r="E53" i="2"/>
  <c r="D53" i="2"/>
  <c r="C53" i="2"/>
  <c r="BE52" i="2"/>
  <c r="R52" i="2"/>
  <c r="I52" i="2"/>
  <c r="H52" i="2"/>
  <c r="G52" i="2"/>
  <c r="F52" i="2"/>
  <c r="E52" i="2"/>
  <c r="D52" i="2"/>
  <c r="C52" i="2"/>
  <c r="BE51" i="2"/>
  <c r="R51" i="2"/>
  <c r="I51" i="2"/>
  <c r="H51" i="2"/>
  <c r="G51" i="2"/>
  <c r="F51" i="2"/>
  <c r="E51" i="2"/>
  <c r="D51" i="2"/>
  <c r="C51" i="2"/>
  <c r="BE50" i="2"/>
  <c r="R50" i="2"/>
  <c r="I50" i="2"/>
  <c r="H50" i="2"/>
  <c r="G50" i="2"/>
  <c r="F50" i="2"/>
  <c r="E50" i="2"/>
  <c r="D50" i="2"/>
  <c r="C50" i="2"/>
  <c r="BE49" i="2"/>
  <c r="R49" i="2"/>
  <c r="I49" i="2"/>
  <c r="H49" i="2"/>
  <c r="G49" i="2"/>
  <c r="F49" i="2"/>
  <c r="E49" i="2"/>
  <c r="D49" i="2"/>
  <c r="C49" i="2"/>
  <c r="BE48" i="2"/>
  <c r="R48" i="2"/>
  <c r="I48" i="2"/>
  <c r="H48" i="2"/>
  <c r="G48" i="2"/>
  <c r="F48" i="2"/>
  <c r="E48" i="2"/>
  <c r="D48" i="2"/>
  <c r="C48" i="2"/>
  <c r="BE47" i="2"/>
  <c r="R47" i="2"/>
  <c r="I47" i="2"/>
  <c r="H47" i="2"/>
  <c r="G47" i="2"/>
  <c r="F47" i="2"/>
  <c r="E47" i="2"/>
  <c r="D47" i="2"/>
  <c r="C47" i="2"/>
  <c r="R46" i="2"/>
  <c r="I46" i="2"/>
  <c r="H46" i="2"/>
  <c r="G46" i="2"/>
  <c r="F46" i="2"/>
  <c r="E46" i="2"/>
  <c r="D46" i="2"/>
  <c r="C46" i="2"/>
  <c r="BE45" i="2"/>
  <c r="R45" i="2"/>
  <c r="I45" i="2"/>
  <c r="H45" i="2"/>
  <c r="G45" i="2"/>
  <c r="F45" i="2"/>
  <c r="E45" i="2"/>
  <c r="D45" i="2"/>
  <c r="C45" i="2"/>
  <c r="BE44" i="2"/>
  <c r="R44" i="2"/>
  <c r="I44" i="2"/>
  <c r="H44" i="2"/>
  <c r="G44" i="2"/>
  <c r="F44" i="2"/>
  <c r="E44" i="2"/>
  <c r="D44" i="2"/>
  <c r="C44" i="2"/>
  <c r="BE43" i="2"/>
  <c r="R43" i="2"/>
  <c r="I43" i="2"/>
  <c r="H43" i="2"/>
  <c r="G43" i="2"/>
  <c r="F43" i="2"/>
  <c r="E43" i="2"/>
  <c r="D43" i="2"/>
  <c r="C43" i="2"/>
  <c r="BE42" i="2"/>
  <c r="R42" i="2"/>
  <c r="I42" i="2"/>
  <c r="H42" i="2"/>
  <c r="G42" i="2"/>
  <c r="F42" i="2"/>
  <c r="E42" i="2"/>
  <c r="D42" i="2"/>
  <c r="C42" i="2"/>
  <c r="BE41" i="2"/>
  <c r="R41" i="2"/>
  <c r="I41" i="2"/>
  <c r="H41" i="2"/>
  <c r="G41" i="2"/>
  <c r="F41" i="2"/>
  <c r="E41" i="2"/>
  <c r="D41" i="2"/>
  <c r="C41" i="2"/>
  <c r="BE40" i="2"/>
  <c r="R40" i="2"/>
  <c r="I40" i="2"/>
  <c r="H40" i="2"/>
  <c r="G40" i="2"/>
  <c r="F40" i="2"/>
  <c r="E40" i="2"/>
  <c r="D40" i="2"/>
  <c r="C40" i="2"/>
  <c r="BE39" i="2"/>
  <c r="R39" i="2"/>
  <c r="I39" i="2"/>
  <c r="H39" i="2"/>
  <c r="G39" i="2"/>
  <c r="F39" i="2"/>
  <c r="E39" i="2"/>
  <c r="D39" i="2"/>
  <c r="C39" i="2"/>
  <c r="BE38" i="2"/>
  <c r="R38" i="2"/>
  <c r="I38" i="2"/>
  <c r="H38" i="2"/>
  <c r="G38" i="2"/>
  <c r="F38" i="2"/>
  <c r="E38" i="2"/>
  <c r="D38" i="2"/>
  <c r="C38" i="2"/>
  <c r="BE37" i="2"/>
  <c r="R37" i="2"/>
  <c r="I37" i="2"/>
  <c r="H37" i="2"/>
  <c r="G37" i="2"/>
  <c r="F37" i="2"/>
  <c r="E37" i="2"/>
  <c r="D37" i="2"/>
  <c r="C37" i="2"/>
  <c r="BE36" i="2"/>
  <c r="R36" i="2"/>
  <c r="I36" i="2"/>
  <c r="H36" i="2"/>
  <c r="G36" i="2"/>
  <c r="F36" i="2"/>
  <c r="E36" i="2"/>
  <c r="D36" i="2"/>
  <c r="C36" i="2"/>
  <c r="BE35" i="2"/>
  <c r="R35" i="2"/>
  <c r="I35" i="2"/>
  <c r="H35" i="2"/>
  <c r="G35" i="2"/>
  <c r="F35" i="2"/>
  <c r="E35" i="2"/>
  <c r="D35" i="2"/>
  <c r="C35" i="2"/>
  <c r="BE34" i="2"/>
  <c r="R34" i="2"/>
  <c r="I34" i="2"/>
  <c r="H34" i="2"/>
  <c r="G34" i="2"/>
  <c r="F34" i="2"/>
  <c r="E34" i="2"/>
  <c r="D34" i="2"/>
  <c r="C34" i="2"/>
  <c r="BE33" i="2"/>
  <c r="R33" i="2"/>
  <c r="I33" i="2"/>
  <c r="H33" i="2"/>
  <c r="G33" i="2"/>
  <c r="F33" i="2"/>
  <c r="E33" i="2"/>
  <c r="D33" i="2"/>
  <c r="C33" i="2"/>
  <c r="BE32" i="2"/>
  <c r="R32" i="2"/>
  <c r="I32" i="2"/>
  <c r="H32" i="2"/>
  <c r="G32" i="2"/>
  <c r="F32" i="2"/>
  <c r="E32" i="2"/>
  <c r="D32" i="2"/>
  <c r="C32" i="2"/>
  <c r="BE31" i="2"/>
  <c r="R31" i="2"/>
  <c r="I31" i="2"/>
  <c r="H31" i="2"/>
  <c r="G31" i="2"/>
  <c r="F31" i="2"/>
  <c r="E31" i="2"/>
  <c r="D31" i="2"/>
  <c r="C31" i="2"/>
  <c r="BE30" i="2"/>
  <c r="R30" i="2"/>
  <c r="I30" i="2"/>
  <c r="H30" i="2"/>
  <c r="G30" i="2"/>
  <c r="F30" i="2"/>
  <c r="E30" i="2"/>
  <c r="D30" i="2"/>
  <c r="C30" i="2"/>
  <c r="BE29" i="2"/>
  <c r="R29" i="2"/>
  <c r="I29" i="2"/>
  <c r="H29" i="2"/>
  <c r="G29" i="2"/>
  <c r="F29" i="2"/>
  <c r="E29" i="2"/>
  <c r="D29" i="2"/>
  <c r="C29" i="2"/>
  <c r="BE28" i="2"/>
  <c r="R28" i="2"/>
  <c r="I28" i="2"/>
  <c r="H28" i="2"/>
  <c r="G28" i="2"/>
  <c r="F28" i="2"/>
  <c r="E28" i="2"/>
  <c r="D28" i="2"/>
  <c r="C28" i="2"/>
  <c r="BE27" i="2"/>
  <c r="R27" i="2"/>
  <c r="I27" i="2"/>
  <c r="H27" i="2"/>
  <c r="G27" i="2"/>
  <c r="F27" i="2"/>
  <c r="E27" i="2"/>
  <c r="D27" i="2"/>
  <c r="C27" i="2"/>
  <c r="BE26" i="2"/>
  <c r="R26" i="2"/>
  <c r="I26" i="2"/>
  <c r="H26" i="2"/>
  <c r="G26" i="2"/>
  <c r="F26" i="2"/>
  <c r="E26" i="2"/>
  <c r="D26" i="2"/>
  <c r="C26" i="2"/>
  <c r="BE25" i="2"/>
  <c r="R25" i="2"/>
  <c r="I25" i="2"/>
  <c r="H25" i="2"/>
  <c r="G25" i="2"/>
  <c r="F25" i="2"/>
  <c r="E25" i="2"/>
  <c r="D25" i="2"/>
  <c r="C25" i="2"/>
  <c r="BE24" i="2"/>
  <c r="R24" i="2"/>
  <c r="I24" i="2"/>
  <c r="H24" i="2"/>
  <c r="G24" i="2"/>
  <c r="F24" i="2"/>
  <c r="E24" i="2"/>
  <c r="D24" i="2"/>
  <c r="C24" i="2"/>
  <c r="BE23" i="2"/>
  <c r="R23" i="2"/>
  <c r="I23" i="2"/>
  <c r="H23" i="2"/>
  <c r="G23" i="2"/>
  <c r="F23" i="2"/>
  <c r="E23" i="2"/>
  <c r="D23" i="2"/>
  <c r="C23" i="2"/>
  <c r="BE22" i="2"/>
  <c r="R22" i="2"/>
  <c r="I22" i="2"/>
  <c r="H22" i="2"/>
  <c r="G22" i="2"/>
  <c r="F22" i="2"/>
  <c r="E22" i="2"/>
  <c r="D22" i="2"/>
  <c r="C22" i="2"/>
  <c r="BE21" i="2"/>
  <c r="R21" i="2"/>
  <c r="I21" i="2"/>
  <c r="H21" i="2"/>
  <c r="G21" i="2"/>
  <c r="F21" i="2"/>
  <c r="E21" i="2"/>
  <c r="D21" i="2"/>
  <c r="C21" i="2"/>
  <c r="BE20" i="2"/>
  <c r="R20" i="2"/>
  <c r="I20" i="2"/>
  <c r="H20" i="2"/>
  <c r="G20" i="2"/>
  <c r="F20" i="2"/>
  <c r="E20" i="2"/>
  <c r="D20" i="2"/>
  <c r="C20" i="2"/>
  <c r="BE19" i="2"/>
  <c r="R19" i="2"/>
  <c r="I19" i="2"/>
  <c r="H19" i="2"/>
  <c r="G19" i="2"/>
  <c r="F19" i="2"/>
  <c r="E19" i="2"/>
  <c r="D19" i="2"/>
  <c r="C19" i="2"/>
  <c r="BE18" i="2"/>
  <c r="R18" i="2"/>
  <c r="I18" i="2"/>
  <c r="H18" i="2"/>
  <c r="G18" i="2"/>
  <c r="F18" i="2"/>
  <c r="E18" i="2"/>
  <c r="D18" i="2"/>
  <c r="C18" i="2"/>
  <c r="BE17" i="2"/>
  <c r="R17" i="2"/>
  <c r="I17" i="2"/>
  <c r="H17" i="2"/>
  <c r="G17" i="2"/>
  <c r="F17" i="2"/>
  <c r="E17" i="2"/>
  <c r="D17" i="2"/>
  <c r="C17" i="2"/>
  <c r="BE16" i="2"/>
  <c r="R16" i="2"/>
  <c r="I16" i="2"/>
  <c r="H16" i="2"/>
  <c r="G16" i="2"/>
  <c r="F16" i="2"/>
  <c r="E16" i="2"/>
  <c r="D16" i="2"/>
  <c r="C16" i="2"/>
  <c r="BE15" i="2"/>
  <c r="R15" i="2"/>
  <c r="I15" i="2"/>
  <c r="H15" i="2"/>
  <c r="G15" i="2"/>
  <c r="F15" i="2"/>
  <c r="E15" i="2"/>
  <c r="D15" i="2"/>
  <c r="C15" i="2"/>
  <c r="BE14" i="2"/>
  <c r="R14" i="2"/>
  <c r="I14" i="2"/>
  <c r="H14" i="2"/>
  <c r="G14" i="2"/>
  <c r="F14" i="2"/>
  <c r="E14" i="2"/>
  <c r="D14" i="2"/>
  <c r="C14" i="2"/>
  <c r="BE13" i="2"/>
  <c r="R13" i="2"/>
  <c r="I13" i="2"/>
  <c r="H13" i="2"/>
  <c r="G13" i="2"/>
  <c r="F13" i="2"/>
  <c r="E13" i="2"/>
  <c r="D13" i="2"/>
  <c r="C13" i="2"/>
  <c r="BE12" i="2"/>
  <c r="R12" i="2"/>
  <c r="I12" i="2"/>
  <c r="H12" i="2"/>
  <c r="G12" i="2"/>
  <c r="F12" i="2"/>
  <c r="E12" i="2"/>
  <c r="D12" i="2"/>
  <c r="C12" i="2"/>
  <c r="BE11" i="2"/>
  <c r="R11" i="2"/>
  <c r="I11" i="2"/>
  <c r="H11" i="2"/>
  <c r="G11" i="2"/>
  <c r="F11" i="2"/>
  <c r="E11" i="2"/>
  <c r="D11" i="2"/>
  <c r="C11" i="2"/>
  <c r="BE10" i="2"/>
  <c r="R10" i="2"/>
  <c r="I10" i="2"/>
  <c r="H10" i="2"/>
  <c r="G10" i="2"/>
  <c r="F10" i="2"/>
  <c r="E10" i="2"/>
  <c r="D10" i="2"/>
  <c r="C10" i="2"/>
  <c r="BE9" i="2"/>
  <c r="R9" i="2"/>
  <c r="I9" i="2"/>
  <c r="H9" i="2"/>
  <c r="G9" i="2"/>
  <c r="F9" i="2"/>
  <c r="E9" i="2"/>
  <c r="D9" i="2"/>
  <c r="C9" i="2"/>
  <c r="BE8" i="2"/>
  <c r="R8" i="2"/>
  <c r="I8" i="2"/>
  <c r="H8" i="2"/>
  <c r="G8" i="2"/>
  <c r="F8" i="2"/>
  <c r="E8" i="2"/>
  <c r="D8" i="2"/>
  <c r="C8" i="2"/>
  <c r="BE7" i="2"/>
  <c r="R7" i="2"/>
  <c r="I7" i="2"/>
  <c r="H7" i="2"/>
  <c r="G7" i="2"/>
  <c r="F7" i="2"/>
  <c r="E7" i="2"/>
  <c r="D7" i="2"/>
  <c r="C7" i="2"/>
  <c r="BE6" i="2"/>
  <c r="R6" i="2"/>
  <c r="I6" i="2"/>
  <c r="H6" i="2"/>
  <c r="G6" i="2"/>
  <c r="F6" i="2"/>
  <c r="E6" i="2"/>
  <c r="D6" i="2"/>
  <c r="C6" i="2"/>
  <c r="BE5" i="2"/>
  <c r="R5" i="2"/>
  <c r="I5" i="2"/>
  <c r="H5" i="2"/>
  <c r="G5" i="2"/>
  <c r="F5" i="2"/>
  <c r="E5" i="2"/>
  <c r="D5" i="2"/>
  <c r="C5" i="2"/>
  <c r="U29" i="17"/>
  <c r="T29" i="17"/>
  <c r="S29" i="17"/>
  <c r="AC28" i="17"/>
  <c r="AA28" i="17"/>
  <c r="V28" i="17"/>
  <c r="O28" i="17"/>
  <c r="N28" i="17"/>
  <c r="M28" i="17"/>
  <c r="L28" i="17"/>
  <c r="K28" i="17"/>
  <c r="R27" i="17"/>
  <c r="I26" i="17"/>
  <c r="H26" i="17"/>
  <c r="G26" i="17"/>
  <c r="F26" i="17"/>
  <c r="E26" i="17"/>
  <c r="D26" i="17"/>
  <c r="J26" i="17" s="1"/>
  <c r="I25" i="17"/>
  <c r="H25" i="17"/>
  <c r="H28" i="17" s="1"/>
  <c r="G25" i="17"/>
  <c r="G28" i="17" s="1"/>
  <c r="F25" i="17"/>
  <c r="F28" i="17" s="1"/>
  <c r="E25" i="17"/>
  <c r="D25" i="17"/>
  <c r="J24" i="17"/>
  <c r="BF23" i="17"/>
  <c r="BF29" i="17" s="1"/>
  <c r="BE23" i="17"/>
  <c r="BE29" i="17" s="1"/>
  <c r="BD23" i="17"/>
  <c r="BD29" i="17" s="1"/>
  <c r="BC23" i="17"/>
  <c r="BC29" i="17" s="1"/>
  <c r="BB23" i="17"/>
  <c r="BB29" i="17" s="1"/>
  <c r="BA23" i="17"/>
  <c r="BA6" i="7" s="1"/>
  <c r="AZ23" i="17"/>
  <c r="AZ29" i="17" s="1"/>
  <c r="AY23" i="17"/>
  <c r="AY29" i="17" s="1"/>
  <c r="AX23" i="17"/>
  <c r="AX29" i="17" s="1"/>
  <c r="AW23" i="17"/>
  <c r="AW29" i="17" s="1"/>
  <c r="AV23" i="17"/>
  <c r="AV29" i="17" s="1"/>
  <c r="AU23" i="17"/>
  <c r="AU29" i="17" s="1"/>
  <c r="AT23" i="17"/>
  <c r="AT29" i="17" s="1"/>
  <c r="AS23" i="17"/>
  <c r="AS6" i="7" s="1"/>
  <c r="AR23" i="17"/>
  <c r="AR29" i="17" s="1"/>
  <c r="AQ23" i="17"/>
  <c r="AQ29" i="17" s="1"/>
  <c r="AP23" i="17"/>
  <c r="AP29" i="17" s="1"/>
  <c r="AO23" i="17"/>
  <c r="AO29" i="17" s="1"/>
  <c r="AN23" i="17"/>
  <c r="AN29" i="17" s="1"/>
  <c r="AM23" i="17"/>
  <c r="AM29" i="17" s="1"/>
  <c r="AL23" i="17"/>
  <c r="AL29" i="17" s="1"/>
  <c r="AK23" i="17"/>
  <c r="AK6" i="7" s="1"/>
  <c r="AJ23" i="17"/>
  <c r="AJ29" i="17" s="1"/>
  <c r="AI23" i="17"/>
  <c r="AI29" i="17" s="1"/>
  <c r="AH23" i="17"/>
  <c r="AH29" i="17" s="1"/>
  <c r="AG23" i="17"/>
  <c r="AG29" i="17" s="1"/>
  <c r="AF23" i="17"/>
  <c r="AF29" i="17" s="1"/>
  <c r="AE23" i="17"/>
  <c r="AE29" i="17" s="1"/>
  <c r="AD23" i="17"/>
  <c r="AD29" i="17" s="1"/>
  <c r="AC23" i="17"/>
  <c r="AC6" i="7" s="1"/>
  <c r="AB23" i="17"/>
  <c r="Z23" i="17"/>
  <c r="Z29" i="17" s="1"/>
  <c r="Y23" i="17"/>
  <c r="Y29" i="17" s="1"/>
  <c r="X23" i="17"/>
  <c r="X29" i="17" s="1"/>
  <c r="W23" i="17"/>
  <c r="W29" i="17" s="1"/>
  <c r="V23" i="17"/>
  <c r="Q23" i="17"/>
  <c r="Q29" i="17" s="1"/>
  <c r="P23" i="17"/>
  <c r="P29" i="17" s="1"/>
  <c r="O23" i="17"/>
  <c r="O6" i="7" s="1"/>
  <c r="N23" i="17"/>
  <c r="N6" i="7" s="1"/>
  <c r="N9" i="7" s="1"/>
  <c r="M23" i="17"/>
  <c r="M6" i="7" s="1"/>
  <c r="L23" i="17"/>
  <c r="K23" i="17"/>
  <c r="I22" i="17"/>
  <c r="H22" i="17"/>
  <c r="G22" i="17"/>
  <c r="F22" i="17"/>
  <c r="E22" i="17"/>
  <c r="D22" i="17"/>
  <c r="C22" i="17"/>
  <c r="J22" i="17" s="1"/>
  <c r="I21" i="17"/>
  <c r="I23" i="17" s="1"/>
  <c r="I6" i="7" s="1"/>
  <c r="I9" i="7" s="1"/>
  <c r="H21" i="17"/>
  <c r="G21" i="17"/>
  <c r="F21" i="17"/>
  <c r="E21" i="17"/>
  <c r="E23" i="17" s="1"/>
  <c r="E6" i="7" s="1"/>
  <c r="E9" i="7" s="1"/>
  <c r="D21" i="17"/>
  <c r="D23" i="17" s="1"/>
  <c r="D6" i="7" s="1"/>
  <c r="D9" i="7" s="1"/>
  <c r="C21" i="17"/>
  <c r="R20" i="17"/>
  <c r="J20" i="17"/>
  <c r="I20" i="17"/>
  <c r="H20" i="17"/>
  <c r="G20" i="17"/>
  <c r="F20" i="17"/>
  <c r="E20" i="17"/>
  <c r="D20" i="17"/>
  <c r="C20" i="17"/>
  <c r="R19" i="17"/>
  <c r="J19" i="17"/>
  <c r="I19" i="17"/>
  <c r="H19" i="17"/>
  <c r="G19" i="17"/>
  <c r="F19" i="17"/>
  <c r="E19" i="17"/>
  <c r="D19" i="17"/>
  <c r="C19" i="17"/>
  <c r="R18" i="17"/>
  <c r="J18" i="17"/>
  <c r="I18" i="17"/>
  <c r="H18" i="17"/>
  <c r="G18" i="17"/>
  <c r="F18" i="17"/>
  <c r="E18" i="17"/>
  <c r="D18" i="17"/>
  <c r="C18" i="17"/>
  <c r="R17" i="17"/>
  <c r="J17" i="17"/>
  <c r="I17" i="17"/>
  <c r="H17" i="17"/>
  <c r="G17" i="17"/>
  <c r="F17" i="17"/>
  <c r="E17" i="17"/>
  <c r="D17" i="17"/>
  <c r="C17" i="17"/>
  <c r="R16" i="17"/>
  <c r="J16" i="17"/>
  <c r="I16" i="17"/>
  <c r="H16" i="17"/>
  <c r="G16" i="17"/>
  <c r="F16" i="17"/>
  <c r="E16" i="17"/>
  <c r="D16" i="17"/>
  <c r="C16" i="17"/>
  <c r="R15" i="17"/>
  <c r="J15" i="17"/>
  <c r="I15" i="17"/>
  <c r="H15" i="17"/>
  <c r="G15" i="17"/>
  <c r="F15" i="17"/>
  <c r="E15" i="17"/>
  <c r="D15" i="17"/>
  <c r="C15" i="17"/>
  <c r="R14" i="17"/>
  <c r="J14" i="17"/>
  <c r="I14" i="17"/>
  <c r="H14" i="17"/>
  <c r="G14" i="17"/>
  <c r="F14" i="17"/>
  <c r="E14" i="17"/>
  <c r="D14" i="17"/>
  <c r="C14" i="17"/>
  <c r="R13" i="17"/>
  <c r="J13" i="17"/>
  <c r="I13" i="17"/>
  <c r="H13" i="17"/>
  <c r="G13" i="17"/>
  <c r="F13" i="17"/>
  <c r="E13" i="17"/>
  <c r="D13" i="17"/>
  <c r="C13" i="17"/>
  <c r="R12" i="17"/>
  <c r="J12" i="17"/>
  <c r="I12" i="17"/>
  <c r="H12" i="17"/>
  <c r="G12" i="17"/>
  <c r="F12" i="17"/>
  <c r="E12" i="17"/>
  <c r="D12" i="17"/>
  <c r="C12" i="17"/>
  <c r="R11" i="17"/>
  <c r="J11" i="17"/>
  <c r="I11" i="17"/>
  <c r="H11" i="17"/>
  <c r="G11" i="17"/>
  <c r="F11" i="17"/>
  <c r="E11" i="17"/>
  <c r="D11" i="17"/>
  <c r="C11" i="17"/>
  <c r="R10" i="17"/>
  <c r="J10" i="17"/>
  <c r="I10" i="17"/>
  <c r="H10" i="17"/>
  <c r="G10" i="17"/>
  <c r="F10" i="17"/>
  <c r="E10" i="17"/>
  <c r="D10" i="17"/>
  <c r="C10" i="17"/>
  <c r="R9" i="17"/>
  <c r="J9" i="17"/>
  <c r="I9" i="17"/>
  <c r="H9" i="17"/>
  <c r="G9" i="17"/>
  <c r="F9" i="17"/>
  <c r="E9" i="17"/>
  <c r="D9" i="17"/>
  <c r="C9" i="17"/>
  <c r="R8" i="17"/>
  <c r="J8" i="17"/>
  <c r="I8" i="17"/>
  <c r="H8" i="17"/>
  <c r="G8" i="17"/>
  <c r="F8" i="17"/>
  <c r="E8" i="17"/>
  <c r="D8" i="17"/>
  <c r="C8" i="17"/>
  <c r="R7" i="17"/>
  <c r="J7" i="17"/>
  <c r="I7" i="17"/>
  <c r="H7" i="17"/>
  <c r="G7" i="17"/>
  <c r="F7" i="17"/>
  <c r="E7" i="17"/>
  <c r="D7" i="17"/>
  <c r="C7" i="17"/>
  <c r="R6" i="17"/>
  <c r="J6" i="17"/>
  <c r="I6" i="17"/>
  <c r="H6" i="17"/>
  <c r="G6" i="17"/>
  <c r="F6" i="17"/>
  <c r="E6" i="17"/>
  <c r="D6" i="17"/>
  <c r="C6" i="17"/>
  <c r="R5" i="17"/>
  <c r="J5" i="17"/>
  <c r="I5" i="17"/>
  <c r="H5" i="17"/>
  <c r="G5" i="17"/>
  <c r="F5" i="17"/>
  <c r="E5" i="17"/>
  <c r="D5" i="17"/>
  <c r="C5" i="17"/>
  <c r="R4" i="17"/>
  <c r="BF29" i="15"/>
  <c r="BE29" i="15"/>
  <c r="BD29" i="15"/>
  <c r="BC29" i="15"/>
  <c r="BB29" i="15"/>
  <c r="BA29" i="15"/>
  <c r="AZ29" i="15"/>
  <c r="AY29" i="15"/>
  <c r="AX29" i="15"/>
  <c r="AW29" i="15"/>
  <c r="AV29" i="15"/>
  <c r="AU29" i="15"/>
  <c r="AT29" i="15"/>
  <c r="AS29" i="15"/>
  <c r="AR29" i="15"/>
  <c r="AQ29" i="15"/>
  <c r="AP29" i="15"/>
  <c r="AO29" i="15"/>
  <c r="AN29" i="15"/>
  <c r="AM29" i="15"/>
  <c r="AL29" i="15"/>
  <c r="AK29" i="15"/>
  <c r="AJ29" i="15"/>
  <c r="AI29" i="15"/>
  <c r="AH29" i="15"/>
  <c r="AG29" i="15"/>
  <c r="AF29" i="15"/>
  <c r="AE29" i="15"/>
  <c r="AD29" i="15"/>
  <c r="AC29" i="15"/>
  <c r="AA29" i="15"/>
  <c r="Z29" i="15"/>
  <c r="Y29" i="15"/>
  <c r="X29" i="15"/>
  <c r="W29" i="15"/>
  <c r="V29" i="15"/>
  <c r="U29" i="15"/>
  <c r="T29" i="15"/>
  <c r="S29" i="15"/>
  <c r="R29" i="15"/>
  <c r="Q29" i="15"/>
  <c r="P29" i="15"/>
  <c r="O29" i="15"/>
  <c r="N29" i="15"/>
  <c r="M29" i="15"/>
  <c r="L29" i="15"/>
  <c r="K29" i="15"/>
  <c r="J29" i="15"/>
  <c r="I29" i="15"/>
  <c r="H29" i="15"/>
  <c r="G29" i="15"/>
  <c r="F29" i="15"/>
  <c r="E29" i="15"/>
  <c r="D29" i="15"/>
  <c r="AC28" i="15"/>
  <c r="AA28" i="15"/>
  <c r="V28" i="15"/>
  <c r="R28" i="15"/>
  <c r="O28" i="15"/>
  <c r="N28" i="15"/>
  <c r="M28" i="15"/>
  <c r="L28" i="15"/>
  <c r="K28" i="15"/>
  <c r="J28" i="15"/>
  <c r="I28" i="15"/>
  <c r="H28" i="15"/>
  <c r="G28" i="15"/>
  <c r="F28" i="15"/>
  <c r="E28" i="15"/>
  <c r="D28" i="15"/>
  <c r="R27" i="15"/>
  <c r="R26" i="15"/>
  <c r="J26" i="15"/>
  <c r="I26" i="15"/>
  <c r="H26" i="15"/>
  <c r="G26" i="15"/>
  <c r="F26" i="15"/>
  <c r="E26" i="15"/>
  <c r="D26" i="15"/>
  <c r="R25" i="15"/>
  <c r="J25" i="15"/>
  <c r="I25" i="15"/>
  <c r="H25" i="15"/>
  <c r="G25" i="15"/>
  <c r="F25" i="15"/>
  <c r="E25" i="15"/>
  <c r="D25" i="15"/>
  <c r="J24" i="15"/>
  <c r="BF23" i="15"/>
  <c r="BE23" i="15"/>
  <c r="BD23" i="15"/>
  <c r="BC23" i="15"/>
  <c r="BB23" i="15"/>
  <c r="BA23" i="15"/>
  <c r="AZ23" i="15"/>
  <c r="AY23" i="15"/>
  <c r="AX23" i="15"/>
  <c r="AW23" i="15"/>
  <c r="AV23" i="15"/>
  <c r="AU23" i="15"/>
  <c r="AT23" i="15"/>
  <c r="AS23" i="15"/>
  <c r="AR23" i="15"/>
  <c r="AQ23" i="15"/>
  <c r="AP23" i="15"/>
  <c r="AO23" i="15"/>
  <c r="AN23" i="15"/>
  <c r="AM23" i="15"/>
  <c r="AL23" i="15"/>
  <c r="AK23" i="15"/>
  <c r="AJ23" i="15"/>
  <c r="AI23" i="15"/>
  <c r="AH23" i="15"/>
  <c r="AG23" i="15"/>
  <c r="AF23" i="15"/>
  <c r="AE23" i="15"/>
  <c r="AD23" i="15"/>
  <c r="AC23" i="15"/>
  <c r="AB23" i="15"/>
  <c r="Z23" i="15"/>
  <c r="Y23" i="15"/>
  <c r="X23" i="15"/>
  <c r="W23" i="15"/>
  <c r="V23" i="15"/>
  <c r="R23" i="15"/>
  <c r="Q23" i="15"/>
  <c r="P23" i="15"/>
  <c r="O23" i="15"/>
  <c r="N23" i="15"/>
  <c r="M23" i="15"/>
  <c r="L23" i="15"/>
  <c r="K23" i="15"/>
  <c r="J23" i="15"/>
  <c r="I23" i="15"/>
  <c r="H23" i="15"/>
  <c r="G23" i="15"/>
  <c r="F23" i="15"/>
  <c r="E23" i="15"/>
  <c r="D23" i="15"/>
  <c r="R22" i="15"/>
  <c r="J22" i="15"/>
  <c r="I22" i="15"/>
  <c r="H22" i="15"/>
  <c r="G22" i="15"/>
  <c r="F22" i="15"/>
  <c r="E22" i="15"/>
  <c r="D22" i="15"/>
  <c r="C22" i="15"/>
  <c r="R21" i="15"/>
  <c r="J21" i="15"/>
  <c r="I21" i="15"/>
  <c r="H21" i="15"/>
  <c r="G21" i="15"/>
  <c r="F21" i="15"/>
  <c r="E21" i="15"/>
  <c r="D21" i="15"/>
  <c r="C21" i="15"/>
  <c r="R20" i="15"/>
  <c r="J20" i="15"/>
  <c r="I20" i="15"/>
  <c r="H20" i="15"/>
  <c r="G20" i="15"/>
  <c r="F20" i="15"/>
  <c r="E20" i="15"/>
  <c r="D20" i="15"/>
  <c r="C20" i="15"/>
  <c r="R19" i="15"/>
  <c r="J19" i="15"/>
  <c r="I19" i="15"/>
  <c r="H19" i="15"/>
  <c r="G19" i="15"/>
  <c r="F19" i="15"/>
  <c r="E19" i="15"/>
  <c r="D19" i="15"/>
  <c r="C19" i="15"/>
  <c r="R18" i="15"/>
  <c r="J18" i="15"/>
  <c r="I18" i="15"/>
  <c r="H18" i="15"/>
  <c r="G18" i="15"/>
  <c r="F18" i="15"/>
  <c r="E18" i="15"/>
  <c r="D18" i="15"/>
  <c r="C18" i="15"/>
  <c r="R17" i="15"/>
  <c r="J17" i="15"/>
  <c r="I17" i="15"/>
  <c r="H17" i="15"/>
  <c r="G17" i="15"/>
  <c r="F17" i="15"/>
  <c r="E17" i="15"/>
  <c r="D17" i="15"/>
  <c r="C17" i="15"/>
  <c r="R16" i="15"/>
  <c r="J16" i="15"/>
  <c r="I16" i="15"/>
  <c r="H16" i="15"/>
  <c r="G16" i="15"/>
  <c r="F16" i="15"/>
  <c r="E16" i="15"/>
  <c r="D16" i="15"/>
  <c r="C16" i="15"/>
  <c r="R15" i="15"/>
  <c r="J15" i="15"/>
  <c r="I15" i="15"/>
  <c r="H15" i="15"/>
  <c r="G15" i="15"/>
  <c r="F15" i="15"/>
  <c r="E15" i="15"/>
  <c r="D15" i="15"/>
  <c r="C15" i="15"/>
  <c r="R14" i="15"/>
  <c r="J14" i="15"/>
  <c r="I14" i="15"/>
  <c r="H14" i="15"/>
  <c r="G14" i="15"/>
  <c r="F14" i="15"/>
  <c r="E14" i="15"/>
  <c r="D14" i="15"/>
  <c r="C14" i="15"/>
  <c r="R13" i="15"/>
  <c r="J13" i="15"/>
  <c r="I13" i="15"/>
  <c r="H13" i="15"/>
  <c r="G13" i="15"/>
  <c r="F13" i="15"/>
  <c r="E13" i="15"/>
  <c r="D13" i="15"/>
  <c r="C13" i="15"/>
  <c r="R12" i="15"/>
  <c r="J12" i="15"/>
  <c r="I12" i="15"/>
  <c r="H12" i="15"/>
  <c r="G12" i="15"/>
  <c r="F12" i="15"/>
  <c r="E12" i="15"/>
  <c r="D12" i="15"/>
  <c r="C12" i="15"/>
  <c r="R11" i="15"/>
  <c r="J11" i="15"/>
  <c r="I11" i="15"/>
  <c r="H11" i="15"/>
  <c r="G11" i="15"/>
  <c r="F11" i="15"/>
  <c r="E11" i="15"/>
  <c r="D11" i="15"/>
  <c r="C11" i="15"/>
  <c r="R10" i="15"/>
  <c r="J10" i="15"/>
  <c r="I10" i="15"/>
  <c r="H10" i="15"/>
  <c r="G10" i="15"/>
  <c r="F10" i="15"/>
  <c r="E10" i="15"/>
  <c r="D10" i="15"/>
  <c r="C10" i="15"/>
  <c r="R9" i="15"/>
  <c r="J9" i="15"/>
  <c r="I9" i="15"/>
  <c r="H9" i="15"/>
  <c r="G9" i="15"/>
  <c r="F9" i="15"/>
  <c r="E9" i="15"/>
  <c r="D9" i="15"/>
  <c r="C9" i="15"/>
  <c r="R8" i="15"/>
  <c r="J8" i="15"/>
  <c r="I8" i="15"/>
  <c r="H8" i="15"/>
  <c r="G8" i="15"/>
  <c r="F8" i="15"/>
  <c r="E8" i="15"/>
  <c r="D8" i="15"/>
  <c r="C8" i="15"/>
  <c r="R7" i="15"/>
  <c r="J7" i="15"/>
  <c r="I7" i="15"/>
  <c r="H7" i="15"/>
  <c r="G7" i="15"/>
  <c r="F7" i="15"/>
  <c r="E7" i="15"/>
  <c r="D7" i="15"/>
  <c r="C7" i="15"/>
  <c r="R6" i="15"/>
  <c r="J6" i="15"/>
  <c r="I6" i="15"/>
  <c r="H6" i="15"/>
  <c r="G6" i="15"/>
  <c r="F6" i="15"/>
  <c r="E6" i="15"/>
  <c r="D6" i="15"/>
  <c r="C6" i="15"/>
  <c r="R5" i="15"/>
  <c r="J5" i="15"/>
  <c r="I5" i="15"/>
  <c r="H5" i="15"/>
  <c r="G5" i="15"/>
  <c r="F5" i="15"/>
  <c r="E5" i="15"/>
  <c r="D5" i="15"/>
  <c r="C5" i="15"/>
  <c r="BC6" i="7"/>
  <c r="BC9" i="7" s="1"/>
  <c r="C62" i="10" s="1"/>
  <c r="BB6" i="7"/>
  <c r="BB9" i="7" s="1"/>
  <c r="AZ6" i="7"/>
  <c r="AZ9" i="7" s="1"/>
  <c r="AU6" i="7"/>
  <c r="AU9" i="7" s="1"/>
  <c r="C58" i="10" s="1"/>
  <c r="AT6" i="7"/>
  <c r="AT9" i="7" s="1"/>
  <c r="C56" i="10" s="1"/>
  <c r="AR6" i="7"/>
  <c r="E54" i="10" s="1"/>
  <c r="AP6" i="7"/>
  <c r="AP9" i="7" s="1"/>
  <c r="C52" i="10" s="1"/>
  <c r="AM6" i="7"/>
  <c r="AM9" i="7" s="1"/>
  <c r="C49" i="10" s="1"/>
  <c r="AL6" i="7"/>
  <c r="AL9" i="7" s="1"/>
  <c r="C48" i="10" s="1"/>
  <c r="AJ6" i="7"/>
  <c r="AJ9" i="7" s="1"/>
  <c r="C44" i="10" s="1"/>
  <c r="AE6" i="7"/>
  <c r="E39" i="10" s="1"/>
  <c r="AD6" i="7"/>
  <c r="E38" i="10" s="1"/>
  <c r="AB6" i="7"/>
  <c r="E34" i="10" s="1"/>
  <c r="X6" i="7"/>
  <c r="E25" i="10" s="1"/>
  <c r="V6" i="7"/>
  <c r="V9" i="7" s="1"/>
  <c r="C23" i="10" s="1"/>
  <c r="U6" i="7"/>
  <c r="U9" i="7" s="1"/>
  <c r="T6" i="7"/>
  <c r="S6" i="7"/>
  <c r="S9" i="7" s="1"/>
  <c r="P6" i="7"/>
  <c r="E15" i="10" s="1"/>
  <c r="L6" i="7"/>
  <c r="L9" i="7" s="1"/>
  <c r="K6" i="7"/>
  <c r="K9" i="7" s="1"/>
  <c r="BF5" i="7"/>
  <c r="BE5" i="7"/>
  <c r="BD5" i="7"/>
  <c r="BC5" i="7"/>
  <c r="BB5" i="7"/>
  <c r="BA5" i="7"/>
  <c r="AZ5" i="7"/>
  <c r="AY5" i="7"/>
  <c r="AX5" i="7"/>
  <c r="AW5" i="7"/>
  <c r="AV5" i="7"/>
  <c r="AU5" i="7"/>
  <c r="AT5" i="7"/>
  <c r="AS5" i="7"/>
  <c r="AR5" i="7"/>
  <c r="AQ5" i="7"/>
  <c r="AP5" i="7"/>
  <c r="AO5" i="7"/>
  <c r="AN5" i="7"/>
  <c r="AM5" i="7"/>
  <c r="AL5" i="7"/>
  <c r="AK5" i="7"/>
  <c r="AJ5" i="7"/>
  <c r="AI5" i="7"/>
  <c r="AH5" i="7"/>
  <c r="AG5" i="7"/>
  <c r="AF5" i="7"/>
  <c r="AE5" i="7"/>
  <c r="AD5" i="7"/>
  <c r="AC5" i="7"/>
  <c r="AB5" i="7"/>
  <c r="AA5" i="7"/>
  <c r="Z5" i="7"/>
  <c r="Y5" i="7"/>
  <c r="X5" i="7"/>
  <c r="W5" i="7"/>
  <c r="V5" i="7"/>
  <c r="U5" i="7"/>
  <c r="T5" i="7"/>
  <c r="S5" i="7"/>
  <c r="R5" i="7"/>
  <c r="Q5" i="7"/>
  <c r="P5" i="7"/>
  <c r="O5" i="7"/>
  <c r="N5" i="7"/>
  <c r="M5" i="7"/>
  <c r="L5" i="7"/>
  <c r="K5" i="7"/>
  <c r="J5" i="7"/>
  <c r="I5" i="7"/>
  <c r="H5" i="7"/>
  <c r="G5" i="7"/>
  <c r="F5" i="7"/>
  <c r="E5" i="7"/>
  <c r="D5" i="7"/>
  <c r="C5" i="7"/>
  <c r="D83" i="10"/>
  <c r="H76" i="10"/>
  <c r="G76" i="10"/>
  <c r="F76" i="10"/>
  <c r="C74" i="10"/>
  <c r="D73" i="10"/>
  <c r="D72" i="10"/>
  <c r="D71" i="10"/>
  <c r="D70" i="10"/>
  <c r="G69" i="10"/>
  <c r="F69" i="10"/>
  <c r="D69" i="10"/>
  <c r="C67" i="10"/>
  <c r="D66" i="10"/>
  <c r="H65" i="10"/>
  <c r="G65" i="10"/>
  <c r="F65" i="10"/>
  <c r="D65" i="10"/>
  <c r="D63" i="10"/>
  <c r="C63" i="10"/>
  <c r="D62" i="10"/>
  <c r="C61" i="10"/>
  <c r="D60" i="10"/>
  <c r="D59" i="10"/>
  <c r="E58" i="10"/>
  <c r="D58" i="10"/>
  <c r="G57" i="10"/>
  <c r="F57" i="10"/>
  <c r="D57" i="10"/>
  <c r="D56" i="10"/>
  <c r="D55" i="10"/>
  <c r="D54" i="10"/>
  <c r="D53" i="10"/>
  <c r="D52" i="10"/>
  <c r="D51" i="10"/>
  <c r="D50" i="10"/>
  <c r="D49" i="10"/>
  <c r="D48" i="10"/>
  <c r="G47" i="10"/>
  <c r="F47" i="10"/>
  <c r="D47" i="10"/>
  <c r="D45" i="10"/>
  <c r="E44" i="10"/>
  <c r="D44" i="10"/>
  <c r="D43" i="10"/>
  <c r="D42" i="10"/>
  <c r="D41" i="10"/>
  <c r="D40" i="10"/>
  <c r="D39" i="10"/>
  <c r="D38" i="10"/>
  <c r="C38" i="10"/>
  <c r="G37" i="10"/>
  <c r="F37" i="10"/>
  <c r="D37" i="10"/>
  <c r="D35" i="10"/>
  <c r="D34" i="10"/>
  <c r="D33" i="10"/>
  <c r="D32" i="10"/>
  <c r="G31" i="10"/>
  <c r="F31" i="10"/>
  <c r="D31" i="10"/>
  <c r="D26" i="10"/>
  <c r="C26" i="10"/>
  <c r="D25" i="10"/>
  <c r="C25" i="10"/>
  <c r="D24" i="10"/>
  <c r="C24" i="10"/>
  <c r="D23" i="10"/>
  <c r="G22" i="10"/>
  <c r="F22" i="10"/>
  <c r="D22" i="10"/>
  <c r="D21" i="10"/>
  <c r="I20" i="10"/>
  <c r="G20" i="10"/>
  <c r="F20" i="10"/>
  <c r="I19" i="10"/>
  <c r="D19" i="10"/>
  <c r="I18" i="10"/>
  <c r="I17" i="10"/>
  <c r="I16" i="10"/>
  <c r="D16" i="10"/>
  <c r="C16" i="10"/>
  <c r="I15" i="10"/>
  <c r="C15" i="10"/>
  <c r="I14" i="10"/>
  <c r="D14" i="10"/>
  <c r="I13" i="10"/>
  <c r="G13" i="10"/>
  <c r="F13" i="10"/>
  <c r="E12" i="10"/>
  <c r="D12" i="10"/>
  <c r="AA9" i="7" l="1"/>
  <c r="C33" i="10" s="1"/>
  <c r="E33" i="10"/>
  <c r="AA29" i="17"/>
  <c r="AN6" i="7"/>
  <c r="AN9" i="7" s="1"/>
  <c r="C50" i="10" s="1"/>
  <c r="AC29" i="17"/>
  <c r="BD6" i="7"/>
  <c r="BD9" i="7" s="1"/>
  <c r="K29" i="17"/>
  <c r="F23" i="17"/>
  <c r="F6" i="7" s="1"/>
  <c r="F9" i="7" s="1"/>
  <c r="J25" i="17"/>
  <c r="AF6" i="7"/>
  <c r="AF9" i="7" s="1"/>
  <c r="C40" i="10" s="1"/>
  <c r="E49" i="10"/>
  <c r="AV6" i="7"/>
  <c r="AV9" i="7" s="1"/>
  <c r="C59" i="10" s="1"/>
  <c r="W6" i="7"/>
  <c r="G23" i="17"/>
  <c r="G6" i="7" s="1"/>
  <c r="G9" i="7" s="1"/>
  <c r="BF6" i="7"/>
  <c r="BF9" i="7" s="1"/>
  <c r="H23" i="17"/>
  <c r="H6" i="7" s="1"/>
  <c r="H9" i="7" s="1"/>
  <c r="L29" i="17"/>
  <c r="AH6" i="7"/>
  <c r="AE9" i="7"/>
  <c r="C39" i="10" s="1"/>
  <c r="E28" i="17"/>
  <c r="E29" i="17" s="1"/>
  <c r="M29" i="17"/>
  <c r="N29" i="17"/>
  <c r="E62" i="10"/>
  <c r="Y6" i="7"/>
  <c r="AX6" i="7"/>
  <c r="J21" i="17"/>
  <c r="O29" i="17"/>
  <c r="V29" i="17"/>
  <c r="E52" i="10"/>
  <c r="I28" i="17"/>
  <c r="I29" i="17" s="1"/>
  <c r="D28" i="17"/>
  <c r="O9" i="7"/>
  <c r="C14" i="10" s="1"/>
  <c r="D15" i="10"/>
  <c r="D13" i="10" s="1"/>
  <c r="E14" i="10"/>
  <c r="J28" i="17"/>
  <c r="R25" i="17"/>
  <c r="R26" i="17" s="1"/>
  <c r="M9" i="7"/>
  <c r="C66" i="10" s="1"/>
  <c r="E66" i="10"/>
  <c r="E65" i="10" s="1"/>
  <c r="AC9" i="7"/>
  <c r="C35" i="10" s="1"/>
  <c r="E35" i="10"/>
  <c r="AK9" i="7"/>
  <c r="C45" i="10" s="1"/>
  <c r="E45" i="10"/>
  <c r="AS9" i="7"/>
  <c r="C55" i="10" s="1"/>
  <c r="E55" i="10"/>
  <c r="E73" i="10"/>
  <c r="C73" i="10" s="1"/>
  <c r="BA9" i="7"/>
  <c r="F29" i="17"/>
  <c r="C19" i="10"/>
  <c r="J23" i="17"/>
  <c r="J6" i="7" s="1"/>
  <c r="J9" i="7" s="1"/>
  <c r="R21" i="17"/>
  <c r="R22" i="17" s="1"/>
  <c r="G29" i="17"/>
  <c r="D29" i="17"/>
  <c r="P9" i="7"/>
  <c r="AS29" i="17"/>
  <c r="E19" i="10"/>
  <c r="E63" i="10"/>
  <c r="Q6" i="7"/>
  <c r="AG6" i="7"/>
  <c r="AO6" i="7"/>
  <c r="AW6" i="7"/>
  <c r="BE6" i="7"/>
  <c r="BE9" i="7" s="1"/>
  <c r="C68" i="10" s="1"/>
  <c r="X9" i="7"/>
  <c r="AK29" i="17"/>
  <c r="BA29" i="17"/>
  <c r="Z6" i="7"/>
  <c r="C23" i="17"/>
  <c r="C6" i="7" s="1"/>
  <c r="C9" i="7" s="1"/>
  <c r="E59" i="10"/>
  <c r="E72" i="10"/>
  <c r="C72" i="10" s="1"/>
  <c r="AI6" i="7"/>
  <c r="AQ6" i="7"/>
  <c r="AY6" i="7"/>
  <c r="AR9" i="7"/>
  <c r="C54" i="10" s="1"/>
  <c r="AB9" i="7"/>
  <c r="C34" i="10" s="1"/>
  <c r="E23" i="10"/>
  <c r="E48" i="10"/>
  <c r="E50" i="10"/>
  <c r="E56" i="10"/>
  <c r="E40" i="10"/>
  <c r="W9" i="7" l="1"/>
  <c r="E24" i="10"/>
  <c r="H29" i="17"/>
  <c r="AH9" i="7"/>
  <c r="C42" i="10" s="1"/>
  <c r="E42" i="10"/>
  <c r="AX9" i="7"/>
  <c r="E70" i="10"/>
  <c r="C70" i="10" s="1"/>
  <c r="Y9" i="7"/>
  <c r="E26" i="10"/>
  <c r="E22" i="10" s="1"/>
  <c r="C22" i="10" s="1"/>
  <c r="E41" i="10"/>
  <c r="AG9" i="7"/>
  <c r="C41" i="10" s="1"/>
  <c r="D20" i="10"/>
  <c r="E32" i="10"/>
  <c r="E31" i="10" s="1"/>
  <c r="C31" i="10" s="1"/>
  <c r="Z9" i="7"/>
  <c r="C32" i="10" s="1"/>
  <c r="E16" i="10"/>
  <c r="Q9" i="7"/>
  <c r="J29" i="17"/>
  <c r="R28" i="17"/>
  <c r="AO9" i="7"/>
  <c r="C51" i="10" s="1"/>
  <c r="E51" i="10"/>
  <c r="E71" i="10"/>
  <c r="AY9" i="7"/>
  <c r="C65" i="10"/>
  <c r="E13" i="10"/>
  <c r="E20" i="10" s="1"/>
  <c r="AQ9" i="7"/>
  <c r="C53" i="10" s="1"/>
  <c r="E53" i="10"/>
  <c r="E60" i="10"/>
  <c r="E57" i="10" s="1"/>
  <c r="AW9" i="7"/>
  <c r="C60" i="10" s="1"/>
  <c r="AI9" i="7"/>
  <c r="C43" i="10" s="1"/>
  <c r="E43" i="10"/>
  <c r="E37" i="10" s="1"/>
  <c r="C37" i="10" s="1"/>
  <c r="R23" i="17"/>
  <c r="R6" i="7" s="1"/>
  <c r="R9" i="7" s="1"/>
  <c r="T9" i="7" l="1"/>
  <c r="E47" i="10"/>
  <c r="C47" i="10" s="1"/>
  <c r="D77" i="10"/>
  <c r="D78" i="10" s="1"/>
  <c r="E82" i="10"/>
  <c r="E21" i="10"/>
  <c r="C57" i="10"/>
  <c r="C13" i="10"/>
  <c r="C71" i="10"/>
  <c r="E69" i="10"/>
  <c r="R29" i="17"/>
  <c r="C77" i="10"/>
  <c r="D82" i="10"/>
  <c r="D75" i="10"/>
  <c r="C20" i="10"/>
  <c r="C82" i="10" l="1"/>
  <c r="G77" i="10"/>
  <c r="G78" i="10" s="1"/>
  <c r="E83" i="10"/>
  <c r="C83" i="10" s="1"/>
  <c r="C21" i="10"/>
  <c r="C75" i="10" s="1"/>
  <c r="C76" i="10" s="1"/>
  <c r="D76" i="10"/>
  <c r="J76" i="10"/>
  <c r="D84" i="10"/>
  <c r="E75" i="10"/>
  <c r="E76" i="10" s="1"/>
  <c r="C69" i="10"/>
  <c r="C78" i="10"/>
  <c r="I57" i="10" l="1"/>
  <c r="E84" i="10"/>
  <c r="I71" i="10"/>
  <c r="I38" i="10"/>
  <c r="I25" i="10"/>
  <c r="I30" i="10"/>
  <c r="I36" i="10"/>
  <c r="I29" i="10"/>
  <c r="I46" i="10"/>
  <c r="I28" i="10"/>
  <c r="I64" i="10"/>
  <c r="I27" i="10"/>
  <c r="I74" i="10"/>
  <c r="I63" i="10"/>
  <c r="I61" i="10"/>
  <c r="I26" i="10"/>
  <c r="I24" i="10"/>
  <c r="I67" i="10"/>
  <c r="I49" i="10"/>
  <c r="I59" i="10"/>
  <c r="I52" i="10"/>
  <c r="I40" i="10"/>
  <c r="I62" i="10"/>
  <c r="I44" i="10"/>
  <c r="I42" i="10"/>
  <c r="I58" i="10"/>
  <c r="I56" i="10"/>
  <c r="I23" i="10"/>
  <c r="I48" i="10"/>
  <c r="I33" i="10"/>
  <c r="I39" i="10"/>
  <c r="I50" i="10"/>
  <c r="I45" i="10"/>
  <c r="I35" i="10"/>
  <c r="I54" i="10"/>
  <c r="I68" i="10"/>
  <c r="I73" i="10"/>
  <c r="I34" i="10"/>
  <c r="I70" i="10"/>
  <c r="I66" i="10"/>
  <c r="I55" i="10"/>
  <c r="I72" i="10"/>
  <c r="I60" i="10"/>
  <c r="I31" i="10"/>
  <c r="I22" i="10"/>
  <c r="I51" i="10"/>
  <c r="I47" i="10"/>
  <c r="I53" i="10"/>
  <c r="I37" i="10"/>
  <c r="I32" i="10"/>
  <c r="I43" i="10"/>
  <c r="I65" i="10"/>
  <c r="I41" i="10"/>
  <c r="I69" i="10"/>
  <c r="I21" i="10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WindsysUser</author>
  </authors>
  <commentList>
    <comment ref="B19" authorId="0" shapeId="0" xr:uid="{00000000-0006-0000-0000-000001000000}">
      <text>
        <r>
          <rPr>
            <sz val="9"/>
            <rFont val="宋体"/>
            <family val="3"/>
            <charset val="134"/>
          </rPr>
          <t>此项目如发生需手动调金额，调整之前需问上级。</t>
        </r>
      </text>
    </comment>
    <comment ref="B53" authorId="0" shapeId="0" xr:uid="{00000000-0006-0000-0000-000002000000}">
      <text>
        <r>
          <rPr>
            <b/>
            <sz val="9"/>
            <rFont val="宋体"/>
            <family val="3"/>
            <charset val="134"/>
          </rPr>
          <t>总经办+后勤部门</t>
        </r>
        <r>
          <rPr>
            <sz val="9"/>
            <rFont val="宋体"/>
            <family val="3"/>
            <charset val="134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WindsysUser</author>
  </authors>
  <commentList>
    <comment ref="T2" authorId="0" shapeId="0" xr:uid="{00000000-0006-0000-0100-000001000000}">
      <text>
        <r>
          <rPr>
            <sz val="9"/>
            <rFont val="宋体"/>
            <family val="3"/>
            <charset val="134"/>
          </rPr>
          <t xml:space="preserve">总经办
销售部：
1、音乐组
2、侯明昊组
3、曾舜晞组
4、点星组
5、上海黑金计划组
5、新人开发培训组
6、商务部
市场部
财务部
人事部
行政部
</t>
        </r>
      </text>
    </comment>
    <comment ref="U2" authorId="0" shapeId="0" xr:uid="{00000000-0006-0000-0100-000002000000}">
      <text>
        <r>
          <rPr>
            <sz val="9"/>
            <rFont val="宋体"/>
            <family val="3"/>
            <charset val="134"/>
          </rPr>
          <t>摘要格式：支付XX部XXX(人名）申请的XX费用。</t>
        </r>
      </text>
    </comment>
    <comment ref="AQ3" authorId="0" shapeId="0" xr:uid="{00000000-0006-0000-0100-000003000000}">
      <text>
        <r>
          <rPr>
            <b/>
            <sz val="9"/>
            <rFont val="宋体"/>
            <family val="3"/>
            <charset val="134"/>
          </rPr>
          <t>总经办+后勤部门</t>
        </r>
        <r>
          <rPr>
            <sz val="9"/>
            <rFont val="宋体"/>
            <family val="3"/>
            <charset val="134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WindsysUser</author>
  </authors>
  <commentList>
    <comment ref="T2" authorId="0" shapeId="0" xr:uid="{00000000-0006-0000-0200-000001000000}">
      <text>
        <r>
          <rPr>
            <sz val="9"/>
            <rFont val="宋体"/>
            <family val="3"/>
            <charset val="134"/>
          </rPr>
          <t xml:space="preserve">总经办
销售部：
1、音乐组
2、侯明昊组
3、曾舜晞组
4、点星组
5、上海黑金计划组
5、新人开发培训组
6、商务部
市场部
财务部
人事部
行政部
</t>
        </r>
      </text>
    </comment>
    <comment ref="U2" authorId="0" shapeId="0" xr:uid="{00000000-0006-0000-0200-000002000000}">
      <text>
        <r>
          <rPr>
            <sz val="9"/>
            <rFont val="宋体"/>
            <family val="3"/>
            <charset val="134"/>
          </rPr>
          <t>摘要格式：支付XX部XXX(人名）申请的XX费用。</t>
        </r>
      </text>
    </comment>
    <comment ref="AQ3" authorId="0" shapeId="0" xr:uid="{00000000-0006-0000-0200-000003000000}">
      <text>
        <r>
          <rPr>
            <b/>
            <sz val="9"/>
            <rFont val="宋体"/>
            <family val="3"/>
            <charset val="134"/>
          </rPr>
          <t>总经办+后勤部门</t>
        </r>
        <r>
          <rPr>
            <sz val="9"/>
            <rFont val="宋体"/>
            <family val="3"/>
            <charset val="134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WindsysUser</author>
  </authors>
  <commentList>
    <comment ref="T2" authorId="0" shapeId="0" xr:uid="{00000000-0006-0000-0300-000001000000}">
      <text>
        <r>
          <rPr>
            <sz val="9"/>
            <rFont val="宋体"/>
            <family val="3"/>
            <charset val="134"/>
          </rPr>
          <t xml:space="preserve">总经办
销售部：
1、音乐组
2、侯明昊组
3、曾舜晞组
4、点星组
5、上海黑金计划组
5、新人开发培训组
6、商务部
市场部
财务部
人事部
行政部
</t>
        </r>
      </text>
    </comment>
    <comment ref="U2" authorId="0" shapeId="0" xr:uid="{00000000-0006-0000-0300-000002000000}">
      <text>
        <r>
          <rPr>
            <sz val="9"/>
            <rFont val="宋体"/>
            <family val="3"/>
            <charset val="134"/>
          </rPr>
          <t>摘要格式：支付XX部XXX(人名）申请的XX费用。</t>
        </r>
      </text>
    </comment>
    <comment ref="AQ3" authorId="0" shapeId="0" xr:uid="{00000000-0006-0000-0300-000003000000}">
      <text>
        <r>
          <rPr>
            <b/>
            <sz val="9"/>
            <rFont val="宋体"/>
            <family val="3"/>
            <charset val="134"/>
          </rPr>
          <t>总经办+后勤部门</t>
        </r>
        <r>
          <rPr>
            <sz val="9"/>
            <rFont val="宋体"/>
            <family val="3"/>
            <charset val="134"/>
          </rPr>
          <t xml:space="preserve">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WindsysUser</author>
  </authors>
  <commentList>
    <comment ref="T2" authorId="0" shapeId="0" xr:uid="{00000000-0006-0000-0400-000001000000}">
      <text>
        <r>
          <rPr>
            <sz val="9"/>
            <rFont val="宋体"/>
            <family val="3"/>
            <charset val="134"/>
          </rPr>
          <t xml:space="preserve">总经办
销售部：
1、音乐组
2、侯明昊组
3、曾舜晞组
4、点星组
5、上海黑金计划组
5、新人开发培训组
6、商务部
市场部
财务部
人事部
行政部
</t>
        </r>
      </text>
    </comment>
    <comment ref="U2" authorId="0" shapeId="0" xr:uid="{00000000-0006-0000-0400-000002000000}">
      <text>
        <r>
          <rPr>
            <sz val="9"/>
            <rFont val="宋体"/>
            <family val="3"/>
            <charset val="134"/>
          </rPr>
          <t>摘要格式：支付XX部XXX(人名）申请的XX费用。</t>
        </r>
      </text>
    </comment>
    <comment ref="AP3" authorId="0" shapeId="0" xr:uid="{00000000-0006-0000-0400-000003000000}">
      <text>
        <r>
          <rPr>
            <b/>
            <sz val="9"/>
            <rFont val="宋体"/>
            <family val="3"/>
            <charset val="134"/>
          </rPr>
          <t>总经办+后勤部门</t>
        </r>
        <r>
          <rPr>
            <sz val="9"/>
            <rFont val="宋体"/>
            <family val="3"/>
            <charset val="134"/>
          </rPr>
          <t xml:space="preserve">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WindsysUser</author>
  </authors>
  <commentList>
    <comment ref="T2" authorId="0" shapeId="0" xr:uid="{00000000-0006-0000-0500-000001000000}">
      <text>
        <r>
          <rPr>
            <sz val="9"/>
            <rFont val="宋体"/>
            <family val="3"/>
            <charset val="134"/>
          </rPr>
          <t xml:space="preserve">总经办
销售部：
1、音乐组
2、侯明昊组
3、曾舜晞组
4、点星组
5、上海黑金计划组
5、新人开发培训组
6、商务部
市场部
财务部
人事部
行政部
</t>
        </r>
      </text>
    </comment>
    <comment ref="U2" authorId="0" shapeId="0" xr:uid="{00000000-0006-0000-0500-000002000000}">
      <text>
        <r>
          <rPr>
            <sz val="9"/>
            <rFont val="宋体"/>
            <family val="3"/>
            <charset val="134"/>
          </rPr>
          <t>摘要格式：支付XX部XXX(人名）申请的XX费用。</t>
        </r>
      </text>
    </comment>
    <comment ref="AP3" authorId="0" shapeId="0" xr:uid="{00000000-0006-0000-0500-000003000000}">
      <text>
        <r>
          <rPr>
            <b/>
            <sz val="9"/>
            <rFont val="宋体"/>
            <family val="3"/>
            <charset val="134"/>
          </rPr>
          <t>总经办+后勤部门</t>
        </r>
        <r>
          <rPr>
            <sz val="9"/>
            <rFont val="宋体"/>
            <family val="3"/>
            <charset val="134"/>
          </rPr>
          <t xml:space="preserve">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WindsysUser</author>
  </authors>
  <commentList>
    <comment ref="T2" authorId="0" shapeId="0" xr:uid="{00000000-0006-0000-0600-000001000000}">
      <text>
        <r>
          <rPr>
            <sz val="9"/>
            <rFont val="宋体"/>
            <family val="3"/>
            <charset val="134"/>
          </rPr>
          <t xml:space="preserve">总经办
销售部：
1、音乐组
2、侯明昊组
3、曾舜晞组
4、点星组
5、上海黑金计划组
5、新人开发培训组
6、商务部
市场部
财务部
人事部
行政部
</t>
        </r>
      </text>
    </comment>
    <comment ref="U2" authorId="0" shapeId="0" xr:uid="{00000000-0006-0000-0600-000002000000}">
      <text>
        <r>
          <rPr>
            <sz val="9"/>
            <rFont val="宋体"/>
            <family val="3"/>
            <charset val="134"/>
          </rPr>
          <t>摘要格式：支付XX部XXX(人名）申请的XX费用。</t>
        </r>
      </text>
    </comment>
    <comment ref="AP3" authorId="0" shapeId="0" xr:uid="{00000000-0006-0000-0600-000003000000}">
      <text>
        <r>
          <rPr>
            <b/>
            <sz val="9"/>
            <rFont val="宋体"/>
            <family val="3"/>
            <charset val="134"/>
          </rPr>
          <t>总经办+后勤部门</t>
        </r>
        <r>
          <rPr>
            <sz val="9"/>
            <rFont val="宋体"/>
            <family val="3"/>
            <charset val="134"/>
          </rPr>
          <t xml:space="preserve">
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WindsysUser</author>
  </authors>
  <commentList>
    <comment ref="T2" authorId="0" shapeId="0" xr:uid="{00000000-0006-0000-0700-000001000000}">
      <text>
        <r>
          <rPr>
            <sz val="9"/>
            <rFont val="宋体"/>
            <family val="3"/>
            <charset val="134"/>
          </rPr>
          <t xml:space="preserve">总经办
销售部：
1、音乐组
2、侯明昊组
3、曾舜晞组
4、点星组
5、上海黑金计划组
5、新人开发培训组
6、商务部
市场部
财务部
人事部
行政部
</t>
        </r>
      </text>
    </comment>
    <comment ref="U2" authorId="0" shapeId="0" xr:uid="{00000000-0006-0000-0700-000002000000}">
      <text>
        <r>
          <rPr>
            <sz val="9"/>
            <rFont val="宋体"/>
            <family val="3"/>
            <charset val="134"/>
          </rPr>
          <t>摘要格式：支付XX部XXX(人名）申请的XX费用。</t>
        </r>
      </text>
    </comment>
    <comment ref="AP3" authorId="0" shapeId="0" xr:uid="{00000000-0006-0000-0700-000003000000}">
      <text>
        <r>
          <rPr>
            <b/>
            <sz val="9"/>
            <rFont val="宋体"/>
            <family val="3"/>
            <charset val="134"/>
          </rPr>
          <t>总经办+后勤部门</t>
        </r>
        <r>
          <rPr>
            <sz val="9"/>
            <rFont val="宋体"/>
            <family val="3"/>
            <charset val="134"/>
          </rPr>
          <t xml:space="preserve">
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WindsysUser</author>
  </authors>
  <commentList>
    <comment ref="T2" authorId="0" shapeId="0" xr:uid="{00000000-0006-0000-0800-000001000000}">
      <text>
        <r>
          <rPr>
            <sz val="9"/>
            <rFont val="宋体"/>
            <family val="3"/>
            <charset val="134"/>
          </rPr>
          <t xml:space="preserve">总经办
销售部：
1、音乐组
2、侯明昊组
3、曾舜晞组
4、点星组
5、上海黑金计划组
5、新人开发培训组
6、商务部
市场部
财务部
人事部
行政部
</t>
        </r>
      </text>
    </comment>
    <comment ref="U2" authorId="0" shapeId="0" xr:uid="{00000000-0006-0000-0800-000002000000}">
      <text>
        <r>
          <rPr>
            <sz val="9"/>
            <rFont val="宋体"/>
            <family val="3"/>
            <charset val="134"/>
          </rPr>
          <t>摘要格式：支付XX部XXX(人名）申请的XX费用。</t>
        </r>
      </text>
    </comment>
    <comment ref="AP3" authorId="0" shapeId="0" xr:uid="{00000000-0006-0000-0800-000003000000}">
      <text>
        <r>
          <rPr>
            <b/>
            <sz val="9"/>
            <rFont val="宋体"/>
            <family val="3"/>
            <charset val="134"/>
          </rPr>
          <t>总经办+后勤部门</t>
        </r>
        <r>
          <rPr>
            <sz val="9"/>
            <rFont val="宋体"/>
            <family val="3"/>
            <charset val="134"/>
          </rPr>
          <t xml:space="preserve">
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WindsysUser</author>
  </authors>
  <commentList>
    <comment ref="T2" authorId="0" shapeId="0" xr:uid="{00000000-0006-0000-0900-000001000000}">
      <text>
        <r>
          <rPr>
            <sz val="9"/>
            <rFont val="宋体"/>
            <family val="3"/>
            <charset val="134"/>
          </rPr>
          <t xml:space="preserve">总经办
销售部：
1、音乐组
2、侯明昊组
3、曾舜晞组
4、点星组
5、上海黑金计划组
5、新人开发培训组
6、商务部
市场部
财务部
人事部
行政部
</t>
        </r>
      </text>
    </comment>
    <comment ref="U2" authorId="0" shapeId="0" xr:uid="{00000000-0006-0000-0900-000002000000}">
      <text>
        <r>
          <rPr>
            <sz val="9"/>
            <rFont val="宋体"/>
            <family val="3"/>
            <charset val="134"/>
          </rPr>
          <t>摘要格式：支付XX部XXX(人名）申请的XX费用。</t>
        </r>
      </text>
    </comment>
    <comment ref="AP3" authorId="0" shapeId="0" xr:uid="{00000000-0006-0000-0900-000003000000}">
      <text>
        <r>
          <rPr>
            <b/>
            <sz val="9"/>
            <rFont val="宋体"/>
            <family val="3"/>
            <charset val="134"/>
          </rPr>
          <t>总经办+后勤部门</t>
        </r>
        <r>
          <rPr>
            <sz val="9"/>
            <rFont val="宋体"/>
            <family val="3"/>
            <charset val="134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<sst xmlns="http://schemas.openxmlformats.org/spreadsheetml/2006/main" count="698" uniqueCount="120">
  <si>
    <t>2026年XX资金收支季度报表</t>
  </si>
  <si>
    <t>项目</t>
  </si>
  <si>
    <t>年度合计</t>
  </si>
  <si>
    <t>Q1</t>
  </si>
  <si>
    <t>Q2</t>
  </si>
  <si>
    <t>Q3</t>
  </si>
  <si>
    <t>Q4</t>
  </si>
  <si>
    <t>占比</t>
  </si>
  <si>
    <t>期初数：</t>
  </si>
  <si>
    <r>
      <rPr>
        <b/>
        <sz val="10"/>
        <rFont val="Arial"/>
        <family val="2"/>
      </rPr>
      <t>1</t>
    </r>
    <r>
      <rPr>
        <b/>
        <sz val="10"/>
        <rFont val="宋体"/>
        <family val="3"/>
        <charset val="134"/>
      </rPr>
      <t>、主营收入：</t>
    </r>
  </si>
  <si>
    <t>产品收入</t>
  </si>
  <si>
    <t>服务收入</t>
  </si>
  <si>
    <t>其他收入</t>
  </si>
  <si>
    <t>2、股东投入：</t>
  </si>
  <si>
    <t>本 期 收 入 合 计：</t>
  </si>
  <si>
    <t>本 期 支 出 合 计：</t>
  </si>
  <si>
    <t>1、主营业务支出</t>
  </si>
  <si>
    <t>商品采购</t>
  </si>
  <si>
    <t>运费</t>
  </si>
  <si>
    <t>服务费</t>
  </si>
  <si>
    <t>返点佣金</t>
  </si>
  <si>
    <t>2、研发费用</t>
  </si>
  <si>
    <t>人工成本</t>
  </si>
  <si>
    <t>材料设备</t>
  </si>
  <si>
    <t>委外</t>
  </si>
  <si>
    <t>3、销售费用</t>
  </si>
  <si>
    <t>飞机、动车等</t>
  </si>
  <si>
    <t>住宿费</t>
  </si>
  <si>
    <t>车辆费</t>
  </si>
  <si>
    <t>市内交通</t>
  </si>
  <si>
    <t>招待/公关</t>
  </si>
  <si>
    <t>经销返点</t>
  </si>
  <si>
    <t>其他</t>
  </si>
  <si>
    <t>4、管理费用</t>
  </si>
  <si>
    <t>办公费</t>
  </si>
  <si>
    <t>办公租金&amp;物业费&amp;水电费</t>
  </si>
  <si>
    <t>人员薪资</t>
  </si>
  <si>
    <t>社保&amp;公积金</t>
  </si>
  <si>
    <t>员工福利</t>
  </si>
  <si>
    <t>5、财务费用</t>
  </si>
  <si>
    <t>手续费</t>
  </si>
  <si>
    <t>结息</t>
  </si>
  <si>
    <t>贷款利息</t>
  </si>
  <si>
    <t>6、固定资产</t>
  </si>
  <si>
    <t>办公设备</t>
  </si>
  <si>
    <t>办公家具   (包含车等）</t>
  </si>
  <si>
    <t>7、预付/暂支款</t>
  </si>
  <si>
    <t>预付</t>
  </si>
  <si>
    <t>归还</t>
  </si>
  <si>
    <t>8、营业外支出</t>
  </si>
  <si>
    <t>9、税金支出</t>
  </si>
  <si>
    <t>增值税及附加</t>
  </si>
  <si>
    <t>所得税</t>
  </si>
  <si>
    <t>印花税</t>
  </si>
  <si>
    <t>代扣代缴个税</t>
  </si>
  <si>
    <t>10、集团划拨往来</t>
  </si>
  <si>
    <t>本月资金净流入</t>
  </si>
  <si>
    <t xml:space="preserve">本月资金余额                                          </t>
  </si>
  <si>
    <t>总收入：</t>
  </si>
  <si>
    <t>总支出：</t>
  </si>
  <si>
    <t>净流入：</t>
  </si>
  <si>
    <t>收支占比</t>
  </si>
  <si>
    <t>收 入 合 计：</t>
  </si>
  <si>
    <t>支 出 合 计：</t>
  </si>
  <si>
    <t xml:space="preserve">期末余额                                          </t>
  </si>
  <si>
    <t>行号</t>
  </si>
  <si>
    <t>交易时间</t>
  </si>
  <si>
    <t>研发费用</t>
  </si>
  <si>
    <t>销售费用</t>
  </si>
  <si>
    <t>管理费用</t>
  </si>
  <si>
    <t>财务费用</t>
  </si>
  <si>
    <t>应缴税金</t>
  </si>
  <si>
    <t>固定资产</t>
  </si>
  <si>
    <t>主营业务支出</t>
  </si>
  <si>
    <t>日常支出和</t>
  </si>
  <si>
    <t>集团往来</t>
  </si>
  <si>
    <t>理财</t>
  </si>
  <si>
    <t>暂支/预付</t>
  </si>
  <si>
    <t>投资款</t>
  </si>
  <si>
    <t>收入</t>
  </si>
  <si>
    <t>余额</t>
  </si>
  <si>
    <t>客户/供应商</t>
  </si>
  <si>
    <t>部门</t>
  </si>
  <si>
    <t>摘要</t>
  </si>
  <si>
    <t>有形资产</t>
  </si>
  <si>
    <t>营业外支出</t>
  </si>
  <si>
    <t>工资个税</t>
  </si>
  <si>
    <t>劳务个税</t>
  </si>
  <si>
    <t>违约金</t>
  </si>
  <si>
    <t>罚款</t>
  </si>
  <si>
    <t>期初余额</t>
  </si>
  <si>
    <t>建行</t>
  </si>
  <si>
    <t>2026年合计</t>
  </si>
  <si>
    <t>←返回</t>
  </si>
  <si>
    <t>账号名称</t>
  </si>
  <si>
    <t>银行码</t>
  </si>
  <si>
    <t>银行账号</t>
  </si>
  <si>
    <t>合计</t>
  </si>
  <si>
    <t>理财产品期初金额</t>
  </si>
  <si>
    <t>理财产品期末余额</t>
  </si>
  <si>
    <t>提现</t>
  </si>
  <si>
    <t>押金/暂支款</t>
  </si>
  <si>
    <t>常年咨询服务</t>
  </si>
  <si>
    <t>涉税专项服务</t>
  </si>
  <si>
    <t>财税外包服务</t>
  </si>
  <si>
    <t>企业培训服务</t>
  </si>
  <si>
    <t>推广费</t>
  </si>
  <si>
    <t>佣金</t>
  </si>
  <si>
    <t>劳务费</t>
  </si>
  <si>
    <t>分成</t>
  </si>
  <si>
    <t>市场宣传</t>
  </si>
  <si>
    <t>市场辅料</t>
  </si>
  <si>
    <t>办公用品&amp;办公费</t>
  </si>
  <si>
    <t>办公租金&amp;物业费</t>
  </si>
  <si>
    <t>交通费</t>
  </si>
  <si>
    <t>招待费</t>
  </si>
  <si>
    <t>利息</t>
  </si>
  <si>
    <t>XX期初余额</t>
  </si>
  <si>
    <r>
      <rPr>
        <sz val="9"/>
        <rFont val="微软雅黑 Light"/>
        <family val="2"/>
        <charset val="134"/>
      </rPr>
      <t>SPD-5465-理财产品</t>
    </r>
    <r>
      <rPr>
        <sz val="9"/>
        <color rgb="FFFF0000"/>
        <rFont val="微软雅黑 Light"/>
        <family val="2"/>
        <charset val="134"/>
      </rPr>
      <t>期初余额</t>
    </r>
  </si>
  <si>
    <t>SFD-5465-理财产品小计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</si>
</sst>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 * #,##0.00_ ;_ * \-#,##0.00_ ;_ * &quot;-&quot;??_ ;_ @_ "/>
    <numFmt numFmtId="176" formatCode="[$-F800]dddd\,\ mmmm\ dd\,\ yyyy"/>
    <numFmt numFmtId="177" formatCode="#,##0.00_ ;[Red]\-#,##0.00\ "/>
    <numFmt numFmtId="178" formatCode="#,##0.00_);[Red]\(#,##0.00\)"/>
    <numFmt numFmtId="179" formatCode="#,##0.00_ "/>
    <numFmt numFmtId="180" formatCode="0.00_);[Red]\(0.00\)"/>
    <numFmt numFmtId="181" formatCode="yyyy/m/d;@"/>
    <numFmt numFmtId="182" formatCode="[$-409]yyyy/mm/dd;@"/>
  </numFmts>
  <fonts count="49">
    <font>
      <sz val="12"/>
      <name val="宋体"/>
      <charset val="134"/>
    </font>
    <font>
      <b/>
      <sz val="8"/>
      <name val="微软雅黑 Light"/>
      <family val="2"/>
      <charset val="134"/>
    </font>
    <font>
      <sz val="8"/>
      <name val="微软雅黑 Light"/>
      <family val="2"/>
      <charset val="134"/>
    </font>
    <font>
      <sz val="9"/>
      <name val="微软雅黑 Light"/>
      <family val="2"/>
      <charset val="134"/>
    </font>
    <font>
      <sz val="12"/>
      <name val="微软雅黑 Light"/>
      <family val="2"/>
      <charset val="134"/>
    </font>
    <font>
      <u/>
      <sz val="12"/>
      <color rgb="FF800080"/>
      <name val="微软雅黑 Light"/>
      <family val="2"/>
      <charset val="134"/>
    </font>
    <font>
      <sz val="10"/>
      <name val="微软雅黑 Light"/>
      <family val="2"/>
      <charset val="134"/>
    </font>
    <font>
      <sz val="7"/>
      <name val="微软雅黑 Light"/>
      <family val="2"/>
      <charset val="134"/>
    </font>
    <font>
      <sz val="11"/>
      <name val="微软雅黑 Light"/>
      <family val="2"/>
      <charset val="134"/>
    </font>
    <font>
      <u/>
      <sz val="12"/>
      <color theme="10"/>
      <name val="微软雅黑 Light"/>
      <family val="2"/>
      <charset val="134"/>
    </font>
    <font>
      <b/>
      <sz val="8"/>
      <name val="微软雅黑"/>
      <family val="2"/>
      <charset val="134"/>
    </font>
    <font>
      <sz val="8"/>
      <name val="微软雅黑"/>
      <family val="2"/>
      <charset val="134"/>
    </font>
    <font>
      <sz val="8"/>
      <name val="宋体"/>
      <family val="3"/>
      <charset val="134"/>
      <scheme val="minor"/>
    </font>
    <font>
      <sz val="8"/>
      <name val="宋体"/>
      <family val="3"/>
      <charset val="134"/>
    </font>
    <font>
      <u/>
      <sz val="12"/>
      <color rgb="FF800080"/>
      <name val="宋体"/>
      <family val="3"/>
      <charset val="134"/>
    </font>
    <font>
      <b/>
      <sz val="10"/>
      <color rgb="FF000000"/>
      <name val="Arial Light"/>
      <family val="2"/>
    </font>
    <font>
      <sz val="10"/>
      <color rgb="FF000000"/>
      <name val="Arial Light"/>
      <family val="2"/>
    </font>
    <font>
      <sz val="10"/>
      <name val="宋体"/>
      <family val="3"/>
      <charset val="134"/>
    </font>
    <font>
      <sz val="7"/>
      <name val="微软雅黑"/>
      <family val="2"/>
      <charset val="134"/>
    </font>
    <font>
      <sz val="8"/>
      <name val="Arial"/>
      <family val="2"/>
    </font>
    <font>
      <sz val="8"/>
      <name val="微软雅黑 "/>
      <charset val="134"/>
    </font>
    <font>
      <sz val="7"/>
      <name val="宋体"/>
      <family val="3"/>
      <charset val="134"/>
    </font>
    <font>
      <sz val="10"/>
      <name val="微软雅黑"/>
      <family val="2"/>
      <charset val="134"/>
    </font>
    <font>
      <sz val="9"/>
      <name val="微软雅黑"/>
      <family val="2"/>
      <charset val="134"/>
    </font>
    <font>
      <sz val="12"/>
      <name val="微软雅黑"/>
      <family val="2"/>
      <charset val="134"/>
    </font>
    <font>
      <u/>
      <sz val="12"/>
      <color theme="10"/>
      <name val="宋体"/>
      <family val="3"/>
      <charset val="134"/>
    </font>
    <font>
      <sz val="11"/>
      <color theme="1" tint="0.249977111117893"/>
      <name val="微软雅黑"/>
      <family val="2"/>
      <charset val="134"/>
    </font>
    <font>
      <sz val="14"/>
      <color theme="1" tint="0.249977111117893"/>
      <name val="微软雅黑"/>
      <family val="2"/>
      <charset val="134"/>
    </font>
    <font>
      <sz val="26"/>
      <color theme="0"/>
      <name val="微软雅黑"/>
      <family val="2"/>
      <charset val="134"/>
    </font>
    <font>
      <sz val="8"/>
      <color theme="0"/>
      <name val="微软雅黑"/>
      <family val="2"/>
      <charset val="134"/>
    </font>
    <font>
      <sz val="8"/>
      <color theme="1" tint="0.249977111117893"/>
      <name val="微软雅黑"/>
      <family val="2"/>
      <charset val="134"/>
    </font>
    <font>
      <b/>
      <sz val="11"/>
      <color theme="0"/>
      <name val="微软雅黑"/>
      <family val="2"/>
      <charset val="134"/>
    </font>
    <font>
      <b/>
      <sz val="8"/>
      <color theme="0"/>
      <name val="微软雅黑"/>
      <family val="2"/>
      <charset val="134"/>
    </font>
    <font>
      <sz val="11"/>
      <name val="微软雅黑"/>
      <family val="2"/>
      <charset val="134"/>
    </font>
    <font>
      <sz val="14"/>
      <color theme="0"/>
      <name val="微软雅黑"/>
      <family val="2"/>
      <charset val="134"/>
    </font>
    <font>
      <sz val="12"/>
      <color theme="0"/>
      <name val="微软雅黑"/>
      <family val="2"/>
      <charset val="134"/>
    </font>
    <font>
      <sz val="11"/>
      <color theme="0"/>
      <name val="微软雅黑"/>
      <family val="2"/>
      <charset val="134"/>
    </font>
    <font>
      <b/>
      <sz val="11"/>
      <name val="微软雅黑"/>
      <family val="2"/>
      <charset val="134"/>
    </font>
    <font>
      <b/>
      <sz val="18"/>
      <name val="微软雅黑"/>
      <family val="2"/>
      <charset val="134"/>
    </font>
    <font>
      <b/>
      <sz val="12"/>
      <name val="微软雅黑"/>
      <family val="2"/>
      <charset val="134"/>
    </font>
    <font>
      <b/>
      <sz val="14"/>
      <name val="微软雅黑"/>
      <family val="2"/>
      <charset val="134"/>
    </font>
    <font>
      <b/>
      <sz val="10"/>
      <color theme="0"/>
      <name val="微软雅黑 Light"/>
      <family val="2"/>
      <charset val="134"/>
    </font>
    <font>
      <sz val="11"/>
      <color theme="1"/>
      <name val="宋体"/>
      <family val="3"/>
      <charset val="134"/>
      <scheme val="minor"/>
    </font>
    <font>
      <sz val="9"/>
      <color rgb="FFFF0000"/>
      <name val="微软雅黑 Light"/>
      <family val="2"/>
      <charset val="134"/>
    </font>
    <font>
      <b/>
      <sz val="10"/>
      <name val="Arial"/>
      <family val="2"/>
    </font>
    <font>
      <b/>
      <sz val="10"/>
      <name val="宋体"/>
      <family val="3"/>
      <charset val="134"/>
    </font>
    <font>
      <sz val="9"/>
      <name val="宋体"/>
      <family val="3"/>
      <charset val="134"/>
    </font>
    <font>
      <b/>
      <sz val="9"/>
      <name val="宋体"/>
      <family val="3"/>
      <charset val="134"/>
    </font>
    <font>
      <sz val="12"/>
      <name val="宋体"/>
      <family val="3"/>
      <charset val="134"/>
    </font>
  </fonts>
  <fills count="2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theme="0" tint="-0.149906918546098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rgb="FFA0C1E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theme="4" tint="0.39991454817346722"/>
        <bgColor indexed="64"/>
      </patternFill>
    </fill>
    <fill>
      <patternFill patternType="solid">
        <fgColor rgb="FFE3F7F0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A7284C"/>
        <bgColor indexed="64"/>
      </patternFill>
    </fill>
  </fills>
  <borders count="133">
    <border>
      <left/>
      <right/>
      <top/>
      <bottom/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/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medium">
        <color auto="1"/>
      </top>
      <bottom/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double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double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double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medium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double">
        <color auto="1"/>
      </right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 style="double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double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 style="hair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double">
        <color auto="1"/>
      </right>
      <top style="thin">
        <color auto="1"/>
      </top>
      <bottom style="medium">
        <color auto="1"/>
      </bottom>
      <diagonal/>
    </border>
    <border>
      <left/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/>
      <right style="thin">
        <color auto="1"/>
      </right>
      <top style="hair">
        <color auto="1"/>
      </top>
      <bottom style="medium">
        <color auto="1"/>
      </bottom>
      <diagonal/>
    </border>
    <border>
      <left/>
      <right/>
      <top style="hair">
        <color auto="1"/>
      </top>
      <bottom style="medium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double">
        <color auto="1"/>
      </right>
      <top style="hair">
        <color auto="1"/>
      </top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/>
      <bottom/>
      <diagonal/>
    </border>
    <border>
      <left style="double">
        <color auto="1"/>
      </left>
      <right style="double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medium">
        <color auto="1"/>
      </left>
      <right style="hair">
        <color auto="1"/>
      </right>
      <top style="hair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hair">
        <color auto="1"/>
      </right>
      <top style="medium">
        <color auto="1"/>
      </top>
      <bottom style="medium">
        <color auto="1"/>
      </bottom>
      <diagonal/>
    </border>
    <border>
      <left style="double">
        <color auto="1"/>
      </left>
      <right style="double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/>
      <bottom style="medium">
        <color auto="1"/>
      </bottom>
      <diagonal/>
    </border>
    <border>
      <left style="double">
        <color auto="1"/>
      </left>
      <right style="double">
        <color auto="1"/>
      </right>
      <top/>
      <bottom style="hair">
        <color auto="1"/>
      </bottom>
      <diagonal/>
    </border>
    <border>
      <left/>
      <right/>
      <top/>
      <bottom style="medium">
        <color auto="1"/>
      </bottom>
      <diagonal/>
    </border>
    <border>
      <left style="hair">
        <color auto="1"/>
      </left>
      <right/>
      <top style="hair">
        <color auto="1"/>
      </top>
      <bottom style="medium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double">
        <color auto="1"/>
      </right>
      <top style="hair">
        <color auto="1"/>
      </top>
      <bottom style="thin">
        <color auto="1"/>
      </bottom>
      <diagonal/>
    </border>
    <border>
      <left style="medium">
        <color theme="5"/>
      </left>
      <right/>
      <top/>
      <bottom/>
      <diagonal/>
    </border>
    <border>
      <left style="medium">
        <color theme="5"/>
      </left>
      <right/>
      <top style="medium">
        <color theme="5"/>
      </top>
      <bottom/>
      <diagonal/>
    </border>
    <border>
      <left/>
      <right/>
      <top style="medium">
        <color theme="5"/>
      </top>
      <bottom/>
      <diagonal/>
    </border>
    <border>
      <left style="thin">
        <color theme="5"/>
      </left>
      <right style="thin">
        <color theme="5"/>
      </right>
      <top style="medium">
        <color theme="5"/>
      </top>
      <bottom/>
      <diagonal/>
    </border>
    <border>
      <left/>
      <right style="medium">
        <color theme="5"/>
      </right>
      <top style="medium">
        <color theme="5"/>
      </top>
      <bottom/>
      <diagonal/>
    </border>
    <border>
      <left style="medium">
        <color theme="5"/>
      </left>
      <right/>
      <top style="thin">
        <color theme="5"/>
      </top>
      <bottom/>
      <diagonal/>
    </border>
    <border>
      <left/>
      <right/>
      <top style="thin">
        <color theme="5"/>
      </top>
      <bottom/>
      <diagonal/>
    </border>
    <border>
      <left style="thin">
        <color theme="5"/>
      </left>
      <right style="thin">
        <color theme="5"/>
      </right>
      <top style="thin">
        <color theme="5"/>
      </top>
      <bottom/>
      <diagonal/>
    </border>
    <border>
      <left/>
      <right style="medium">
        <color theme="5"/>
      </right>
      <top style="thin">
        <color theme="5"/>
      </top>
      <bottom/>
      <diagonal/>
    </border>
    <border>
      <left style="thin">
        <color theme="5"/>
      </left>
      <right style="thin">
        <color theme="5"/>
      </right>
      <top/>
      <bottom/>
      <diagonal/>
    </border>
    <border>
      <left/>
      <right style="medium">
        <color theme="5"/>
      </right>
      <top/>
      <bottom/>
      <diagonal/>
    </border>
    <border>
      <left style="thin">
        <color theme="5"/>
      </left>
      <right style="medium">
        <color theme="5"/>
      </right>
      <top/>
      <bottom/>
      <diagonal/>
    </border>
    <border>
      <left style="thin">
        <color theme="5"/>
      </left>
      <right style="thin">
        <color theme="5"/>
      </right>
      <top style="thin">
        <color theme="5"/>
      </top>
      <bottom style="thin">
        <color theme="5"/>
      </bottom>
      <diagonal/>
    </border>
    <border>
      <left style="thin">
        <color theme="5"/>
      </left>
      <right style="medium">
        <color theme="5"/>
      </right>
      <top style="thin">
        <color theme="5"/>
      </top>
      <bottom/>
      <diagonal/>
    </border>
    <border>
      <left style="medium">
        <color theme="5"/>
      </left>
      <right style="hair">
        <color theme="5" tint="0.39988402966399123"/>
      </right>
      <top style="thin">
        <color theme="5"/>
      </top>
      <bottom/>
      <diagonal/>
    </border>
    <border>
      <left style="hair">
        <color theme="5" tint="0.39988402966399123"/>
      </left>
      <right style="hair">
        <color theme="5" tint="0.39988402966399123"/>
      </right>
      <top style="thin">
        <color theme="5"/>
      </top>
      <bottom/>
      <diagonal/>
    </border>
    <border>
      <left style="hair">
        <color theme="5" tint="0.39988402966399123"/>
      </left>
      <right style="medium">
        <color theme="5"/>
      </right>
      <top style="thin">
        <color theme="5"/>
      </top>
      <bottom/>
      <diagonal/>
    </border>
    <border>
      <left style="medium">
        <color rgb="FFFF6C0D"/>
      </left>
      <right/>
      <top style="medium">
        <color rgb="FFFF6C0D"/>
      </top>
      <bottom style="medium">
        <color theme="5"/>
      </bottom>
      <diagonal/>
    </border>
    <border>
      <left/>
      <right/>
      <top style="medium">
        <color rgb="FFFF6C0D"/>
      </top>
      <bottom style="medium">
        <color theme="5"/>
      </bottom>
      <diagonal/>
    </border>
    <border>
      <left/>
      <right style="medium">
        <color rgb="FFFF6C0D"/>
      </right>
      <top style="medium">
        <color rgb="FFFF6C0D"/>
      </top>
      <bottom style="medium">
        <color theme="5"/>
      </bottom>
      <diagonal/>
    </border>
    <border>
      <left style="medium">
        <color rgb="FFFF6C0D"/>
      </left>
      <right/>
      <top style="medium">
        <color theme="5"/>
      </top>
      <bottom style="medium">
        <color rgb="FFFF6C0D"/>
      </bottom>
      <diagonal/>
    </border>
    <border>
      <left/>
      <right/>
      <top style="medium">
        <color theme="5"/>
      </top>
      <bottom style="medium">
        <color rgb="FFFF6C0D"/>
      </bottom>
      <diagonal/>
    </border>
    <border>
      <left/>
      <right style="medium">
        <color rgb="FFFF6C0D"/>
      </right>
      <top style="medium">
        <color theme="5"/>
      </top>
      <bottom style="medium">
        <color rgb="FFFF6C0D"/>
      </bottom>
      <diagonal/>
    </border>
    <border>
      <left style="thin">
        <color rgb="FFFF6C0D"/>
      </left>
      <right style="thin">
        <color rgb="FFFF6C0D"/>
      </right>
      <top style="thin">
        <color rgb="FFFF6C0D"/>
      </top>
      <bottom style="thin">
        <color rgb="FFFF6C0D"/>
      </bottom>
      <diagonal/>
    </border>
  </borders>
  <cellStyleXfs count="7">
    <xf numFmtId="0" fontId="0" fillId="0" borderId="0"/>
    <xf numFmtId="43" fontId="48" fillId="0" borderId="0" applyFon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top"/>
      <protection locked="0"/>
    </xf>
    <xf numFmtId="0" fontId="48" fillId="0" borderId="0"/>
    <xf numFmtId="0" fontId="42" fillId="0" borderId="0">
      <alignment vertical="center"/>
    </xf>
    <xf numFmtId="0" fontId="48" fillId="0" borderId="0"/>
    <xf numFmtId="0" fontId="48" fillId="0" borderId="0">
      <alignment vertical="center"/>
    </xf>
  </cellStyleXfs>
  <cellXfs count="590">
    <xf numFmtId="0" fontId="0" fillId="0" borderId="0" xfId="0"/>
    <xf numFmtId="0" fontId="1" fillId="0" borderId="0" xfId="3" applyFont="1" applyAlignment="1">
      <alignment horizontal="center" vertical="center" wrapText="1" shrinkToFit="1"/>
    </xf>
    <xf numFmtId="0" fontId="2" fillId="0" borderId="0" xfId="0" applyFont="1" applyAlignment="1">
      <alignment horizontal="center" vertical="center" wrapText="1" shrinkToFit="1"/>
    </xf>
    <xf numFmtId="0" fontId="3" fillId="0" borderId="0" xfId="0" applyFont="1" applyAlignment="1">
      <alignment vertical="center" wrapText="1" shrinkToFit="1"/>
    </xf>
    <xf numFmtId="0" fontId="2" fillId="0" borderId="0" xfId="0" applyFont="1" applyAlignment="1">
      <alignment vertical="center" wrapText="1" shrinkToFit="1"/>
    </xf>
    <xf numFmtId="176" fontId="2" fillId="0" borderId="0" xfId="0" applyNumberFormat="1" applyFont="1" applyAlignment="1">
      <alignment vertical="center" wrapText="1" shrinkToFit="1"/>
    </xf>
    <xf numFmtId="43" fontId="4" fillId="0" borderId="0" xfId="1" applyFont="1" applyAlignment="1">
      <alignment vertical="center" wrapText="1" shrinkToFit="1"/>
    </xf>
    <xf numFmtId="0" fontId="4" fillId="0" borderId="0" xfId="0" applyFont="1" applyAlignment="1">
      <alignment vertical="center" wrapText="1" shrinkToFit="1"/>
    </xf>
    <xf numFmtId="0" fontId="4" fillId="0" borderId="0" xfId="0" applyFont="1" applyAlignment="1">
      <alignment horizontal="center" vertical="center" wrapText="1" shrinkToFit="1"/>
    </xf>
    <xf numFmtId="0" fontId="4" fillId="0" borderId="0" xfId="0" applyFont="1" applyAlignment="1">
      <alignment vertical="center" shrinkToFit="1"/>
    </xf>
    <xf numFmtId="0" fontId="5" fillId="0" borderId="0" xfId="2" applyFont="1" applyFill="1" applyAlignment="1" applyProtection="1">
      <alignment vertical="center" wrapText="1" shrinkToFit="1"/>
    </xf>
    <xf numFmtId="43" fontId="6" fillId="0" borderId="0" xfId="0" applyNumberFormat="1" applyFont="1" applyAlignment="1">
      <alignment vertical="center" wrapText="1" shrinkToFit="1"/>
    </xf>
    <xf numFmtId="43" fontId="1" fillId="0" borderId="0" xfId="1" applyFont="1" applyAlignment="1">
      <alignment horizontal="center" vertical="center" wrapText="1" shrinkToFit="1"/>
    </xf>
    <xf numFmtId="43" fontId="2" fillId="2" borderId="18" xfId="5" applyNumberFormat="1" applyFont="1" applyFill="1" applyBorder="1" applyAlignment="1">
      <alignment horizontal="center" vertical="center" wrapText="1"/>
    </xf>
    <xf numFmtId="178" fontId="2" fillId="2" borderId="19" xfId="0" applyNumberFormat="1" applyFont="1" applyFill="1" applyBorder="1" applyAlignment="1">
      <alignment horizontal="center" vertical="center" wrapText="1" shrinkToFit="1"/>
    </xf>
    <xf numFmtId="43" fontId="2" fillId="8" borderId="14" xfId="5" applyNumberFormat="1" applyFont="1" applyFill="1" applyBorder="1" applyAlignment="1">
      <alignment horizontal="center" vertical="center" wrapText="1" shrinkToFit="1"/>
    </xf>
    <xf numFmtId="43" fontId="2" fillId="8" borderId="21" xfId="5" applyNumberFormat="1" applyFont="1" applyFill="1" applyBorder="1" applyAlignment="1">
      <alignment horizontal="center" vertical="center" wrapText="1" shrinkToFit="1"/>
    </xf>
    <xf numFmtId="43" fontId="2" fillId="8" borderId="15" xfId="5" applyNumberFormat="1" applyFont="1" applyFill="1" applyBorder="1" applyAlignment="1">
      <alignment horizontal="center" vertical="center" wrapText="1" shrinkToFit="1"/>
    </xf>
    <xf numFmtId="43" fontId="2" fillId="8" borderId="22" xfId="5" applyNumberFormat="1" applyFont="1" applyFill="1" applyBorder="1" applyAlignment="1">
      <alignment horizontal="center" vertical="center" wrapText="1" shrinkToFit="1"/>
    </xf>
    <xf numFmtId="43" fontId="2" fillId="3" borderId="15" xfId="0" applyNumberFormat="1" applyFont="1" applyFill="1" applyBorder="1" applyAlignment="1">
      <alignment horizontal="center" vertical="center" wrapText="1"/>
    </xf>
    <xf numFmtId="43" fontId="2" fillId="3" borderId="23" xfId="0" applyNumberFormat="1" applyFont="1" applyFill="1" applyBorder="1" applyAlignment="1">
      <alignment horizontal="center" vertical="center" wrapText="1"/>
    </xf>
    <xf numFmtId="43" fontId="2" fillId="4" borderId="12" xfId="0" applyNumberFormat="1" applyFont="1" applyFill="1" applyBorder="1" applyAlignment="1">
      <alignment horizontal="center" vertical="center" wrapText="1" shrinkToFit="1"/>
    </xf>
    <xf numFmtId="43" fontId="2" fillId="4" borderId="15" xfId="0" applyNumberFormat="1" applyFont="1" applyFill="1" applyBorder="1" applyAlignment="1">
      <alignment horizontal="center" vertical="center" wrapText="1" shrinkToFit="1"/>
    </xf>
    <xf numFmtId="43" fontId="2" fillId="4" borderId="22" xfId="0" applyNumberFormat="1" applyFont="1" applyFill="1" applyBorder="1" applyAlignment="1">
      <alignment horizontal="center" vertical="center" wrapText="1" shrinkToFit="1"/>
    </xf>
    <xf numFmtId="43" fontId="7" fillId="5" borderId="21" xfId="0" applyNumberFormat="1" applyFont="1" applyFill="1" applyBorder="1" applyAlignment="1">
      <alignment horizontal="center" vertical="center" wrapText="1" shrinkToFit="1"/>
    </xf>
    <xf numFmtId="0" fontId="7" fillId="5" borderId="23" xfId="0" applyFont="1" applyFill="1" applyBorder="1" applyAlignment="1">
      <alignment horizontal="center" vertical="center" wrapText="1" shrinkToFit="1"/>
    </xf>
    <xf numFmtId="43" fontId="7" fillId="6" borderId="12" xfId="0" applyNumberFormat="1" applyFont="1" applyFill="1" applyBorder="1" applyAlignment="1">
      <alignment horizontal="center" vertical="center" wrapText="1" shrinkToFit="1"/>
    </xf>
    <xf numFmtId="43" fontId="7" fillId="6" borderId="15" xfId="0" applyNumberFormat="1" applyFont="1" applyFill="1" applyBorder="1" applyAlignment="1">
      <alignment horizontal="center" vertical="center" wrapText="1" shrinkToFit="1"/>
    </xf>
    <xf numFmtId="43" fontId="7" fillId="6" borderId="22" xfId="0" applyNumberFormat="1" applyFont="1" applyFill="1" applyBorder="1" applyAlignment="1">
      <alignment horizontal="center" vertical="center" wrapText="1" shrinkToFit="1"/>
    </xf>
    <xf numFmtId="43" fontId="7" fillId="7" borderId="21" xfId="0" applyNumberFormat="1" applyFont="1" applyFill="1" applyBorder="1" applyAlignment="1">
      <alignment horizontal="center" vertical="center" wrapText="1" shrinkToFit="1"/>
    </xf>
    <xf numFmtId="43" fontId="7" fillId="7" borderId="15" xfId="0" applyNumberFormat="1" applyFont="1" applyFill="1" applyBorder="1" applyAlignment="1">
      <alignment horizontal="center" vertical="center" wrapText="1" shrinkToFit="1"/>
    </xf>
    <xf numFmtId="43" fontId="7" fillId="7" borderId="22" xfId="0" applyNumberFormat="1" applyFont="1" applyFill="1" applyBorder="1" applyAlignment="1">
      <alignment horizontal="center" vertical="center" wrapText="1" shrinkToFit="1"/>
    </xf>
    <xf numFmtId="43" fontId="2" fillId="0" borderId="0" xfId="1" applyFont="1" applyAlignment="1">
      <alignment horizontal="center" vertical="center" wrapText="1" shrinkToFit="1"/>
    </xf>
    <xf numFmtId="43" fontId="3" fillId="9" borderId="25" xfId="1" applyFont="1" applyFill="1" applyBorder="1" applyAlignment="1">
      <alignment vertical="center" wrapText="1" shrinkToFit="1"/>
    </xf>
    <xf numFmtId="0" fontId="3" fillId="9" borderId="25" xfId="0" applyFont="1" applyFill="1" applyBorder="1" applyAlignment="1">
      <alignment vertical="center" wrapText="1" shrinkToFit="1"/>
    </xf>
    <xf numFmtId="0" fontId="6" fillId="9" borderId="25" xfId="0" applyFont="1" applyFill="1" applyBorder="1" applyAlignment="1">
      <alignment vertical="center" wrapText="1" shrinkToFit="1"/>
    </xf>
    <xf numFmtId="0" fontId="3" fillId="9" borderId="25" xfId="0" applyFont="1" applyFill="1" applyBorder="1" applyAlignment="1">
      <alignment horizontal="center" vertical="center" wrapText="1" shrinkToFit="1"/>
    </xf>
    <xf numFmtId="0" fontId="3" fillId="9" borderId="26" xfId="0" applyFont="1" applyFill="1" applyBorder="1" applyAlignment="1">
      <alignment vertical="center" wrapText="1" shrinkToFit="1"/>
    </xf>
    <xf numFmtId="43" fontId="3" fillId="0" borderId="0" xfId="1" applyFont="1" applyAlignment="1">
      <alignment vertical="center" wrapText="1" shrinkToFit="1"/>
    </xf>
    <xf numFmtId="0" fontId="2" fillId="0" borderId="27" xfId="3" applyFont="1" applyBorder="1" applyAlignment="1">
      <alignment horizontal="right" vertical="center" wrapText="1" shrinkToFit="1"/>
    </xf>
    <xf numFmtId="14" fontId="2" fillId="0" borderId="28" xfId="3" applyNumberFormat="1" applyFont="1" applyBorder="1" applyAlignment="1">
      <alignment horizontal="right" vertical="center" shrinkToFit="1"/>
    </xf>
    <xf numFmtId="43" fontId="2" fillId="0" borderId="29" xfId="1" applyFont="1" applyBorder="1" applyAlignment="1">
      <alignment vertical="center" wrapText="1" shrinkToFit="1"/>
    </xf>
    <xf numFmtId="43" fontId="2" fillId="0" borderId="30" xfId="1" applyFont="1" applyBorder="1" applyAlignment="1">
      <alignment vertical="center" wrapText="1" shrinkToFit="1"/>
    </xf>
    <xf numFmtId="43" fontId="3" fillId="9" borderId="31" xfId="1" applyFont="1" applyFill="1" applyBorder="1" applyAlignment="1">
      <alignment vertical="center" wrapText="1" shrinkToFit="1"/>
    </xf>
    <xf numFmtId="43" fontId="2" fillId="0" borderId="32" xfId="1" applyFont="1" applyBorder="1" applyAlignment="1">
      <alignment vertical="center" wrapText="1" shrinkToFit="1"/>
    </xf>
    <xf numFmtId="43" fontId="2" fillId="0" borderId="33" xfId="1" applyFont="1" applyBorder="1" applyAlignment="1">
      <alignment vertical="center" wrapText="1" shrinkToFit="1"/>
    </xf>
    <xf numFmtId="43" fontId="2" fillId="0" borderId="34" xfId="1" applyFont="1" applyBorder="1" applyAlignment="1">
      <alignment vertical="center" wrapText="1" shrinkToFit="1"/>
    </xf>
    <xf numFmtId="43" fontId="2" fillId="0" borderId="35" xfId="1" applyFont="1" applyBorder="1" applyAlignment="1">
      <alignment vertical="center" wrapText="1" shrinkToFit="1"/>
    </xf>
    <xf numFmtId="43" fontId="2" fillId="0" borderId="30" xfId="1" applyFont="1" applyBorder="1" applyAlignment="1">
      <alignment horizontal="center" vertical="center" wrapText="1" shrinkToFit="1"/>
    </xf>
    <xf numFmtId="43" fontId="2" fillId="0" borderId="36" xfId="1" applyFont="1" applyBorder="1" applyAlignment="1">
      <alignment vertical="center" wrapText="1" shrinkToFit="1"/>
    </xf>
    <xf numFmtId="43" fontId="3" fillId="9" borderId="33" xfId="1" applyFont="1" applyFill="1" applyBorder="1" applyAlignment="1">
      <alignment vertical="center" wrapText="1" shrinkToFit="1"/>
    </xf>
    <xf numFmtId="0" fontId="8" fillId="0" borderId="37" xfId="5" applyFont="1" applyBorder="1" applyAlignment="1">
      <alignment horizontal="center" vertical="center" shrinkToFit="1"/>
    </xf>
    <xf numFmtId="43" fontId="2" fillId="0" borderId="38" xfId="1" applyFont="1" applyBorder="1" applyAlignment="1">
      <alignment horizontal="center" vertical="center" wrapText="1" shrinkToFit="1"/>
    </xf>
    <xf numFmtId="180" fontId="2" fillId="0" borderId="39" xfId="3" applyNumberFormat="1" applyFont="1" applyBorder="1" applyAlignment="1">
      <alignment horizontal="center" vertical="center" shrinkToFit="1"/>
    </xf>
    <xf numFmtId="43" fontId="7" fillId="0" borderId="40" xfId="1" applyFont="1" applyFill="1" applyBorder="1" applyAlignment="1">
      <alignment vertical="center" wrapText="1" shrinkToFit="1"/>
    </xf>
    <xf numFmtId="43" fontId="7" fillId="0" borderId="29" xfId="1" applyFont="1" applyFill="1" applyBorder="1" applyAlignment="1">
      <alignment vertical="center" wrapText="1" shrinkToFit="1"/>
    </xf>
    <xf numFmtId="43" fontId="7" fillId="0" borderId="30" xfId="1" applyFont="1" applyFill="1" applyBorder="1" applyAlignment="1">
      <alignment vertical="center" wrapText="1" shrinkToFit="1"/>
    </xf>
    <xf numFmtId="43" fontId="7" fillId="0" borderId="30" xfId="1" applyFont="1" applyFill="1" applyBorder="1" applyAlignment="1">
      <alignment horizontal="center" vertical="center" wrapText="1" shrinkToFit="1"/>
    </xf>
    <xf numFmtId="43" fontId="7" fillId="0" borderId="41" xfId="1" applyFont="1" applyFill="1" applyBorder="1" applyAlignment="1">
      <alignment vertical="center" wrapText="1" shrinkToFit="1"/>
    </xf>
    <xf numFmtId="43" fontId="7" fillId="0" borderId="42" xfId="1" applyFont="1" applyFill="1" applyBorder="1" applyAlignment="1">
      <alignment vertical="center" wrapText="1" shrinkToFit="1"/>
    </xf>
    <xf numFmtId="43" fontId="7" fillId="0" borderId="27" xfId="1" applyFont="1" applyFill="1" applyBorder="1" applyAlignment="1">
      <alignment vertical="center" wrapText="1" shrinkToFit="1"/>
    </xf>
    <xf numFmtId="0" fontId="2" fillId="0" borderId="43" xfId="3" applyFont="1" applyBorder="1" applyAlignment="1">
      <alignment horizontal="right" vertical="center" wrapText="1" shrinkToFit="1"/>
    </xf>
    <xf numFmtId="43" fontId="2" fillId="0" borderId="44" xfId="1" applyFont="1" applyBorder="1" applyAlignment="1">
      <alignment vertical="center" wrapText="1" shrinkToFit="1"/>
    </xf>
    <xf numFmtId="43" fontId="2" fillId="0" borderId="45" xfId="1" applyFont="1" applyBorder="1" applyAlignment="1">
      <alignment vertical="center" wrapText="1" shrinkToFit="1"/>
    </xf>
    <xf numFmtId="43" fontId="3" fillId="9" borderId="46" xfId="1" applyFont="1" applyFill="1" applyBorder="1" applyAlignment="1">
      <alignment vertical="center" wrapText="1" shrinkToFit="1"/>
    </xf>
    <xf numFmtId="43" fontId="2" fillId="0" borderId="47" xfId="1" applyFont="1" applyBorder="1" applyAlignment="1">
      <alignment vertical="center" wrapText="1" shrinkToFit="1"/>
    </xf>
    <xf numFmtId="178" fontId="2" fillId="0" borderId="48" xfId="1" applyNumberFormat="1" applyFont="1" applyBorder="1" applyAlignment="1">
      <alignment vertical="center" wrapText="1" shrinkToFit="1"/>
    </xf>
    <xf numFmtId="43" fontId="2" fillId="0" borderId="49" xfId="1" applyFont="1" applyBorder="1" applyAlignment="1">
      <alignment vertical="center" wrapText="1" shrinkToFit="1"/>
    </xf>
    <xf numFmtId="43" fontId="2" fillId="0" borderId="50" xfId="1" applyFont="1" applyBorder="1" applyAlignment="1">
      <alignment vertical="center" wrapText="1" shrinkToFit="1"/>
    </xf>
    <xf numFmtId="43" fontId="2" fillId="0" borderId="45" xfId="1" applyFont="1" applyBorder="1" applyAlignment="1">
      <alignment horizontal="center" vertical="center" wrapText="1" shrinkToFit="1"/>
    </xf>
    <xf numFmtId="43" fontId="2" fillId="0" borderId="28" xfId="1" applyFont="1" applyBorder="1" applyAlignment="1">
      <alignment vertical="center" wrapText="1" shrinkToFit="1"/>
    </xf>
    <xf numFmtId="0" fontId="8" fillId="0" borderId="51" xfId="5" applyFont="1" applyBorder="1" applyAlignment="1">
      <alignment horizontal="center" vertical="center" shrinkToFit="1"/>
    </xf>
    <xf numFmtId="0" fontId="2" fillId="0" borderId="46" xfId="5" applyFont="1" applyBorder="1" applyAlignment="1">
      <alignment horizontal="center" vertical="center" shrinkToFit="1"/>
    </xf>
    <xf numFmtId="43" fontId="7" fillId="0" borderId="51" xfId="1" applyFont="1" applyFill="1" applyBorder="1" applyAlignment="1">
      <alignment vertical="center" wrapText="1" shrinkToFit="1"/>
    </xf>
    <xf numFmtId="43" fontId="7" fillId="0" borderId="44" xfId="1" applyFont="1" applyFill="1" applyBorder="1" applyAlignment="1">
      <alignment vertical="center" wrapText="1" shrinkToFit="1"/>
    </xf>
    <xf numFmtId="43" fontId="7" fillId="0" borderId="45" xfId="1" applyFont="1" applyFill="1" applyBorder="1" applyAlignment="1">
      <alignment vertical="center" wrapText="1" shrinkToFit="1"/>
    </xf>
    <xf numFmtId="43" fontId="7" fillId="0" borderId="45" xfId="1" applyFont="1" applyFill="1" applyBorder="1" applyAlignment="1">
      <alignment horizontal="center" vertical="center" wrapText="1" shrinkToFit="1"/>
    </xf>
    <xf numFmtId="43" fontId="7" fillId="0" borderId="52" xfId="1" applyFont="1" applyFill="1" applyBorder="1" applyAlignment="1">
      <alignment vertical="center" wrapText="1" shrinkToFit="1"/>
    </xf>
    <xf numFmtId="43" fontId="7" fillId="0" borderId="53" xfId="1" applyFont="1" applyFill="1" applyBorder="1" applyAlignment="1">
      <alignment vertical="center" wrapText="1" shrinkToFit="1"/>
    </xf>
    <xf numFmtId="43" fontId="7" fillId="0" borderId="43" xfId="1" applyFont="1" applyFill="1" applyBorder="1" applyAlignment="1">
      <alignment vertical="center" wrapText="1" shrinkToFit="1"/>
    </xf>
    <xf numFmtId="178" fontId="2" fillId="0" borderId="48" xfId="1" applyNumberFormat="1" applyFont="1" applyFill="1" applyBorder="1" applyAlignment="1">
      <alignment vertical="center" wrapText="1" shrinkToFit="1"/>
    </xf>
    <xf numFmtId="180" fontId="2" fillId="0" borderId="46" xfId="3" applyNumberFormat="1" applyFont="1" applyBorder="1" applyAlignment="1">
      <alignment horizontal="center" vertical="center" shrinkToFit="1"/>
    </xf>
    <xf numFmtId="0" fontId="7" fillId="0" borderId="51" xfId="0" applyFont="1" applyBorder="1"/>
    <xf numFmtId="43" fontId="2" fillId="0" borderId="48" xfId="1" applyFont="1" applyBorder="1" applyAlignment="1">
      <alignment vertical="center" wrapText="1" shrinkToFit="1"/>
    </xf>
    <xf numFmtId="178" fontId="7" fillId="0" borderId="45" xfId="1" applyNumberFormat="1" applyFont="1" applyFill="1" applyBorder="1" applyAlignment="1">
      <alignment horizontal="left" vertical="center" wrapText="1" shrinkToFit="1"/>
    </xf>
    <xf numFmtId="180" fontId="2" fillId="0" borderId="45" xfId="3" applyNumberFormat="1" applyFont="1" applyBorder="1" applyAlignment="1">
      <alignment horizontal="center" vertical="center" shrinkToFit="1"/>
    </xf>
    <xf numFmtId="0" fontId="2" fillId="0" borderId="45" xfId="5" applyFont="1" applyBorder="1" applyAlignment="1">
      <alignment horizontal="center" vertical="center" shrinkToFit="1"/>
    </xf>
    <xf numFmtId="43" fontId="7" fillId="0" borderId="51" xfId="1" applyFont="1" applyFill="1" applyBorder="1" applyAlignment="1">
      <alignment vertical="center" shrinkToFit="1"/>
    </xf>
    <xf numFmtId="43" fontId="7" fillId="0" borderId="44" xfId="1" applyFont="1" applyFill="1" applyBorder="1" applyAlignment="1">
      <alignment vertical="center" shrinkToFit="1"/>
    </xf>
    <xf numFmtId="43" fontId="7" fillId="0" borderId="45" xfId="1" applyFont="1" applyFill="1" applyBorder="1" applyAlignment="1">
      <alignment vertical="center" shrinkToFit="1"/>
    </xf>
    <xf numFmtId="43" fontId="7" fillId="0" borderId="53" xfId="1" applyFont="1" applyFill="1" applyBorder="1" applyAlignment="1">
      <alignment vertical="center" shrinkToFit="1"/>
    </xf>
    <xf numFmtId="178" fontId="2" fillId="0" borderId="47" xfId="1" applyNumberFormat="1" applyFont="1" applyBorder="1" applyAlignment="1">
      <alignment vertical="center" wrapText="1" shrinkToFit="1"/>
    </xf>
    <xf numFmtId="0" fontId="2" fillId="0" borderId="51" xfId="3" applyFont="1" applyBorder="1" applyAlignment="1">
      <alignment horizontal="right" vertical="center" shrinkToFit="1"/>
    </xf>
    <xf numFmtId="43" fontId="2" fillId="0" borderId="46" xfId="1" applyFont="1" applyFill="1" applyBorder="1" applyAlignment="1">
      <alignment horizontal="center" vertical="center" wrapText="1" shrinkToFit="1"/>
    </xf>
    <xf numFmtId="178" fontId="2" fillId="0" borderId="45" xfId="3" applyNumberFormat="1" applyFont="1" applyBorder="1" applyAlignment="1">
      <alignment horizontal="center" vertical="center" shrinkToFit="1"/>
    </xf>
    <xf numFmtId="43" fontId="7" fillId="0" borderId="45" xfId="1" applyFont="1" applyFill="1" applyBorder="1" applyAlignment="1">
      <alignment horizontal="left" vertical="center" wrapText="1" shrinkToFit="1"/>
    </xf>
    <xf numFmtId="43" fontId="7" fillId="0" borderId="44" xfId="1" applyFont="1" applyFill="1" applyBorder="1" applyAlignment="1">
      <alignment horizontal="center" vertical="center" wrapText="1" shrinkToFit="1"/>
    </xf>
    <xf numFmtId="43" fontId="2" fillId="0" borderId="44" xfId="1" applyFont="1" applyFill="1" applyBorder="1" applyAlignment="1">
      <alignment vertical="center" wrapText="1" shrinkToFit="1"/>
    </xf>
    <xf numFmtId="43" fontId="2" fillId="0" borderId="45" xfId="1" applyFont="1" applyFill="1" applyBorder="1" applyAlignment="1">
      <alignment vertical="center" wrapText="1" shrinkToFit="1"/>
    </xf>
    <xf numFmtId="43" fontId="2" fillId="0" borderId="47" xfId="1" applyFont="1" applyFill="1" applyBorder="1" applyAlignment="1">
      <alignment vertical="center" wrapText="1" shrinkToFit="1"/>
    </xf>
    <xf numFmtId="43" fontId="2" fillId="0" borderId="48" xfId="1" applyFont="1" applyFill="1" applyBorder="1" applyAlignment="1">
      <alignment vertical="center" wrapText="1" shrinkToFit="1"/>
    </xf>
    <xf numFmtId="43" fontId="2" fillId="0" borderId="49" xfId="1" applyFont="1" applyFill="1" applyBorder="1" applyAlignment="1">
      <alignment vertical="center" wrapText="1" shrinkToFit="1"/>
    </xf>
    <xf numFmtId="43" fontId="2" fillId="0" borderId="50" xfId="1" applyFont="1" applyFill="1" applyBorder="1" applyAlignment="1">
      <alignment vertical="center" wrapText="1" shrinkToFit="1"/>
    </xf>
    <xf numFmtId="43" fontId="2" fillId="0" borderId="28" xfId="1" applyFont="1" applyFill="1" applyBorder="1" applyAlignment="1">
      <alignment vertical="center" wrapText="1" shrinkToFit="1"/>
    </xf>
    <xf numFmtId="43" fontId="4" fillId="0" borderId="0" xfId="1" applyFont="1" applyFill="1" applyAlignment="1">
      <alignment vertical="center" wrapText="1" shrinkToFit="1"/>
    </xf>
    <xf numFmtId="0" fontId="2" fillId="0" borderId="51" xfId="5" applyFont="1" applyBorder="1" applyAlignment="1">
      <alignment horizontal="center" vertical="center" shrinkToFit="1"/>
    </xf>
    <xf numFmtId="0" fontId="4" fillId="0" borderId="0" xfId="0" applyFont="1" applyAlignment="1">
      <alignment vertical="center" wrapText="1"/>
    </xf>
    <xf numFmtId="178" fontId="7" fillId="0" borderId="45" xfId="1" applyNumberFormat="1" applyFont="1" applyFill="1" applyBorder="1" applyAlignment="1">
      <alignment horizontal="center" vertical="center" wrapText="1" shrinkToFit="1"/>
    </xf>
    <xf numFmtId="178" fontId="2" fillId="0" borderId="49" xfId="1" applyNumberFormat="1" applyFont="1" applyBorder="1" applyAlignment="1">
      <alignment vertical="center" wrapText="1" shrinkToFit="1"/>
    </xf>
    <xf numFmtId="178" fontId="2" fillId="0" borderId="51" xfId="3" applyNumberFormat="1" applyFont="1" applyBorder="1" applyAlignment="1">
      <alignment horizontal="center" vertical="center" shrinkToFit="1"/>
    </xf>
    <xf numFmtId="43" fontId="3" fillId="10" borderId="55" xfId="1" applyFont="1" applyFill="1" applyBorder="1" applyAlignment="1">
      <alignment vertical="center" wrapText="1" shrinkToFit="1"/>
    </xf>
    <xf numFmtId="43" fontId="3" fillId="10" borderId="55" xfId="1" applyFont="1" applyFill="1" applyBorder="1" applyAlignment="1">
      <alignment horizontal="center" vertical="center" wrapText="1" shrinkToFit="1"/>
    </xf>
    <xf numFmtId="43" fontId="3" fillId="9" borderId="55" xfId="1" applyFont="1" applyFill="1" applyBorder="1" applyAlignment="1">
      <alignment vertical="center" wrapText="1" shrinkToFit="1"/>
    </xf>
    <xf numFmtId="43" fontId="7" fillId="10" borderId="55" xfId="1" applyFont="1" applyFill="1" applyBorder="1" applyAlignment="1">
      <alignment vertical="center" wrapText="1" shrinkToFit="1"/>
    </xf>
    <xf numFmtId="43" fontId="7" fillId="10" borderId="55" xfId="1" applyFont="1" applyFill="1" applyBorder="1" applyAlignment="1">
      <alignment vertical="center" shrinkToFit="1"/>
    </xf>
    <xf numFmtId="43" fontId="7" fillId="10" borderId="56" xfId="1" applyFont="1" applyFill="1" applyBorder="1" applyAlignment="1">
      <alignment vertical="center" shrinkToFit="1"/>
    </xf>
    <xf numFmtId="43" fontId="3" fillId="9" borderId="57" xfId="3" applyNumberFormat="1" applyFont="1" applyFill="1" applyBorder="1" applyAlignment="1">
      <alignment vertical="center"/>
    </xf>
    <xf numFmtId="43" fontId="3" fillId="9" borderId="58" xfId="3" applyNumberFormat="1" applyFont="1" applyFill="1" applyBorder="1" applyAlignment="1">
      <alignment vertical="center" wrapText="1" shrinkToFit="1"/>
    </xf>
    <xf numFmtId="43" fontId="3" fillId="9" borderId="59" xfId="1" applyFont="1" applyFill="1" applyBorder="1" applyAlignment="1">
      <alignment vertical="center" wrapText="1" shrinkToFit="1"/>
    </xf>
    <xf numFmtId="43" fontId="3" fillId="9" borderId="38" xfId="1" applyFont="1" applyFill="1" applyBorder="1" applyAlignment="1">
      <alignment vertical="center" wrapText="1" shrinkToFit="1"/>
    </xf>
    <xf numFmtId="43" fontId="3" fillId="9" borderId="39" xfId="1" applyFont="1" applyFill="1" applyBorder="1" applyAlignment="1">
      <alignment vertical="center" wrapText="1" shrinkToFit="1"/>
    </xf>
    <xf numFmtId="43" fontId="3" fillId="9" borderId="60" xfId="1" applyFont="1" applyFill="1" applyBorder="1" applyAlignment="1">
      <alignment vertical="center" wrapText="1" shrinkToFit="1"/>
    </xf>
    <xf numFmtId="43" fontId="3" fillId="9" borderId="61" xfId="1" applyFont="1" applyFill="1" applyBorder="1" applyAlignment="1">
      <alignment vertical="center" wrapText="1" shrinkToFit="1"/>
    </xf>
    <xf numFmtId="43" fontId="3" fillId="9" borderId="62" xfId="1" applyFont="1" applyFill="1" applyBorder="1" applyAlignment="1">
      <alignment vertical="center" wrapText="1" shrinkToFit="1"/>
    </xf>
    <xf numFmtId="43" fontId="3" fillId="9" borderId="63" xfId="1" applyFont="1" applyFill="1" applyBorder="1" applyAlignment="1">
      <alignment vertical="center" wrapText="1" shrinkToFit="1"/>
    </xf>
    <xf numFmtId="43" fontId="3" fillId="9" borderId="38" xfId="1" applyFont="1" applyFill="1" applyBorder="1" applyAlignment="1">
      <alignment horizontal="center" vertical="center" wrapText="1" shrinkToFit="1"/>
    </xf>
    <xf numFmtId="43" fontId="3" fillId="9" borderId="58" xfId="1" applyFont="1" applyFill="1" applyBorder="1" applyAlignment="1">
      <alignment vertical="center" wrapText="1" shrinkToFit="1"/>
    </xf>
    <xf numFmtId="43" fontId="3" fillId="9" borderId="51" xfId="1" applyFont="1" applyFill="1" applyBorder="1" applyAlignment="1">
      <alignment vertical="center" wrapText="1" shrinkToFit="1"/>
    </xf>
    <xf numFmtId="43" fontId="3" fillId="9" borderId="45" xfId="1" applyFont="1" applyFill="1" applyBorder="1" applyAlignment="1">
      <alignment horizontal="center" vertical="center" wrapText="1" shrinkToFit="1"/>
    </xf>
    <xf numFmtId="43" fontId="3" fillId="9" borderId="46" xfId="1" applyFont="1" applyFill="1" applyBorder="1" applyAlignment="1">
      <alignment horizontal="center" vertical="center" wrapText="1" shrinkToFit="1"/>
    </xf>
    <xf numFmtId="43" fontId="7" fillId="9" borderId="37" xfId="1" applyFont="1" applyFill="1" applyBorder="1" applyAlignment="1">
      <alignment vertical="center" wrapText="1" shrinkToFit="1"/>
    </xf>
    <xf numFmtId="43" fontId="7" fillId="9" borderId="59" xfId="1" applyFont="1" applyFill="1" applyBorder="1" applyAlignment="1">
      <alignment vertical="center" wrapText="1" shrinkToFit="1"/>
    </xf>
    <xf numFmtId="43" fontId="7" fillId="9" borderId="38" xfId="1" applyFont="1" applyFill="1" applyBorder="1" applyAlignment="1">
      <alignment vertical="center" wrapText="1" shrinkToFit="1"/>
    </xf>
    <xf numFmtId="43" fontId="7" fillId="9" borderId="38" xfId="1" applyFont="1" applyFill="1" applyBorder="1" applyAlignment="1">
      <alignment horizontal="center" vertical="center" wrapText="1" shrinkToFit="1"/>
    </xf>
    <xf numFmtId="43" fontId="7" fillId="9" borderId="64" xfId="1" applyFont="1" applyFill="1" applyBorder="1" applyAlignment="1">
      <alignment vertical="center" wrapText="1" shrinkToFit="1"/>
    </xf>
    <xf numFmtId="43" fontId="7" fillId="9" borderId="39" xfId="1" applyFont="1" applyFill="1" applyBorder="1" applyAlignment="1">
      <alignment vertical="center" wrapText="1" shrinkToFit="1"/>
    </xf>
    <xf numFmtId="43" fontId="2" fillId="0" borderId="43" xfId="3" applyNumberFormat="1" applyFont="1" applyBorder="1" applyAlignment="1">
      <alignment horizontal="right" vertical="center" wrapText="1" shrinkToFit="1"/>
    </xf>
    <xf numFmtId="178" fontId="2" fillId="0" borderId="47" xfId="1" applyNumberFormat="1" applyFont="1" applyBorder="1" applyAlignment="1">
      <alignment vertical="top" wrapText="1" shrinkToFit="1"/>
    </xf>
    <xf numFmtId="43" fontId="2" fillId="0" borderId="51" xfId="1" applyFont="1" applyBorder="1" applyAlignment="1">
      <alignment vertical="center" wrapText="1" shrinkToFit="1"/>
    </xf>
    <xf numFmtId="43" fontId="7" fillId="0" borderId="51" xfId="1" applyFont="1" applyBorder="1" applyAlignment="1">
      <alignment vertical="center" wrapText="1" shrinkToFit="1"/>
    </xf>
    <xf numFmtId="43" fontId="7" fillId="0" borderId="44" xfId="1" applyFont="1" applyBorder="1" applyAlignment="1">
      <alignment vertical="center" wrapText="1" shrinkToFit="1"/>
    </xf>
    <xf numFmtId="43" fontId="7" fillId="0" borderId="45" xfId="1" applyFont="1" applyBorder="1" applyAlignment="1">
      <alignment vertical="center" wrapText="1" shrinkToFit="1"/>
    </xf>
    <xf numFmtId="43" fontId="7" fillId="0" borderId="45" xfId="1" applyFont="1" applyBorder="1" applyAlignment="1">
      <alignment horizontal="center" vertical="center" wrapText="1" shrinkToFit="1"/>
    </xf>
    <xf numFmtId="43" fontId="7" fillId="0" borderId="52" xfId="1" applyFont="1" applyBorder="1" applyAlignment="1">
      <alignment vertical="center" wrapText="1" shrinkToFit="1"/>
    </xf>
    <xf numFmtId="43" fontId="7" fillId="0" borderId="46" xfId="1" applyFont="1" applyBorder="1" applyAlignment="1">
      <alignment vertical="center" wrapText="1" shrinkToFit="1"/>
    </xf>
    <xf numFmtId="178" fontId="2" fillId="0" borderId="46" xfId="3" applyNumberFormat="1" applyFont="1" applyBorder="1" applyAlignment="1">
      <alignment horizontal="center" vertical="center" shrinkToFit="1"/>
    </xf>
    <xf numFmtId="43" fontId="2" fillId="0" borderId="65" xfId="1" applyFont="1" applyBorder="1" applyAlignment="1">
      <alignment vertical="center" wrapText="1" shrinkToFit="1"/>
    </xf>
    <xf numFmtId="43" fontId="2" fillId="0" borderId="66" xfId="1" applyFont="1" applyBorder="1" applyAlignment="1">
      <alignment vertical="center" wrapText="1" shrinkToFit="1"/>
    </xf>
    <xf numFmtId="43" fontId="3" fillId="9" borderId="67" xfId="1" applyFont="1" applyFill="1" applyBorder="1" applyAlignment="1">
      <alignment vertical="center" wrapText="1" shrinkToFit="1"/>
    </xf>
    <xf numFmtId="43" fontId="2" fillId="0" borderId="68" xfId="1" applyFont="1" applyBorder="1" applyAlignment="1">
      <alignment vertical="center" wrapText="1" shrinkToFit="1"/>
    </xf>
    <xf numFmtId="178" fontId="2" fillId="0" borderId="68" xfId="1" applyNumberFormat="1" applyFont="1" applyBorder="1" applyAlignment="1">
      <alignment vertical="top" wrapText="1" shrinkToFit="1"/>
    </xf>
    <xf numFmtId="43" fontId="2" fillId="0" borderId="69" xfId="1" applyFont="1" applyBorder="1" applyAlignment="1">
      <alignment vertical="center" wrapText="1" shrinkToFit="1"/>
    </xf>
    <xf numFmtId="43" fontId="2" fillId="0" borderId="70" xfId="1" applyFont="1" applyBorder="1" applyAlignment="1">
      <alignment vertical="center" wrapText="1" shrinkToFit="1"/>
    </xf>
    <xf numFmtId="43" fontId="2" fillId="0" borderId="71" xfId="1" applyFont="1" applyBorder="1" applyAlignment="1">
      <alignment vertical="center" wrapText="1" shrinkToFit="1"/>
    </xf>
    <xf numFmtId="43" fontId="2" fillId="0" borderId="66" xfId="1" applyFont="1" applyBorder="1" applyAlignment="1">
      <alignment horizontal="center" vertical="center" wrapText="1" shrinkToFit="1"/>
    </xf>
    <xf numFmtId="43" fontId="2" fillId="0" borderId="72" xfId="1" applyFont="1" applyBorder="1" applyAlignment="1">
      <alignment vertical="center" wrapText="1" shrinkToFit="1"/>
    </xf>
    <xf numFmtId="43" fontId="7" fillId="0" borderId="73" xfId="1" applyFont="1" applyBorder="1" applyAlignment="1">
      <alignment vertical="center" wrapText="1" shrinkToFit="1"/>
    </xf>
    <xf numFmtId="43" fontId="7" fillId="0" borderId="65" xfId="1" applyFont="1" applyBorder="1" applyAlignment="1">
      <alignment vertical="center" wrapText="1" shrinkToFit="1"/>
    </xf>
    <xf numFmtId="43" fontId="7" fillId="0" borderId="66" xfId="1" applyFont="1" applyBorder="1" applyAlignment="1">
      <alignment vertical="center" wrapText="1" shrinkToFit="1"/>
    </xf>
    <xf numFmtId="43" fontId="7" fillId="0" borderId="66" xfId="1" applyFont="1" applyBorder="1" applyAlignment="1">
      <alignment horizontal="center" vertical="center" wrapText="1" shrinkToFit="1"/>
    </xf>
    <xf numFmtId="43" fontId="7" fillId="0" borderId="74" xfId="1" applyFont="1" applyBorder="1" applyAlignment="1">
      <alignment vertical="center" wrapText="1" shrinkToFit="1"/>
    </xf>
    <xf numFmtId="43" fontId="7" fillId="0" borderId="67" xfId="1" applyFont="1" applyBorder="1" applyAlignment="1">
      <alignment vertical="center" wrapText="1" shrinkToFit="1"/>
    </xf>
    <xf numFmtId="43" fontId="3" fillId="9" borderId="75" xfId="3" applyNumberFormat="1" applyFont="1" applyFill="1" applyBorder="1" applyAlignment="1">
      <alignment vertical="center"/>
    </xf>
    <xf numFmtId="43" fontId="3" fillId="9" borderId="76" xfId="3" applyNumberFormat="1" applyFont="1" applyFill="1" applyBorder="1" applyAlignment="1">
      <alignment vertical="center"/>
    </xf>
    <xf numFmtId="43" fontId="3" fillId="10" borderId="77" xfId="1" applyFont="1" applyFill="1" applyBorder="1" applyAlignment="1">
      <alignment vertical="center" wrapText="1" shrinkToFit="1"/>
    </xf>
    <xf numFmtId="43" fontId="3" fillId="10" borderId="78" xfId="1" applyFont="1" applyFill="1" applyBorder="1" applyAlignment="1">
      <alignment vertical="center" wrapText="1" shrinkToFit="1"/>
    </xf>
    <xf numFmtId="43" fontId="3" fillId="10" borderId="79" xfId="1" applyFont="1" applyFill="1" applyBorder="1" applyAlignment="1">
      <alignment vertical="center" wrapText="1" shrinkToFit="1"/>
    </xf>
    <xf numFmtId="43" fontId="3" fillId="10" borderId="80" xfId="1" applyFont="1" applyFill="1" applyBorder="1" applyAlignment="1">
      <alignment vertical="center" wrapText="1" shrinkToFit="1"/>
    </xf>
    <xf numFmtId="43" fontId="3" fillId="10" borderId="81" xfId="1" applyFont="1" applyFill="1" applyBorder="1" applyAlignment="1">
      <alignment vertical="center" wrapText="1" shrinkToFit="1"/>
    </xf>
    <xf numFmtId="43" fontId="3" fillId="10" borderId="82" xfId="1" applyFont="1" applyFill="1" applyBorder="1" applyAlignment="1">
      <alignment vertical="center" wrapText="1" shrinkToFit="1"/>
    </xf>
    <xf numFmtId="43" fontId="3" fillId="10" borderId="83" xfId="1" applyFont="1" applyFill="1" applyBorder="1" applyAlignment="1">
      <alignment vertical="center" wrapText="1" shrinkToFit="1"/>
    </xf>
    <xf numFmtId="43" fontId="3" fillId="10" borderId="78" xfId="1" applyFont="1" applyFill="1" applyBorder="1" applyAlignment="1">
      <alignment horizontal="center" vertical="center" wrapText="1" shrinkToFit="1"/>
    </xf>
    <xf numFmtId="43" fontId="3" fillId="10" borderId="84" xfId="1" applyFont="1" applyFill="1" applyBorder="1" applyAlignment="1">
      <alignment vertical="center" wrapText="1" shrinkToFit="1"/>
    </xf>
    <xf numFmtId="43" fontId="3" fillId="9" borderId="85" xfId="1" applyFont="1" applyFill="1" applyBorder="1" applyAlignment="1">
      <alignment vertical="center" wrapText="1" shrinkToFit="1"/>
    </xf>
    <xf numFmtId="43" fontId="3" fillId="10" borderId="86" xfId="1" applyFont="1" applyFill="1" applyBorder="1" applyAlignment="1">
      <alignment vertical="center" wrapText="1" shrinkToFit="1"/>
    </xf>
    <xf numFmtId="43" fontId="3" fillId="10" borderId="79" xfId="1" applyFont="1" applyFill="1" applyBorder="1" applyAlignment="1">
      <alignment horizontal="center" vertical="center" wrapText="1" shrinkToFit="1"/>
    </xf>
    <xf numFmtId="43" fontId="7" fillId="10" borderId="86" xfId="1" applyFont="1" applyFill="1" applyBorder="1" applyAlignment="1">
      <alignment vertical="center" wrapText="1" shrinkToFit="1"/>
    </xf>
    <xf numFmtId="43" fontId="7" fillId="10" borderId="77" xfId="1" applyFont="1" applyFill="1" applyBorder="1" applyAlignment="1">
      <alignment vertical="center" wrapText="1" shrinkToFit="1"/>
    </xf>
    <xf numFmtId="43" fontId="7" fillId="10" borderId="78" xfId="1" applyFont="1" applyFill="1" applyBorder="1" applyAlignment="1">
      <alignment vertical="center" wrapText="1" shrinkToFit="1"/>
    </xf>
    <xf numFmtId="43" fontId="7" fillId="10" borderId="78" xfId="1" applyFont="1" applyFill="1" applyBorder="1" applyAlignment="1">
      <alignment horizontal="center" vertical="center" wrapText="1" shrinkToFit="1"/>
    </xf>
    <xf numFmtId="43" fontId="7" fillId="10" borderId="87" xfId="1" applyFont="1" applyFill="1" applyBorder="1" applyAlignment="1">
      <alignment vertical="center" wrapText="1" shrinkToFit="1"/>
    </xf>
    <xf numFmtId="43" fontId="7" fillId="10" borderId="79" xfId="1" applyFont="1" applyFill="1" applyBorder="1" applyAlignment="1">
      <alignment vertical="center" wrapText="1" shrinkToFit="1"/>
    </xf>
    <xf numFmtId="43" fontId="2" fillId="0" borderId="0" xfId="1" applyFont="1" applyAlignment="1">
      <alignment vertical="center" wrapText="1" shrinkToFit="1"/>
    </xf>
    <xf numFmtId="43" fontId="2" fillId="0" borderId="0" xfId="0" applyNumberFormat="1" applyFont="1" applyAlignment="1">
      <alignment vertical="center" wrapText="1" shrinkToFit="1"/>
    </xf>
    <xf numFmtId="43" fontId="2" fillId="0" borderId="0" xfId="0" applyNumberFormat="1" applyFont="1" applyAlignment="1">
      <alignment horizontal="center" vertical="center" wrapText="1" shrinkToFit="1"/>
    </xf>
    <xf numFmtId="4" fontId="7" fillId="0" borderId="0" xfId="0" applyNumberFormat="1" applyFont="1" applyAlignment="1">
      <alignment horizontal="left" vertical="center" wrapText="1"/>
    </xf>
    <xf numFmtId="43" fontId="4" fillId="0" borderId="0" xfId="0" applyNumberFormat="1" applyFont="1" applyAlignment="1">
      <alignment vertical="center" wrapText="1" shrinkToFit="1"/>
    </xf>
    <xf numFmtId="0" fontId="7" fillId="0" borderId="0" xfId="0" applyFont="1" applyAlignment="1">
      <alignment horizontal="left" vertical="center" wrapText="1"/>
    </xf>
    <xf numFmtId="0" fontId="9" fillId="0" borderId="0" xfId="2" applyFont="1" applyFill="1" applyAlignment="1" applyProtection="1">
      <alignment vertical="center" wrapText="1" shrinkToFit="1"/>
    </xf>
    <xf numFmtId="0" fontId="10" fillId="0" borderId="0" xfId="3" applyFont="1" applyAlignment="1">
      <alignment horizontal="center" vertical="center" wrapText="1" shrinkToFit="1"/>
    </xf>
    <xf numFmtId="0" fontId="11" fillId="0" borderId="0" xfId="0" applyFont="1" applyAlignment="1">
      <alignment horizontal="center" vertical="center" wrapText="1" shrinkToFit="1"/>
    </xf>
    <xf numFmtId="0" fontId="11" fillId="0" borderId="0" xfId="0" applyFont="1" applyAlignment="1">
      <alignment vertical="center" wrapText="1" shrinkToFit="1"/>
    </xf>
    <xf numFmtId="0" fontId="12" fillId="0" borderId="0" xfId="0" applyFont="1" applyAlignment="1">
      <alignment horizontal="center" vertical="center" wrapText="1" shrinkToFit="1"/>
    </xf>
    <xf numFmtId="176" fontId="12" fillId="0" borderId="0" xfId="0" applyNumberFormat="1" applyFont="1" applyAlignment="1">
      <alignment vertical="center" wrapText="1" shrinkToFit="1"/>
    </xf>
    <xf numFmtId="43" fontId="0" fillId="0" borderId="0" xfId="1" applyFont="1" applyAlignment="1">
      <alignment vertical="center" wrapText="1" shrinkToFit="1"/>
    </xf>
    <xf numFmtId="0" fontId="0" fillId="0" borderId="0" xfId="0" applyAlignment="1">
      <alignment vertical="center" wrapText="1" shrinkToFit="1"/>
    </xf>
    <xf numFmtId="0" fontId="13" fillId="0" borderId="0" xfId="0" applyFont="1" applyAlignment="1">
      <alignment vertical="center" wrapText="1" shrinkToFit="1"/>
    </xf>
    <xf numFmtId="0" fontId="0" fillId="0" borderId="0" xfId="0" applyAlignment="1">
      <alignment horizontal="left" vertical="center" wrapText="1" shrinkToFit="1"/>
    </xf>
    <xf numFmtId="0" fontId="0" fillId="0" borderId="0" xfId="0" applyAlignment="1">
      <alignment horizontal="center" vertical="center" wrapText="1" shrinkToFit="1"/>
    </xf>
    <xf numFmtId="0" fontId="0" fillId="0" borderId="0" xfId="0" applyAlignment="1">
      <alignment vertical="center" shrinkToFit="1"/>
    </xf>
    <xf numFmtId="0" fontId="14" fillId="0" borderId="0" xfId="2" applyFont="1" applyFill="1" applyAlignment="1" applyProtection="1">
      <alignment horizontal="center" vertical="center" wrapText="1" shrinkToFit="1"/>
    </xf>
    <xf numFmtId="0" fontId="15" fillId="0" borderId="0" xfId="0" applyFont="1"/>
    <xf numFmtId="0" fontId="16" fillId="0" borderId="0" xfId="0" applyFont="1"/>
    <xf numFmtId="43" fontId="13" fillId="0" borderId="0" xfId="0" applyNumberFormat="1" applyFont="1" applyAlignment="1">
      <alignment vertical="center" wrapText="1" shrinkToFit="1"/>
    </xf>
    <xf numFmtId="43" fontId="17" fillId="0" borderId="0" xfId="0" applyNumberFormat="1" applyFont="1" applyAlignment="1">
      <alignment vertical="center" wrapText="1" shrinkToFit="1"/>
    </xf>
    <xf numFmtId="43" fontId="11" fillId="2" borderId="18" xfId="5" applyNumberFormat="1" applyFont="1" applyFill="1" applyBorder="1" applyAlignment="1">
      <alignment horizontal="center" vertical="center" wrapText="1"/>
    </xf>
    <xf numFmtId="43" fontId="11" fillId="2" borderId="92" xfId="5" applyNumberFormat="1" applyFont="1" applyFill="1" applyBorder="1" applyAlignment="1">
      <alignment horizontal="center" vertical="center" wrapText="1"/>
    </xf>
    <xf numFmtId="43" fontId="11" fillId="8" borderId="15" xfId="5" applyNumberFormat="1" applyFont="1" applyFill="1" applyBorder="1" applyAlignment="1">
      <alignment horizontal="center" vertical="center" wrapText="1" shrinkToFit="1"/>
    </xf>
    <xf numFmtId="43" fontId="11" fillId="11" borderId="15" xfId="5" applyNumberFormat="1" applyFont="1" applyFill="1" applyBorder="1" applyAlignment="1">
      <alignment horizontal="center" vertical="center" wrapText="1" shrinkToFit="1"/>
    </xf>
    <xf numFmtId="43" fontId="11" fillId="3" borderId="15" xfId="0" applyNumberFormat="1" applyFont="1" applyFill="1" applyBorder="1" applyAlignment="1">
      <alignment horizontal="center" vertical="center" wrapText="1"/>
    </xf>
    <xf numFmtId="43" fontId="11" fillId="3" borderId="23" xfId="0" applyNumberFormat="1" applyFont="1" applyFill="1" applyBorder="1" applyAlignment="1">
      <alignment horizontal="center" vertical="center" wrapText="1"/>
    </xf>
    <xf numFmtId="43" fontId="11" fillId="4" borderId="12" xfId="0" applyNumberFormat="1" applyFont="1" applyFill="1" applyBorder="1" applyAlignment="1">
      <alignment horizontal="center" vertical="center" wrapText="1" shrinkToFit="1"/>
    </xf>
    <xf numFmtId="43" fontId="11" fillId="4" borderId="15" xfId="0" applyNumberFormat="1" applyFont="1" applyFill="1" applyBorder="1" applyAlignment="1">
      <alignment horizontal="center" vertical="center" wrapText="1" shrinkToFit="1"/>
    </xf>
    <xf numFmtId="43" fontId="11" fillId="4" borderId="22" xfId="0" applyNumberFormat="1" applyFont="1" applyFill="1" applyBorder="1" applyAlignment="1">
      <alignment horizontal="center" vertical="center" wrapText="1" shrinkToFit="1"/>
    </xf>
    <xf numFmtId="43" fontId="18" fillId="5" borderId="21" xfId="0" applyNumberFormat="1" applyFont="1" applyFill="1" applyBorder="1" applyAlignment="1">
      <alignment horizontal="center" vertical="center" wrapText="1" shrinkToFit="1"/>
    </xf>
    <xf numFmtId="43" fontId="18" fillId="5" borderId="93" xfId="0" applyNumberFormat="1" applyFont="1" applyFill="1" applyBorder="1" applyAlignment="1">
      <alignment horizontal="center" vertical="center" wrapText="1" shrinkToFit="1"/>
    </xf>
    <xf numFmtId="0" fontId="18" fillId="5" borderId="23" xfId="0" applyFont="1" applyFill="1" applyBorder="1" applyAlignment="1">
      <alignment horizontal="center" vertical="center" wrapText="1" shrinkToFit="1"/>
    </xf>
    <xf numFmtId="43" fontId="18" fillId="6" borderId="12" xfId="0" applyNumberFormat="1" applyFont="1" applyFill="1" applyBorder="1" applyAlignment="1">
      <alignment horizontal="center" vertical="center" wrapText="1" shrinkToFit="1"/>
    </xf>
    <xf numFmtId="43" fontId="18" fillId="6" borderId="15" xfId="0" applyNumberFormat="1" applyFont="1" applyFill="1" applyBorder="1" applyAlignment="1">
      <alignment horizontal="center" vertical="center" wrapText="1" shrinkToFit="1"/>
    </xf>
    <xf numFmtId="43" fontId="18" fillId="6" borderId="22" xfId="0" applyNumberFormat="1" applyFont="1" applyFill="1" applyBorder="1" applyAlignment="1">
      <alignment horizontal="center" vertical="center" wrapText="1" shrinkToFit="1"/>
    </xf>
    <xf numFmtId="43" fontId="18" fillId="7" borderId="21" xfId="0" applyNumberFormat="1" applyFont="1" applyFill="1" applyBorder="1" applyAlignment="1">
      <alignment horizontal="center" vertical="center" wrapText="1" shrinkToFit="1"/>
    </xf>
    <xf numFmtId="43" fontId="18" fillId="7" borderId="22" xfId="0" applyNumberFormat="1" applyFont="1" applyFill="1" applyBorder="1" applyAlignment="1">
      <alignment horizontal="center" vertical="center" wrapText="1" shrinkToFit="1"/>
    </xf>
    <xf numFmtId="43" fontId="18" fillId="12" borderId="21" xfId="0" applyNumberFormat="1" applyFont="1" applyFill="1" applyBorder="1" applyAlignment="1">
      <alignment horizontal="center" vertical="center" wrapText="1" shrinkToFit="1"/>
    </xf>
    <xf numFmtId="43" fontId="18" fillId="12" borderId="22" xfId="0" applyNumberFormat="1" applyFont="1" applyFill="1" applyBorder="1" applyAlignment="1">
      <alignment horizontal="center" vertical="center" wrapText="1" shrinkToFit="1"/>
    </xf>
    <xf numFmtId="0" fontId="11" fillId="9" borderId="25" xfId="3" applyFont="1" applyFill="1" applyBorder="1" applyAlignment="1">
      <alignment horizontal="left" vertical="center" wrapText="1" shrinkToFit="1"/>
    </xf>
    <xf numFmtId="43" fontId="11" fillId="9" borderId="25" xfId="1" applyFont="1" applyFill="1" applyBorder="1" applyAlignment="1">
      <alignment vertical="center" wrapText="1" shrinkToFit="1"/>
    </xf>
    <xf numFmtId="0" fontId="11" fillId="9" borderId="25" xfId="0" applyFont="1" applyFill="1" applyBorder="1" applyAlignment="1">
      <alignment vertical="center" wrapText="1" shrinkToFit="1"/>
    </xf>
    <xf numFmtId="0" fontId="11" fillId="9" borderId="94" xfId="0" applyFont="1" applyFill="1" applyBorder="1" applyAlignment="1">
      <alignment vertical="center" wrapText="1" shrinkToFit="1"/>
    </xf>
    <xf numFmtId="0" fontId="11" fillId="9" borderId="25" xfId="0" applyFont="1" applyFill="1" applyBorder="1" applyAlignment="1">
      <alignment horizontal="left" vertical="center" wrapText="1" shrinkToFit="1"/>
    </xf>
    <xf numFmtId="0" fontId="11" fillId="9" borderId="25" xfId="0" applyFont="1" applyFill="1" applyBorder="1" applyAlignment="1">
      <alignment horizontal="center" vertical="center" wrapText="1" shrinkToFit="1"/>
    </xf>
    <xf numFmtId="0" fontId="11" fillId="9" borderId="26" xfId="0" applyFont="1" applyFill="1" applyBorder="1" applyAlignment="1">
      <alignment vertical="center" wrapText="1" shrinkToFit="1"/>
    </xf>
    <xf numFmtId="0" fontId="11" fillId="0" borderId="27" xfId="3" applyFont="1" applyBorder="1" applyAlignment="1">
      <alignment horizontal="center" vertical="center" wrapText="1" shrinkToFit="1"/>
    </xf>
    <xf numFmtId="14" fontId="19" fillId="0" borderId="28" xfId="3" applyNumberFormat="1" applyFont="1" applyBorder="1" applyAlignment="1">
      <alignment horizontal="right" vertical="center" shrinkToFit="1"/>
    </xf>
    <xf numFmtId="43" fontId="11" fillId="0" borderId="29" xfId="1" applyFont="1" applyBorder="1" applyAlignment="1">
      <alignment vertical="center" wrapText="1" shrinkToFit="1"/>
    </xf>
    <xf numFmtId="43" fontId="11" fillId="0" borderId="30" xfId="1" applyFont="1" applyBorder="1" applyAlignment="1">
      <alignment vertical="center" wrapText="1" shrinkToFit="1"/>
    </xf>
    <xf numFmtId="43" fontId="11" fillId="9" borderId="31" xfId="1" applyFont="1" applyFill="1" applyBorder="1" applyAlignment="1">
      <alignment vertical="center" wrapText="1" shrinkToFit="1"/>
    </xf>
    <xf numFmtId="178" fontId="11" fillId="0" borderId="48" xfId="1" applyNumberFormat="1" applyFont="1" applyFill="1" applyBorder="1" applyAlignment="1">
      <alignment vertical="center" wrapText="1" shrinkToFit="1"/>
    </xf>
    <xf numFmtId="43" fontId="11" fillId="0" borderId="32" xfId="1" applyFont="1" applyBorder="1" applyAlignment="1">
      <alignment vertical="center" wrapText="1" shrinkToFit="1"/>
    </xf>
    <xf numFmtId="43" fontId="11" fillId="0" borderId="33" xfId="1" applyFont="1" applyBorder="1" applyAlignment="1">
      <alignment vertical="center" wrapText="1" shrinkToFit="1"/>
    </xf>
    <xf numFmtId="43" fontId="11" fillId="0" borderId="34" xfId="1" applyFont="1" applyBorder="1" applyAlignment="1">
      <alignment vertical="center" wrapText="1" shrinkToFit="1"/>
    </xf>
    <xf numFmtId="43" fontId="11" fillId="0" borderId="35" xfId="1" applyFont="1" applyBorder="1" applyAlignment="1">
      <alignment vertical="center" wrapText="1" shrinkToFit="1"/>
    </xf>
    <xf numFmtId="43" fontId="11" fillId="9" borderId="94" xfId="1" applyFont="1" applyFill="1" applyBorder="1" applyAlignment="1">
      <alignment vertical="center" wrapText="1" shrinkToFit="1"/>
    </xf>
    <xf numFmtId="0" fontId="20" fillId="0" borderId="51" xfId="5" applyFont="1" applyBorder="1" applyAlignment="1">
      <alignment horizontal="center" vertical="center" shrinkToFit="1"/>
    </xf>
    <xf numFmtId="178" fontId="20" fillId="0" borderId="66" xfId="3" applyNumberFormat="1" applyFont="1" applyBorder="1" applyAlignment="1">
      <alignment horizontal="center" vertical="center" shrinkToFit="1"/>
    </xf>
    <xf numFmtId="180" fontId="20" fillId="0" borderId="46" xfId="3" applyNumberFormat="1" applyFont="1" applyBorder="1" applyAlignment="1">
      <alignment horizontal="center" vertical="center" shrinkToFit="1"/>
    </xf>
    <xf numFmtId="43" fontId="11" fillId="0" borderId="40" xfId="1" applyFont="1" applyFill="1" applyBorder="1" applyAlignment="1">
      <alignment vertical="center" wrapText="1" shrinkToFit="1"/>
    </xf>
    <xf numFmtId="43" fontId="11" fillId="0" borderId="29" xfId="1" applyFont="1" applyFill="1" applyBorder="1" applyAlignment="1">
      <alignment vertical="center" wrapText="1" shrinkToFit="1"/>
    </xf>
    <xf numFmtId="43" fontId="11" fillId="0" borderId="30" xfId="1" applyFont="1" applyFill="1" applyBorder="1" applyAlignment="1">
      <alignment horizontal="center" vertical="center" wrapText="1" shrinkToFit="1"/>
    </xf>
    <xf numFmtId="43" fontId="11" fillId="0" borderId="53" xfId="1" applyFont="1" applyFill="1" applyBorder="1" applyAlignment="1">
      <alignment horizontal="center" vertical="center" wrapText="1" shrinkToFit="1"/>
    </xf>
    <xf numFmtId="43" fontId="11" fillId="0" borderId="41" xfId="1" applyFont="1" applyFill="1" applyBorder="1" applyAlignment="1">
      <alignment vertical="center" wrapText="1" shrinkToFit="1"/>
    </xf>
    <xf numFmtId="43" fontId="21" fillId="0" borderId="40" xfId="1" applyFont="1" applyFill="1" applyBorder="1" applyAlignment="1">
      <alignment vertical="center" wrapText="1" shrinkToFit="1"/>
    </xf>
    <xf numFmtId="43" fontId="21" fillId="0" borderId="29" xfId="1" applyFont="1" applyFill="1" applyBorder="1" applyAlignment="1">
      <alignment vertical="center" wrapText="1" shrinkToFit="1"/>
    </xf>
    <xf numFmtId="43" fontId="21" fillId="0" borderId="30" xfId="1" applyFont="1" applyFill="1" applyBorder="1" applyAlignment="1">
      <alignment vertical="center" wrapText="1" shrinkToFit="1"/>
    </xf>
    <xf numFmtId="43" fontId="21" fillId="0" borderId="42" xfId="1" applyFont="1" applyFill="1" applyBorder="1" applyAlignment="1">
      <alignment vertical="center" wrapText="1" shrinkToFit="1"/>
    </xf>
    <xf numFmtId="43" fontId="21" fillId="0" borderId="27" xfId="1" applyFont="1" applyFill="1" applyBorder="1" applyAlignment="1">
      <alignment vertical="center" wrapText="1" shrinkToFit="1"/>
    </xf>
    <xf numFmtId="43" fontId="21" fillId="0" borderId="41" xfId="1" applyFont="1" applyFill="1" applyBorder="1" applyAlignment="1">
      <alignment vertical="center" wrapText="1" shrinkToFit="1"/>
    </xf>
    <xf numFmtId="43" fontId="22" fillId="0" borderId="52" xfId="1" applyFont="1" applyFill="1" applyBorder="1" applyAlignment="1">
      <alignment vertical="center" wrapText="1" shrinkToFit="1"/>
    </xf>
    <xf numFmtId="43" fontId="11" fillId="0" borderId="43" xfId="1" applyFont="1" applyFill="1" applyBorder="1" applyAlignment="1">
      <alignment vertical="center" wrapText="1" shrinkToFit="1"/>
    </xf>
    <xf numFmtId="43" fontId="11" fillId="0" borderId="45" xfId="1" applyFont="1" applyFill="1" applyBorder="1" applyAlignment="1">
      <alignment vertical="center" wrapText="1" shrinkToFit="1"/>
    </xf>
    <xf numFmtId="43" fontId="11" fillId="0" borderId="52" xfId="1" applyFont="1" applyFill="1" applyBorder="1" applyAlignment="1">
      <alignment vertical="center" wrapText="1" shrinkToFit="1"/>
    </xf>
    <xf numFmtId="43" fontId="11" fillId="0" borderId="44" xfId="1" applyFont="1" applyFill="1" applyBorder="1" applyAlignment="1">
      <alignment vertical="center" wrapText="1" shrinkToFit="1"/>
    </xf>
    <xf numFmtId="43" fontId="11" fillId="0" borderId="44" xfId="1" applyFont="1" applyBorder="1" applyAlignment="1">
      <alignment vertical="center" wrapText="1" shrinkToFit="1"/>
    </xf>
    <xf numFmtId="43" fontId="11" fillId="0" borderId="45" xfId="1" applyFont="1" applyBorder="1" applyAlignment="1">
      <alignment vertical="center" wrapText="1" shrinkToFit="1"/>
    </xf>
    <xf numFmtId="43" fontId="11" fillId="0" borderId="47" xfId="1" applyFont="1" applyBorder="1" applyAlignment="1">
      <alignment vertical="center" wrapText="1" shrinkToFit="1"/>
    </xf>
    <xf numFmtId="178" fontId="11" fillId="0" borderId="48" xfId="1" applyNumberFormat="1" applyFont="1" applyBorder="1" applyAlignment="1">
      <alignment vertical="center" wrapText="1" shrinkToFit="1"/>
    </xf>
    <xf numFmtId="43" fontId="11" fillId="0" borderId="49" xfId="1" applyFont="1" applyBorder="1" applyAlignment="1">
      <alignment vertical="center" wrapText="1" shrinkToFit="1"/>
    </xf>
    <xf numFmtId="43" fontId="11" fillId="0" borderId="50" xfId="1" applyFont="1" applyBorder="1" applyAlignment="1">
      <alignment vertical="center" wrapText="1" shrinkToFit="1"/>
    </xf>
    <xf numFmtId="43" fontId="11" fillId="0" borderId="51" xfId="1" applyFont="1" applyFill="1" applyBorder="1" applyAlignment="1">
      <alignment vertical="center" wrapText="1" shrinkToFit="1"/>
    </xf>
    <xf numFmtId="43" fontId="11" fillId="0" borderId="45" xfId="1" applyFont="1" applyFill="1" applyBorder="1" applyAlignment="1">
      <alignment horizontal="center" vertical="center" wrapText="1" shrinkToFit="1"/>
    </xf>
    <xf numFmtId="180" fontId="23" fillId="0" borderId="45" xfId="3" applyNumberFormat="1" applyFont="1" applyBorder="1" applyAlignment="1">
      <alignment horizontal="left" vertical="center" shrinkToFit="1"/>
    </xf>
    <xf numFmtId="43" fontId="22" fillId="0" borderId="45" xfId="1" applyFont="1" applyFill="1" applyBorder="1" applyAlignment="1">
      <alignment vertical="center" wrapText="1" shrinkToFit="1"/>
    </xf>
    <xf numFmtId="180" fontId="22" fillId="0" borderId="45" xfId="3" applyNumberFormat="1" applyFont="1" applyBorder="1" applyAlignment="1">
      <alignment horizontal="center" vertical="center" shrinkToFit="1"/>
    </xf>
    <xf numFmtId="43" fontId="22" fillId="0" borderId="49" xfId="1" applyFont="1" applyFill="1" applyBorder="1" applyAlignment="1">
      <alignment vertical="center" wrapText="1" shrinkToFit="1"/>
    </xf>
    <xf numFmtId="43" fontId="11" fillId="0" borderId="48" xfId="1" applyFont="1" applyBorder="1" applyAlignment="1">
      <alignment vertical="center" wrapText="1" shrinkToFit="1"/>
    </xf>
    <xf numFmtId="180" fontId="11" fillId="0" borderId="45" xfId="3" applyNumberFormat="1" applyFont="1" applyBorder="1" applyAlignment="1">
      <alignment horizontal="center" vertical="center" shrinkToFit="1"/>
    </xf>
    <xf numFmtId="0" fontId="11" fillId="0" borderId="95" xfId="3" applyFont="1" applyBorder="1" applyAlignment="1">
      <alignment horizontal="center" vertical="center" wrapText="1" shrinkToFit="1"/>
    </xf>
    <xf numFmtId="43" fontId="11" fillId="0" borderId="65" xfId="1" applyFont="1" applyBorder="1" applyAlignment="1">
      <alignment vertical="center" wrapText="1" shrinkToFit="1"/>
    </xf>
    <xf numFmtId="43" fontId="11" fillId="0" borderId="66" xfId="1" applyFont="1" applyBorder="1" applyAlignment="1">
      <alignment vertical="center" wrapText="1" shrinkToFit="1"/>
    </xf>
    <xf numFmtId="43" fontId="11" fillId="0" borderId="68" xfId="1" applyFont="1" applyBorder="1" applyAlignment="1">
      <alignment vertical="center" wrapText="1" shrinkToFit="1"/>
    </xf>
    <xf numFmtId="43" fontId="11" fillId="0" borderId="69" xfId="1" applyFont="1" applyBorder="1" applyAlignment="1">
      <alignment vertical="center" wrapText="1" shrinkToFit="1"/>
    </xf>
    <xf numFmtId="43" fontId="11" fillId="0" borderId="70" xfId="1" applyFont="1" applyBorder="1" applyAlignment="1">
      <alignment vertical="center" wrapText="1" shrinkToFit="1"/>
    </xf>
    <xf numFmtId="43" fontId="11" fillId="0" borderId="71" xfId="1" applyFont="1" applyBorder="1" applyAlignment="1">
      <alignment vertical="center" wrapText="1" shrinkToFit="1"/>
    </xf>
    <xf numFmtId="43" fontId="11" fillId="9" borderId="96" xfId="1" applyFont="1" applyFill="1" applyBorder="1" applyAlignment="1">
      <alignment vertical="center" wrapText="1" shrinkToFit="1"/>
    </xf>
    <xf numFmtId="180" fontId="11" fillId="0" borderId="66" xfId="3" applyNumberFormat="1" applyFont="1" applyBorder="1" applyAlignment="1">
      <alignment horizontal="center" vertical="center" shrinkToFit="1"/>
    </xf>
    <xf numFmtId="43" fontId="11" fillId="0" borderId="73" xfId="1" applyFont="1" applyFill="1" applyBorder="1" applyAlignment="1">
      <alignment vertical="center" wrapText="1" shrinkToFit="1"/>
    </xf>
    <xf numFmtId="43" fontId="11" fillId="0" borderId="65" xfId="1" applyFont="1" applyFill="1" applyBorder="1" applyAlignment="1">
      <alignment vertical="center" wrapText="1" shrinkToFit="1"/>
    </xf>
    <xf numFmtId="43" fontId="11" fillId="0" borderId="66" xfId="1" applyFont="1" applyFill="1" applyBorder="1" applyAlignment="1">
      <alignment horizontal="center" vertical="center" wrapText="1" shrinkToFit="1"/>
    </xf>
    <xf numFmtId="43" fontId="11" fillId="0" borderId="97" xfId="1" applyFont="1" applyFill="1" applyBorder="1" applyAlignment="1">
      <alignment horizontal="center" vertical="center" wrapText="1" shrinkToFit="1"/>
    </xf>
    <xf numFmtId="43" fontId="11" fillId="0" borderId="74" xfId="1" applyFont="1" applyFill="1" applyBorder="1" applyAlignment="1">
      <alignment vertical="center" wrapText="1" shrinkToFit="1"/>
    </xf>
    <xf numFmtId="43" fontId="11" fillId="0" borderId="66" xfId="1" applyFont="1" applyFill="1" applyBorder="1" applyAlignment="1">
      <alignment vertical="center" wrapText="1" shrinkToFit="1"/>
    </xf>
    <xf numFmtId="43" fontId="11" fillId="0" borderId="98" xfId="1" applyFont="1" applyFill="1" applyBorder="1" applyAlignment="1">
      <alignment vertical="center" wrapText="1" shrinkToFit="1"/>
    </xf>
    <xf numFmtId="4" fontId="13" fillId="0" borderId="0" xfId="0" applyNumberFormat="1" applyFont="1"/>
    <xf numFmtId="43" fontId="22" fillId="0" borderId="66" xfId="1" applyFont="1" applyFill="1" applyBorder="1" applyAlignment="1">
      <alignment vertical="center" wrapText="1" shrinkToFit="1"/>
    </xf>
    <xf numFmtId="43" fontId="22" fillId="0" borderId="74" xfId="1" applyFont="1" applyFill="1" applyBorder="1" applyAlignment="1">
      <alignment vertical="center" wrapText="1" shrinkToFit="1"/>
    </xf>
    <xf numFmtId="43" fontId="22" fillId="0" borderId="70" xfId="1" applyFont="1" applyFill="1" applyBorder="1" applyAlignment="1">
      <alignment vertical="center" wrapText="1" shrinkToFit="1"/>
    </xf>
    <xf numFmtId="43" fontId="23" fillId="10" borderId="55" xfId="1" applyFont="1" applyFill="1" applyBorder="1" applyAlignment="1">
      <alignment vertical="center" wrapText="1" shrinkToFit="1"/>
    </xf>
    <xf numFmtId="43" fontId="11" fillId="10" borderId="101" xfId="1" applyFont="1" applyFill="1" applyBorder="1" applyAlignment="1">
      <alignment vertical="center" wrapText="1" shrinkToFit="1"/>
    </xf>
    <xf numFmtId="43" fontId="23" fillId="10" borderId="100" xfId="1" applyFont="1" applyFill="1" applyBorder="1" applyAlignment="1">
      <alignment vertical="center" wrapText="1" shrinkToFit="1"/>
    </xf>
    <xf numFmtId="43" fontId="23" fillId="10" borderId="55" xfId="1" applyFont="1" applyFill="1" applyBorder="1" applyAlignment="1">
      <alignment horizontal="left" vertical="center" wrapText="1" shrinkToFit="1"/>
    </xf>
    <xf numFmtId="43" fontId="18" fillId="10" borderId="55" xfId="1" applyFont="1" applyFill="1" applyBorder="1" applyAlignment="1">
      <alignment vertical="center" wrapText="1" shrinkToFit="1"/>
    </xf>
    <xf numFmtId="43" fontId="18" fillId="10" borderId="56" xfId="1" applyFont="1" applyFill="1" applyBorder="1" applyAlignment="1">
      <alignment vertical="center" wrapText="1" shrinkToFit="1"/>
    </xf>
    <xf numFmtId="43" fontId="23" fillId="9" borderId="102" xfId="3" applyNumberFormat="1" applyFont="1" applyFill="1" applyBorder="1" applyAlignment="1">
      <alignment horizontal="left" vertical="center"/>
    </xf>
    <xf numFmtId="43" fontId="23" fillId="9" borderId="36" xfId="3" applyNumberFormat="1" applyFont="1" applyFill="1" applyBorder="1" applyAlignment="1">
      <alignment vertical="center" wrapText="1" shrinkToFit="1"/>
    </xf>
    <xf numFmtId="43" fontId="23" fillId="9" borderId="34" xfId="3" applyNumberFormat="1" applyFont="1" applyFill="1" applyBorder="1" applyAlignment="1">
      <alignment vertical="center" wrapText="1" shrinkToFit="1"/>
    </xf>
    <xf numFmtId="43" fontId="23" fillId="9" borderId="29" xfId="1" applyFont="1" applyFill="1" applyBorder="1" applyAlignment="1">
      <alignment vertical="center" wrapText="1" shrinkToFit="1"/>
    </xf>
    <xf numFmtId="43" fontId="23" fillId="9" borderId="30" xfId="1" applyFont="1" applyFill="1" applyBorder="1" applyAlignment="1">
      <alignment vertical="center" wrapText="1" shrinkToFit="1"/>
    </xf>
    <xf numFmtId="43" fontId="23" fillId="9" borderId="31" xfId="1" applyFont="1" applyFill="1" applyBorder="1" applyAlignment="1">
      <alignment vertical="center" wrapText="1" shrinkToFit="1"/>
    </xf>
    <xf numFmtId="43" fontId="23" fillId="9" borderId="32" xfId="1" applyFont="1" applyFill="1" applyBorder="1" applyAlignment="1">
      <alignment vertical="center" wrapText="1" shrinkToFit="1"/>
    </xf>
    <xf numFmtId="43" fontId="23" fillId="9" borderId="33" xfId="1" applyFont="1" applyFill="1" applyBorder="1" applyAlignment="1">
      <alignment vertical="center" wrapText="1" shrinkToFit="1"/>
    </xf>
    <xf numFmtId="43" fontId="23" fillId="9" borderId="34" xfId="1" applyFont="1" applyFill="1" applyBorder="1" applyAlignment="1">
      <alignment vertical="center" wrapText="1" shrinkToFit="1"/>
    </xf>
    <xf numFmtId="43" fontId="11" fillId="9" borderId="35" xfId="1" applyFont="1" applyFill="1" applyBorder="1" applyAlignment="1">
      <alignment vertical="center" wrapText="1" shrinkToFit="1"/>
    </xf>
    <xf numFmtId="43" fontId="11" fillId="9" borderId="34" xfId="1" applyFont="1" applyFill="1" applyBorder="1" applyAlignment="1">
      <alignment vertical="center" wrapText="1" shrinkToFit="1"/>
    </xf>
    <xf numFmtId="43" fontId="11" fillId="9" borderId="103" xfId="1" applyFont="1" applyFill="1" applyBorder="1" applyAlignment="1">
      <alignment vertical="center" wrapText="1" shrinkToFit="1"/>
    </xf>
    <xf numFmtId="43" fontId="23" fillId="9" borderId="31" xfId="1" applyFont="1" applyFill="1" applyBorder="1" applyAlignment="1">
      <alignment horizontal="left" vertical="center" wrapText="1" shrinkToFit="1"/>
    </xf>
    <xf numFmtId="43" fontId="18" fillId="9" borderId="40" xfId="1" applyFont="1" applyFill="1" applyBorder="1" applyAlignment="1">
      <alignment vertical="center" wrapText="1" shrinkToFit="1"/>
    </xf>
    <xf numFmtId="43" fontId="18" fillId="9" borderId="29" xfId="1" applyFont="1" applyFill="1" applyBorder="1" applyAlignment="1">
      <alignment vertical="center" wrapText="1" shrinkToFit="1"/>
    </xf>
    <xf numFmtId="43" fontId="18" fillId="9" borderId="30" xfId="1" applyFont="1" applyFill="1" applyBorder="1" applyAlignment="1">
      <alignment horizontal="center" vertical="center" wrapText="1" shrinkToFit="1"/>
    </xf>
    <xf numFmtId="43" fontId="18" fillId="9" borderId="42" xfId="1" applyFont="1" applyFill="1" applyBorder="1" applyAlignment="1">
      <alignment horizontal="center" vertical="center" wrapText="1" shrinkToFit="1"/>
    </xf>
    <xf numFmtId="43" fontId="18" fillId="9" borderId="41" xfId="1" applyFont="1" applyFill="1" applyBorder="1" applyAlignment="1">
      <alignment vertical="center" wrapText="1" shrinkToFit="1"/>
    </xf>
    <xf numFmtId="43" fontId="18" fillId="9" borderId="30" xfId="1" applyFont="1" applyFill="1" applyBorder="1" applyAlignment="1">
      <alignment vertical="center" wrapText="1" shrinkToFit="1"/>
    </xf>
    <xf numFmtId="43" fontId="18" fillId="9" borderId="31" xfId="1" applyFont="1" applyFill="1" applyBorder="1" applyAlignment="1">
      <alignment vertical="center" wrapText="1" shrinkToFit="1"/>
    </xf>
    <xf numFmtId="43" fontId="18" fillId="9" borderId="34" xfId="1" applyFont="1" applyFill="1" applyBorder="1" applyAlignment="1">
      <alignment vertical="center" wrapText="1" shrinkToFit="1"/>
    </xf>
    <xf numFmtId="43" fontId="11" fillId="0" borderId="43" xfId="3" applyNumberFormat="1" applyFont="1" applyBorder="1" applyAlignment="1">
      <alignment horizontal="center" vertical="center" wrapText="1" shrinkToFit="1"/>
    </xf>
    <xf numFmtId="14" fontId="11" fillId="0" borderId="28" xfId="3" applyNumberFormat="1" applyFont="1" applyBorder="1" applyAlignment="1">
      <alignment horizontal="right" vertical="center" shrinkToFit="1"/>
    </xf>
    <xf numFmtId="14" fontId="11" fillId="0" borderId="49" xfId="3" applyNumberFormat="1" applyFont="1" applyBorder="1" applyAlignment="1">
      <alignment horizontal="right" vertical="center" shrinkToFit="1"/>
    </xf>
    <xf numFmtId="43" fontId="23" fillId="9" borderId="46" xfId="1" applyFont="1" applyFill="1" applyBorder="1" applyAlignment="1">
      <alignment vertical="center" wrapText="1" shrinkToFit="1"/>
    </xf>
    <xf numFmtId="178" fontId="11" fillId="0" borderId="47" xfId="1" applyNumberFormat="1" applyFont="1" applyBorder="1" applyAlignment="1">
      <alignment vertical="top" wrapText="1" shrinkToFit="1"/>
    </xf>
    <xf numFmtId="0" fontId="11" fillId="0" borderId="46" xfId="5" applyFont="1" applyBorder="1" applyAlignment="1">
      <alignment horizontal="left" vertical="center" shrinkToFit="1"/>
    </xf>
    <xf numFmtId="43" fontId="18" fillId="0" borderId="51" xfId="1" applyFont="1" applyBorder="1" applyAlignment="1">
      <alignment vertical="center" wrapText="1" shrinkToFit="1"/>
    </xf>
    <xf numFmtId="43" fontId="18" fillId="0" borderId="44" xfId="1" applyFont="1" applyBorder="1" applyAlignment="1">
      <alignment vertical="center" wrapText="1" shrinkToFit="1"/>
    </xf>
    <xf numFmtId="43" fontId="18" fillId="0" borderId="45" xfId="1" applyFont="1" applyBorder="1" applyAlignment="1">
      <alignment horizontal="center" vertical="center" wrapText="1" shrinkToFit="1"/>
    </xf>
    <xf numFmtId="43" fontId="18" fillId="0" borderId="53" xfId="1" applyFont="1" applyBorder="1" applyAlignment="1">
      <alignment horizontal="center" vertical="center" wrapText="1" shrinkToFit="1"/>
    </xf>
    <xf numFmtId="43" fontId="18" fillId="0" borderId="52" xfId="1" applyFont="1" applyBorder="1" applyAlignment="1">
      <alignment vertical="center" wrapText="1" shrinkToFit="1"/>
    </xf>
    <xf numFmtId="43" fontId="18" fillId="0" borderId="45" xfId="1" applyFont="1" applyBorder="1" applyAlignment="1">
      <alignment vertical="center" wrapText="1" shrinkToFit="1"/>
    </xf>
    <xf numFmtId="43" fontId="18" fillId="0" borderId="46" xfId="1" applyFont="1" applyBorder="1" applyAlignment="1">
      <alignment vertical="center" wrapText="1" shrinkToFit="1"/>
    </xf>
    <xf numFmtId="43" fontId="18" fillId="0" borderId="49" xfId="1" applyFont="1" applyBorder="1" applyAlignment="1">
      <alignment vertical="center" wrapText="1" shrinkToFit="1"/>
    </xf>
    <xf numFmtId="178" fontId="11" fillId="0" borderId="46" xfId="3" applyNumberFormat="1" applyFont="1" applyBorder="1" applyAlignment="1">
      <alignment horizontal="left" vertical="center" shrinkToFit="1"/>
    </xf>
    <xf numFmtId="0" fontId="24" fillId="0" borderId="0" xfId="0" applyFont="1" applyAlignment="1">
      <alignment vertical="center" wrapText="1"/>
    </xf>
    <xf numFmtId="14" fontId="11" fillId="0" borderId="70" xfId="3" applyNumberFormat="1" applyFont="1" applyBorder="1" applyAlignment="1">
      <alignment horizontal="right" vertical="center" shrinkToFit="1"/>
    </xf>
    <xf numFmtId="43" fontId="23" fillId="9" borderId="67" xfId="1" applyFont="1" applyFill="1" applyBorder="1" applyAlignment="1">
      <alignment vertical="center" wrapText="1" shrinkToFit="1"/>
    </xf>
    <xf numFmtId="178" fontId="11" fillId="0" borderId="68" xfId="1" applyNumberFormat="1" applyFont="1" applyBorder="1" applyAlignment="1">
      <alignment vertical="top" wrapText="1" shrinkToFit="1"/>
    </xf>
    <xf numFmtId="43" fontId="18" fillId="0" borderId="73" xfId="1" applyFont="1" applyBorder="1" applyAlignment="1">
      <alignment vertical="center" wrapText="1" shrinkToFit="1"/>
    </xf>
    <xf numFmtId="43" fontId="18" fillId="0" borderId="65" xfId="1" applyFont="1" applyBorder="1" applyAlignment="1">
      <alignment vertical="center" wrapText="1" shrinkToFit="1"/>
    </xf>
    <xf numFmtId="43" fontId="18" fillId="0" borderId="66" xfId="1" applyFont="1" applyBorder="1" applyAlignment="1">
      <alignment horizontal="center" vertical="center" wrapText="1" shrinkToFit="1"/>
    </xf>
    <xf numFmtId="43" fontId="18" fillId="0" borderId="97" xfId="1" applyFont="1" applyBorder="1" applyAlignment="1">
      <alignment horizontal="center" vertical="center" wrapText="1" shrinkToFit="1"/>
    </xf>
    <xf numFmtId="43" fontId="18" fillId="0" borderId="74" xfId="1" applyFont="1" applyBorder="1" applyAlignment="1">
      <alignment vertical="center" wrapText="1" shrinkToFit="1"/>
    </xf>
    <xf numFmtId="43" fontId="18" fillId="0" borderId="66" xfId="1" applyFont="1" applyBorder="1" applyAlignment="1">
      <alignment vertical="center" wrapText="1" shrinkToFit="1"/>
    </xf>
    <xf numFmtId="43" fontId="18" fillId="0" borderId="67" xfId="1" applyFont="1" applyBorder="1" applyAlignment="1">
      <alignment vertical="center" wrapText="1" shrinkToFit="1"/>
    </xf>
    <xf numFmtId="43" fontId="18" fillId="0" borderId="70" xfId="1" applyFont="1" applyBorder="1" applyAlignment="1">
      <alignment vertical="center" wrapText="1" shrinkToFit="1"/>
    </xf>
    <xf numFmtId="43" fontId="23" fillId="9" borderId="75" xfId="3" applyNumberFormat="1" applyFont="1" applyFill="1" applyBorder="1" applyAlignment="1">
      <alignment horizontal="left" vertical="center"/>
    </xf>
    <xf numFmtId="43" fontId="23" fillId="9" borderId="76" xfId="3" applyNumberFormat="1" applyFont="1" applyFill="1" applyBorder="1" applyAlignment="1">
      <alignment vertical="center"/>
    </xf>
    <xf numFmtId="43" fontId="23" fillId="9" borderId="104" xfId="3" applyNumberFormat="1" applyFont="1" applyFill="1" applyBorder="1" applyAlignment="1">
      <alignment vertical="center"/>
    </xf>
    <xf numFmtId="43" fontId="23" fillId="10" borderId="77" xfId="1" applyFont="1" applyFill="1" applyBorder="1" applyAlignment="1">
      <alignment vertical="center" wrapText="1" shrinkToFit="1"/>
    </xf>
    <xf numFmtId="43" fontId="23" fillId="10" borderId="78" xfId="1" applyFont="1" applyFill="1" applyBorder="1" applyAlignment="1">
      <alignment vertical="center" wrapText="1" shrinkToFit="1"/>
    </xf>
    <xf numFmtId="43" fontId="23" fillId="10" borderId="79" xfId="1" applyFont="1" applyFill="1" applyBorder="1" applyAlignment="1">
      <alignment vertical="center" wrapText="1" shrinkToFit="1"/>
    </xf>
    <xf numFmtId="43" fontId="23" fillId="10" borderId="80" xfId="1" applyFont="1" applyFill="1" applyBorder="1" applyAlignment="1">
      <alignment vertical="center" wrapText="1" shrinkToFit="1"/>
    </xf>
    <xf numFmtId="43" fontId="23" fillId="10" borderId="81" xfId="1" applyFont="1" applyFill="1" applyBorder="1" applyAlignment="1">
      <alignment vertical="center" wrapText="1" shrinkToFit="1"/>
    </xf>
    <xf numFmtId="43" fontId="23" fillId="10" borderId="82" xfId="1" applyFont="1" applyFill="1" applyBorder="1" applyAlignment="1">
      <alignment vertical="center" wrapText="1" shrinkToFit="1"/>
    </xf>
    <xf numFmtId="43" fontId="11" fillId="10" borderId="83" xfId="1" applyFont="1" applyFill="1" applyBorder="1" applyAlignment="1">
      <alignment vertical="center" wrapText="1" shrinkToFit="1"/>
    </xf>
    <xf numFmtId="43" fontId="11" fillId="10" borderId="82" xfId="1" applyFont="1" applyFill="1" applyBorder="1" applyAlignment="1">
      <alignment vertical="center" wrapText="1" shrinkToFit="1"/>
    </xf>
    <xf numFmtId="43" fontId="11" fillId="10" borderId="84" xfId="1" applyFont="1" applyFill="1" applyBorder="1" applyAlignment="1">
      <alignment vertical="center" wrapText="1" shrinkToFit="1"/>
    </xf>
    <xf numFmtId="43" fontId="23" fillId="10" borderId="86" xfId="1" applyFont="1" applyFill="1" applyBorder="1" applyAlignment="1">
      <alignment vertical="center" wrapText="1" shrinkToFit="1"/>
    </xf>
    <xf numFmtId="43" fontId="23" fillId="10" borderId="79" xfId="1" applyFont="1" applyFill="1" applyBorder="1" applyAlignment="1">
      <alignment horizontal="left" vertical="center" wrapText="1" shrinkToFit="1"/>
    </xf>
    <xf numFmtId="43" fontId="18" fillId="10" borderId="86" xfId="1" applyFont="1" applyFill="1" applyBorder="1" applyAlignment="1">
      <alignment vertical="center" wrapText="1" shrinkToFit="1"/>
    </xf>
    <xf numFmtId="43" fontId="18" fillId="10" borderId="77" xfId="1" applyFont="1" applyFill="1" applyBorder="1" applyAlignment="1">
      <alignment vertical="center" wrapText="1" shrinkToFit="1"/>
    </xf>
    <xf numFmtId="43" fontId="18" fillId="10" borderId="78" xfId="1" applyFont="1" applyFill="1" applyBorder="1" applyAlignment="1">
      <alignment horizontal="center" vertical="center" wrapText="1" shrinkToFit="1"/>
    </xf>
    <xf numFmtId="43" fontId="18" fillId="10" borderId="105" xfId="1" applyFont="1" applyFill="1" applyBorder="1" applyAlignment="1">
      <alignment horizontal="center" vertical="center" wrapText="1" shrinkToFit="1"/>
    </xf>
    <xf numFmtId="43" fontId="18" fillId="10" borderId="87" xfId="1" applyFont="1" applyFill="1" applyBorder="1" applyAlignment="1">
      <alignment vertical="center" wrapText="1" shrinkToFit="1"/>
    </xf>
    <xf numFmtId="43" fontId="18" fillId="10" borderId="78" xfId="1" applyFont="1" applyFill="1" applyBorder="1" applyAlignment="1">
      <alignment vertical="center" wrapText="1" shrinkToFit="1"/>
    </xf>
    <xf numFmtId="43" fontId="18" fillId="10" borderId="79" xfId="1" applyFont="1" applyFill="1" applyBorder="1" applyAlignment="1">
      <alignment vertical="center" wrapText="1" shrinkToFit="1"/>
    </xf>
    <xf numFmtId="43" fontId="18" fillId="10" borderId="82" xfId="1" applyFont="1" applyFill="1" applyBorder="1" applyAlignment="1">
      <alignment vertical="center" wrapText="1" shrinkToFit="1"/>
    </xf>
    <xf numFmtId="181" fontId="11" fillId="10" borderId="55" xfId="3" applyNumberFormat="1" applyFont="1" applyFill="1" applyBorder="1" applyAlignment="1">
      <alignment horizontal="center" vertical="center" wrapText="1" shrinkToFit="1"/>
    </xf>
    <xf numFmtId="43" fontId="11" fillId="10" borderId="55" xfId="1" applyFont="1" applyFill="1" applyBorder="1" applyAlignment="1">
      <alignment vertical="center" wrapText="1" shrinkToFit="1"/>
    </xf>
    <xf numFmtId="49" fontId="23" fillId="0" borderId="0" xfId="0" applyNumberFormat="1" applyFont="1" applyAlignment="1">
      <alignment horizontal="left" vertical="center"/>
    </xf>
    <xf numFmtId="0" fontId="23" fillId="0" borderId="38" xfId="3" applyFont="1" applyBorder="1" applyAlignment="1">
      <alignment horizontal="left" vertical="center" shrinkToFit="1"/>
    </xf>
    <xf numFmtId="49" fontId="23" fillId="0" borderId="0" xfId="0" applyNumberFormat="1" applyFont="1" applyAlignment="1">
      <alignment horizontal="left" vertical="center" wrapText="1"/>
    </xf>
    <xf numFmtId="43" fontId="11" fillId="0" borderId="42" xfId="1" applyFont="1" applyFill="1" applyBorder="1" applyAlignment="1">
      <alignment horizontal="center" vertical="center" wrapText="1" shrinkToFit="1"/>
    </xf>
    <xf numFmtId="43" fontId="11" fillId="0" borderId="30" xfId="1" applyFont="1" applyFill="1" applyBorder="1" applyAlignment="1">
      <alignment vertical="center" wrapText="1" shrinkToFit="1"/>
    </xf>
    <xf numFmtId="43" fontId="11" fillId="0" borderId="27" xfId="1" applyFont="1" applyFill="1" applyBorder="1" applyAlignment="1">
      <alignment vertical="center" wrapText="1" shrinkToFit="1"/>
    </xf>
    <xf numFmtId="43" fontId="22" fillId="0" borderId="30" xfId="1" applyFont="1" applyFill="1" applyBorder="1" applyAlignment="1">
      <alignment vertical="center" wrapText="1" shrinkToFit="1"/>
    </xf>
    <xf numFmtId="43" fontId="22" fillId="0" borderId="41" xfId="1" applyFont="1" applyFill="1" applyBorder="1" applyAlignment="1">
      <alignment vertical="center" wrapText="1" shrinkToFit="1"/>
    </xf>
    <xf numFmtId="43" fontId="21" fillId="0" borderId="44" xfId="1" applyFont="1" applyFill="1" applyBorder="1" applyAlignment="1">
      <alignment vertical="center" wrapText="1" shrinkToFit="1"/>
    </xf>
    <xf numFmtId="43" fontId="21" fillId="0" borderId="53" xfId="1" applyFont="1" applyFill="1" applyBorder="1" applyAlignment="1">
      <alignment vertical="center" wrapText="1" shrinkToFit="1"/>
    </xf>
    <xf numFmtId="0" fontId="23" fillId="0" borderId="45" xfId="5" applyFont="1" applyBorder="1" applyAlignment="1">
      <alignment horizontal="left" vertical="center" shrinkToFit="1"/>
    </xf>
    <xf numFmtId="0" fontId="17" fillId="0" borderId="0" xfId="0" applyFont="1"/>
    <xf numFmtId="182" fontId="17" fillId="0" borderId="0" xfId="0" applyNumberFormat="1" applyFont="1"/>
    <xf numFmtId="49" fontId="22" fillId="0" borderId="0" xfId="0" applyNumberFormat="1" applyFont="1"/>
    <xf numFmtId="49" fontId="0" fillId="0" borderId="0" xfId="0" applyNumberFormat="1"/>
    <xf numFmtId="0" fontId="1" fillId="0" borderId="0" xfId="0" applyFont="1" applyAlignment="1">
      <alignment horizontal="center" vertical="center" shrinkToFit="1"/>
    </xf>
    <xf numFmtId="0" fontId="12" fillId="0" borderId="0" xfId="0" applyFont="1" applyAlignment="1">
      <alignment vertical="center" wrapText="1" shrinkToFit="1"/>
    </xf>
    <xf numFmtId="178" fontId="12" fillId="0" borderId="0" xfId="0" applyNumberFormat="1" applyFont="1" applyAlignment="1">
      <alignment horizontal="center" vertical="center" wrapText="1" shrinkToFit="1"/>
    </xf>
    <xf numFmtId="0" fontId="25" fillId="0" borderId="0" xfId="2" applyFill="1" applyAlignment="1" applyProtection="1">
      <alignment vertical="center" wrapText="1" shrinkToFit="1"/>
    </xf>
    <xf numFmtId="0" fontId="11" fillId="9" borderId="94" xfId="0" applyFont="1" applyFill="1" applyBorder="1" applyAlignment="1">
      <alignment horizontal="center" vertical="center" wrapText="1" shrinkToFit="1"/>
    </xf>
    <xf numFmtId="14" fontId="19" fillId="0" borderId="28" xfId="3" applyNumberFormat="1" applyFont="1" applyBorder="1" applyAlignment="1">
      <alignment horizontal="center" vertical="center" shrinkToFit="1"/>
    </xf>
    <xf numFmtId="43" fontId="11" fillId="11" borderId="29" xfId="1" applyFont="1" applyFill="1" applyBorder="1" applyAlignment="1">
      <alignment vertical="center" wrapText="1" shrinkToFit="1"/>
    </xf>
    <xf numFmtId="43" fontId="11" fillId="2" borderId="29" xfId="1" applyFont="1" applyFill="1" applyBorder="1" applyAlignment="1">
      <alignment vertical="center" wrapText="1" shrinkToFit="1"/>
    </xf>
    <xf numFmtId="43" fontId="1" fillId="10" borderId="107" xfId="1" applyFont="1" applyFill="1" applyBorder="1" applyAlignment="1">
      <alignment horizontal="center" vertical="center" wrapText="1" shrinkToFit="1"/>
    </xf>
    <xf numFmtId="43" fontId="1" fillId="10" borderId="15" xfId="1" applyFont="1" applyFill="1" applyBorder="1" applyAlignment="1">
      <alignment horizontal="center" vertical="center" wrapText="1" shrinkToFit="1"/>
    </xf>
    <xf numFmtId="43" fontId="1" fillId="10" borderId="108" xfId="1" applyFont="1" applyFill="1" applyBorder="1" applyAlignment="1">
      <alignment horizontal="center" vertical="center" wrapText="1" shrinkToFit="1"/>
    </xf>
    <xf numFmtId="43" fontId="1" fillId="10" borderId="21" xfId="1" applyFont="1" applyFill="1" applyBorder="1" applyAlignment="1">
      <alignment horizontal="center" vertical="center" wrapText="1" shrinkToFit="1"/>
    </xf>
    <xf numFmtId="43" fontId="1" fillId="10" borderId="23" xfId="1" applyFont="1" applyFill="1" applyBorder="1" applyAlignment="1">
      <alignment horizontal="center" vertical="center" wrapText="1" shrinkToFit="1"/>
    </xf>
    <xf numFmtId="43" fontId="1" fillId="13" borderId="93" xfId="1" applyFont="1" applyFill="1" applyBorder="1" applyAlignment="1">
      <alignment horizontal="center" vertical="center" wrapText="1" shrinkToFit="1"/>
    </xf>
    <xf numFmtId="0" fontId="26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6" fillId="2" borderId="0" xfId="0" applyFont="1" applyFill="1" applyAlignment="1">
      <alignment horizontal="center" vertical="center"/>
    </xf>
    <xf numFmtId="0" fontId="0" fillId="2" borderId="0" xfId="0" applyFill="1"/>
    <xf numFmtId="0" fontId="48" fillId="2" borderId="0" xfId="5" applyFill="1" applyAlignment="1">
      <alignment vertical="center"/>
    </xf>
    <xf numFmtId="43" fontId="48" fillId="2" borderId="0" xfId="5" applyNumberFormat="1" applyFill="1" applyAlignment="1">
      <alignment horizontal="center" vertical="center"/>
    </xf>
    <xf numFmtId="0" fontId="48" fillId="2" borderId="0" xfId="5" applyFill="1" applyAlignment="1">
      <alignment horizontal="center" vertical="center"/>
    </xf>
    <xf numFmtId="10" fontId="13" fillId="2" borderId="0" xfId="0" applyNumberFormat="1" applyFont="1" applyFill="1"/>
    <xf numFmtId="10" fontId="29" fillId="14" borderId="0" xfId="0" applyNumberFormat="1" applyFont="1" applyFill="1" applyAlignment="1">
      <alignment horizontal="center" vertical="center"/>
    </xf>
    <xf numFmtId="0" fontId="26" fillId="0" borderId="109" xfId="0" applyFont="1" applyBorder="1" applyAlignment="1">
      <alignment horizontal="left" vertical="center" indent="2"/>
    </xf>
    <xf numFmtId="43" fontId="26" fillId="0" borderId="0" xfId="0" applyNumberFormat="1" applyFont="1" applyAlignment="1">
      <alignment horizontal="center" vertical="center"/>
    </xf>
    <xf numFmtId="10" fontId="30" fillId="0" borderId="0" xfId="0" applyNumberFormat="1" applyFont="1" applyAlignment="1">
      <alignment horizontal="center" vertical="center"/>
    </xf>
    <xf numFmtId="4" fontId="26" fillId="0" borderId="0" xfId="0" applyNumberFormat="1" applyFont="1" applyAlignment="1">
      <alignment horizontal="center" vertical="center"/>
    </xf>
    <xf numFmtId="0" fontId="31" fillId="15" borderId="110" xfId="0" applyFont="1" applyFill="1" applyBorder="1" applyAlignment="1">
      <alignment horizontal="center" vertical="center"/>
    </xf>
    <xf numFmtId="43" fontId="31" fillId="15" borderId="111" xfId="0" applyNumberFormat="1" applyFont="1" applyFill="1" applyBorder="1" applyAlignment="1">
      <alignment horizontal="center" vertical="center"/>
    </xf>
    <xf numFmtId="0" fontId="31" fillId="15" borderId="112" xfId="0" applyFont="1" applyFill="1" applyBorder="1" applyAlignment="1">
      <alignment horizontal="center" vertical="center"/>
    </xf>
    <xf numFmtId="43" fontId="31" fillId="15" borderId="113" xfId="0" applyNumberFormat="1" applyFont="1" applyFill="1" applyBorder="1" applyAlignment="1">
      <alignment horizontal="center" vertical="center"/>
    </xf>
    <xf numFmtId="10" fontId="32" fillId="15" borderId="113" xfId="0" applyNumberFormat="1" applyFont="1" applyFill="1" applyBorder="1" applyAlignment="1">
      <alignment horizontal="center" vertical="center"/>
    </xf>
    <xf numFmtId="0" fontId="33" fillId="16" borderId="114" xfId="0" applyFont="1" applyFill="1" applyBorder="1" applyAlignment="1">
      <alignment horizontal="center" vertical="center"/>
    </xf>
    <xf numFmtId="43" fontId="33" fillId="16" borderId="115" xfId="0" applyNumberFormat="1" applyFont="1" applyFill="1" applyBorder="1" applyAlignment="1">
      <alignment horizontal="center" vertical="center"/>
    </xf>
    <xf numFmtId="0" fontId="33" fillId="16" borderId="116" xfId="0" applyFont="1" applyFill="1" applyBorder="1" applyAlignment="1">
      <alignment horizontal="center" vertical="center"/>
    </xf>
    <xf numFmtId="43" fontId="33" fillId="16" borderId="117" xfId="0" applyNumberFormat="1" applyFont="1" applyFill="1" applyBorder="1" applyAlignment="1">
      <alignment horizontal="center" vertical="center"/>
    </xf>
    <xf numFmtId="10" fontId="11" fillId="16" borderId="117" xfId="0" applyNumberFormat="1" applyFont="1" applyFill="1" applyBorder="1" applyAlignment="1">
      <alignment horizontal="center" vertical="center"/>
    </xf>
    <xf numFmtId="0" fontId="33" fillId="17" borderId="114" xfId="0" applyFont="1" applyFill="1" applyBorder="1" applyAlignment="1">
      <alignment horizontal="left" vertical="center" indent="1"/>
    </xf>
    <xf numFmtId="43" fontId="33" fillId="17" borderId="116" xfId="0" applyNumberFormat="1" applyFont="1" applyFill="1" applyBorder="1" applyAlignment="1">
      <alignment horizontal="center" vertical="center"/>
    </xf>
    <xf numFmtId="43" fontId="33" fillId="17" borderId="117" xfId="0" applyNumberFormat="1" applyFont="1" applyFill="1" applyBorder="1" applyAlignment="1">
      <alignment horizontal="center" vertical="center"/>
    </xf>
    <xf numFmtId="10" fontId="11" fillId="17" borderId="117" xfId="0" applyNumberFormat="1" applyFont="1" applyFill="1" applyBorder="1" applyAlignment="1">
      <alignment horizontal="center" vertical="center"/>
    </xf>
    <xf numFmtId="0" fontId="33" fillId="18" borderId="109" xfId="0" applyFont="1" applyFill="1" applyBorder="1" applyAlignment="1">
      <alignment horizontal="left" vertical="center" indent="2"/>
    </xf>
    <xf numFmtId="43" fontId="33" fillId="18" borderId="118" xfId="0" applyNumberFormat="1" applyFont="1" applyFill="1" applyBorder="1" applyAlignment="1">
      <alignment horizontal="center" vertical="center"/>
    </xf>
    <xf numFmtId="0" fontId="33" fillId="18" borderId="118" xfId="0" applyFont="1" applyFill="1" applyBorder="1" applyAlignment="1">
      <alignment horizontal="center" vertical="center"/>
    </xf>
    <xf numFmtId="43" fontId="33" fillId="18" borderId="119" xfId="0" applyNumberFormat="1" applyFont="1" applyFill="1" applyBorder="1" applyAlignment="1">
      <alignment horizontal="center" vertical="center"/>
    </xf>
    <xf numFmtId="10" fontId="11" fillId="18" borderId="120" xfId="0" applyNumberFormat="1" applyFont="1" applyFill="1" applyBorder="1" applyAlignment="1">
      <alignment horizontal="center" vertical="center"/>
    </xf>
    <xf numFmtId="0" fontId="33" fillId="17" borderId="116" xfId="0" applyFont="1" applyFill="1" applyBorder="1" applyAlignment="1">
      <alignment horizontal="center" vertical="center"/>
    </xf>
    <xf numFmtId="0" fontId="33" fillId="16" borderId="121" xfId="0" applyFont="1" applyFill="1" applyBorder="1" applyAlignment="1">
      <alignment horizontal="center" vertical="center"/>
    </xf>
    <xf numFmtId="43" fontId="33" fillId="16" borderId="121" xfId="0" applyNumberFormat="1" applyFont="1" applyFill="1" applyBorder="1" applyAlignment="1">
      <alignment horizontal="center" vertical="center"/>
    </xf>
    <xf numFmtId="10" fontId="11" fillId="16" borderId="121" xfId="0" applyNumberFormat="1" applyFont="1" applyFill="1" applyBorder="1" applyAlignment="1">
      <alignment horizontal="center" vertical="center"/>
    </xf>
    <xf numFmtId="43" fontId="33" fillId="17" borderId="122" xfId="0" applyNumberFormat="1" applyFont="1" applyFill="1" applyBorder="1" applyAlignment="1">
      <alignment horizontal="center" vertical="center"/>
    </xf>
    <xf numFmtId="10" fontId="11" fillId="17" borderId="122" xfId="0" applyNumberFormat="1" applyFont="1" applyFill="1" applyBorder="1" applyAlignment="1">
      <alignment horizontal="center" vertical="center"/>
    </xf>
    <xf numFmtId="43" fontId="33" fillId="18" borderId="120" xfId="0" applyNumberFormat="1" applyFont="1" applyFill="1" applyBorder="1" applyAlignment="1">
      <alignment horizontal="center" vertical="center"/>
    </xf>
    <xf numFmtId="0" fontId="33" fillId="19" borderId="109" xfId="0" applyFont="1" applyFill="1" applyBorder="1" applyAlignment="1">
      <alignment horizontal="left" vertical="center" indent="2"/>
    </xf>
    <xf numFmtId="43" fontId="33" fillId="16" borderId="116" xfId="0" applyNumberFormat="1" applyFont="1" applyFill="1" applyBorder="1" applyAlignment="1">
      <alignment horizontal="center" vertical="center"/>
    </xf>
    <xf numFmtId="43" fontId="33" fillId="16" borderId="122" xfId="0" applyNumberFormat="1" applyFont="1" applyFill="1" applyBorder="1" applyAlignment="1">
      <alignment horizontal="center" vertical="center"/>
    </xf>
    <xf numFmtId="10" fontId="11" fillId="16" borderId="122" xfId="0" applyNumberFormat="1" applyFont="1" applyFill="1" applyBorder="1" applyAlignment="1">
      <alignment horizontal="center" vertical="center"/>
    </xf>
    <xf numFmtId="0" fontId="34" fillId="20" borderId="123" xfId="0" applyFont="1" applyFill="1" applyBorder="1" applyAlignment="1">
      <alignment horizontal="center" vertical="center" wrapText="1"/>
    </xf>
    <xf numFmtId="43" fontId="35" fillId="20" borderId="124" xfId="0" applyNumberFormat="1" applyFont="1" applyFill="1" applyBorder="1" applyAlignment="1">
      <alignment horizontal="center" vertical="center"/>
    </xf>
    <xf numFmtId="43" fontId="36" fillId="20" borderId="125" xfId="0" applyNumberFormat="1" applyFont="1" applyFill="1" applyBorder="1" applyAlignment="1">
      <alignment horizontal="center" vertical="center"/>
    </xf>
    <xf numFmtId="10" fontId="29" fillId="20" borderId="125" xfId="0" applyNumberFormat="1" applyFont="1" applyFill="1" applyBorder="1" applyAlignment="1">
      <alignment horizontal="center" vertical="center"/>
    </xf>
    <xf numFmtId="0" fontId="33" fillId="21" borderId="126" xfId="0" applyFont="1" applyFill="1" applyBorder="1" applyAlignment="1">
      <alignment horizontal="right" vertical="center"/>
    </xf>
    <xf numFmtId="43" fontId="37" fillId="21" borderId="127" xfId="0" applyNumberFormat="1" applyFont="1" applyFill="1" applyBorder="1" applyAlignment="1">
      <alignment horizontal="center" vertical="center"/>
    </xf>
    <xf numFmtId="0" fontId="38" fillId="21" borderId="127" xfId="0" applyFont="1" applyFill="1" applyBorder="1" applyAlignment="1">
      <alignment horizontal="center" vertical="center"/>
    </xf>
    <xf numFmtId="0" fontId="33" fillId="21" borderId="127" xfId="0" applyFont="1" applyFill="1" applyBorder="1" applyAlignment="1">
      <alignment horizontal="center" vertical="center"/>
    </xf>
    <xf numFmtId="179" fontId="39" fillId="21" borderId="127" xfId="0" applyNumberFormat="1" applyFont="1" applyFill="1" applyBorder="1" applyAlignment="1">
      <alignment horizontal="center" vertical="center"/>
    </xf>
    <xf numFmtId="0" fontId="38" fillId="21" borderId="128" xfId="0" applyFont="1" applyFill="1" applyBorder="1" applyAlignment="1">
      <alignment horizontal="center" vertical="center"/>
    </xf>
    <xf numFmtId="10" fontId="10" fillId="21" borderId="128" xfId="0" applyNumberFormat="1" applyFont="1" applyFill="1" applyBorder="1" applyAlignment="1">
      <alignment horizontal="center" vertical="center"/>
    </xf>
    <xf numFmtId="0" fontId="33" fillId="21" borderId="129" xfId="0" applyFont="1" applyFill="1" applyBorder="1" applyAlignment="1">
      <alignment horizontal="right" vertical="center"/>
    </xf>
    <xf numFmtId="43" fontId="39" fillId="21" borderId="127" xfId="0" applyNumberFormat="1" applyFont="1" applyFill="1" applyBorder="1" applyAlignment="1">
      <alignment horizontal="center" vertical="center"/>
    </xf>
    <xf numFmtId="0" fontId="38" fillId="21" borderId="130" xfId="0" applyFont="1" applyFill="1" applyBorder="1" applyAlignment="1">
      <alignment horizontal="center" vertical="center"/>
    </xf>
    <xf numFmtId="0" fontId="33" fillId="21" borderId="130" xfId="0" applyFont="1" applyFill="1" applyBorder="1" applyAlignment="1">
      <alignment horizontal="center" vertical="center"/>
    </xf>
    <xf numFmtId="10" fontId="40" fillId="21" borderId="130" xfId="0" applyNumberFormat="1" applyFont="1" applyFill="1" applyBorder="1" applyAlignment="1">
      <alignment horizontal="center" vertical="center"/>
    </xf>
    <xf numFmtId="0" fontId="38" fillId="21" borderId="131" xfId="0" applyFont="1" applyFill="1" applyBorder="1" applyAlignment="1">
      <alignment horizontal="center" vertical="center"/>
    </xf>
    <xf numFmtId="10" fontId="10" fillId="21" borderId="131" xfId="0" applyNumberFormat="1" applyFont="1" applyFill="1" applyBorder="1" applyAlignment="1">
      <alignment horizontal="center" vertical="center"/>
    </xf>
    <xf numFmtId="43" fontId="41" fillId="22" borderId="132" xfId="5" applyNumberFormat="1" applyFont="1" applyFill="1" applyBorder="1" applyAlignment="1">
      <alignment horizontal="center" vertical="center"/>
    </xf>
    <xf numFmtId="43" fontId="41" fillId="22" borderId="132" xfId="5" applyNumberFormat="1" applyFont="1" applyFill="1" applyBorder="1" applyAlignment="1">
      <alignment vertical="center"/>
    </xf>
    <xf numFmtId="10" fontId="0" fillId="2" borderId="0" xfId="0" applyNumberFormat="1" applyFill="1"/>
    <xf numFmtId="43" fontId="6" fillId="2" borderId="132" xfId="5" applyNumberFormat="1" applyFont="1" applyFill="1" applyBorder="1" applyAlignment="1">
      <alignment vertical="center"/>
    </xf>
    <xf numFmtId="43" fontId="48" fillId="2" borderId="0" xfId="5" applyNumberFormat="1" applyFill="1" applyAlignment="1">
      <alignment vertical="center"/>
    </xf>
    <xf numFmtId="10" fontId="13" fillId="2" borderId="0" xfId="5" applyNumberFormat="1" applyFont="1" applyFill="1" applyAlignment="1">
      <alignment horizontal="center" vertical="center"/>
    </xf>
    <xf numFmtId="0" fontId="11" fillId="10" borderId="99" xfId="3" applyFont="1" applyFill="1" applyBorder="1" applyAlignment="1">
      <alignment horizontal="center" vertical="center" wrapText="1" shrinkToFit="1"/>
    </xf>
    <xf numFmtId="0" fontId="11" fillId="10" borderId="100" xfId="3" applyFont="1" applyFill="1" applyBorder="1" applyAlignment="1">
      <alignment horizontal="center" vertical="center" wrapText="1" shrinkToFit="1"/>
    </xf>
    <xf numFmtId="0" fontId="10" fillId="2" borderId="1" xfId="3" applyFont="1" applyFill="1" applyBorder="1" applyAlignment="1">
      <alignment horizontal="center" vertical="center" wrapText="1" shrinkToFit="1"/>
    </xf>
    <xf numFmtId="0" fontId="10" fillId="2" borderId="12" xfId="3" applyFont="1" applyFill="1" applyBorder="1" applyAlignment="1">
      <alignment horizontal="center" vertical="center" wrapText="1" shrinkToFit="1"/>
    </xf>
    <xf numFmtId="176" fontId="10" fillId="2" borderId="2" xfId="3" applyNumberFormat="1" applyFont="1" applyFill="1" applyBorder="1" applyAlignment="1">
      <alignment horizontal="center" vertical="center" wrapText="1" shrinkToFit="1"/>
    </xf>
    <xf numFmtId="176" fontId="10" fillId="2" borderId="13" xfId="3" applyNumberFormat="1" applyFont="1" applyFill="1" applyBorder="1" applyAlignment="1">
      <alignment horizontal="center" vertical="center" wrapText="1" shrinkToFit="1"/>
    </xf>
    <xf numFmtId="176" fontId="10" fillId="11" borderId="88" xfId="3" applyNumberFormat="1" applyFont="1" applyFill="1" applyBorder="1" applyAlignment="1">
      <alignment horizontal="center" vertical="center" wrapText="1" shrinkToFit="1"/>
    </xf>
    <xf numFmtId="176" fontId="10" fillId="11" borderId="91" xfId="3" applyNumberFormat="1" applyFont="1" applyFill="1" applyBorder="1" applyAlignment="1">
      <alignment horizontal="center" vertical="center" wrapText="1" shrinkToFit="1"/>
    </xf>
    <xf numFmtId="43" fontId="10" fillId="5" borderId="9" xfId="3" applyNumberFormat="1" applyFont="1" applyFill="1" applyBorder="1" applyAlignment="1">
      <alignment horizontal="center" vertical="center" wrapText="1" shrinkToFit="1"/>
    </xf>
    <xf numFmtId="43" fontId="10" fillId="5" borderId="90" xfId="3" applyNumberFormat="1" applyFont="1" applyFill="1" applyBorder="1" applyAlignment="1">
      <alignment horizontal="center" vertical="center" wrapText="1" shrinkToFit="1"/>
    </xf>
    <xf numFmtId="43" fontId="10" fillId="5" borderId="11" xfId="3" applyNumberFormat="1" applyFont="1" applyFill="1" applyBorder="1" applyAlignment="1">
      <alignment horizontal="center" vertical="center" wrapText="1" shrinkToFit="1"/>
    </xf>
    <xf numFmtId="43" fontId="10" fillId="6" borderId="1" xfId="3" applyNumberFormat="1" applyFont="1" applyFill="1" applyBorder="1" applyAlignment="1">
      <alignment horizontal="center" vertical="center" wrapText="1" shrinkToFit="1"/>
    </xf>
    <xf numFmtId="43" fontId="10" fillId="6" borderId="4" xfId="3" applyNumberFormat="1" applyFont="1" applyFill="1" applyBorder="1" applyAlignment="1">
      <alignment horizontal="center" vertical="center" wrapText="1" shrinkToFit="1"/>
    </xf>
    <xf numFmtId="43" fontId="10" fillId="6" borderId="10" xfId="3" applyNumberFormat="1" applyFont="1" applyFill="1" applyBorder="1" applyAlignment="1">
      <alignment horizontal="center" vertical="center" wrapText="1" shrinkToFit="1"/>
    </xf>
    <xf numFmtId="43" fontId="10" fillId="7" borderId="9" xfId="3" applyNumberFormat="1" applyFont="1" applyFill="1" applyBorder="1" applyAlignment="1">
      <alignment horizontal="center" vertical="center" wrapText="1" shrinkToFit="1"/>
    </xf>
    <xf numFmtId="43" fontId="10" fillId="7" borderId="10" xfId="3" applyNumberFormat="1" applyFont="1" applyFill="1" applyBorder="1" applyAlignment="1">
      <alignment horizontal="center" vertical="center" wrapText="1" shrinkToFit="1"/>
    </xf>
    <xf numFmtId="43" fontId="10" fillId="12" borderId="9" xfId="3" applyNumberFormat="1" applyFont="1" applyFill="1" applyBorder="1" applyAlignment="1">
      <alignment horizontal="center" vertical="center" wrapText="1" shrinkToFit="1"/>
    </xf>
    <xf numFmtId="43" fontId="10" fillId="12" borderId="10" xfId="3" applyNumberFormat="1" applyFont="1" applyFill="1" applyBorder="1" applyAlignment="1">
      <alignment horizontal="center" vertical="center" wrapText="1" shrinkToFit="1"/>
    </xf>
    <xf numFmtId="0" fontId="11" fillId="9" borderId="24" xfId="3" applyFont="1" applyFill="1" applyBorder="1" applyAlignment="1">
      <alignment horizontal="center" vertical="center" wrapText="1" shrinkToFit="1"/>
    </xf>
    <xf numFmtId="0" fontId="11" fillId="9" borderId="25" xfId="3" applyFont="1" applyFill="1" applyBorder="1" applyAlignment="1">
      <alignment horizontal="left" vertical="center" wrapText="1" shrinkToFit="1"/>
    </xf>
    <xf numFmtId="43" fontId="10" fillId="3" borderId="3" xfId="1" applyFont="1" applyFill="1" applyBorder="1" applyAlignment="1">
      <alignment horizontal="center" vertical="center" wrapText="1" shrinkToFit="1"/>
    </xf>
    <xf numFmtId="43" fontId="10" fillId="3" borderId="14" xfId="1" applyFont="1" applyFill="1" applyBorder="1" applyAlignment="1">
      <alignment horizontal="center" vertical="center" wrapText="1" shrinkToFit="1"/>
    </xf>
    <xf numFmtId="43" fontId="10" fillId="4" borderId="4" xfId="1" applyFont="1" applyFill="1" applyBorder="1" applyAlignment="1">
      <alignment horizontal="center" vertical="center" wrapText="1" shrinkToFit="1"/>
    </xf>
    <xf numFmtId="43" fontId="10" fillId="4" borderId="15" xfId="1" applyFont="1" applyFill="1" applyBorder="1" applyAlignment="1">
      <alignment horizontal="center" vertical="center" wrapText="1" shrinkToFit="1"/>
    </xf>
    <xf numFmtId="43" fontId="10" fillId="5" borderId="4" xfId="1" applyFont="1" applyFill="1" applyBorder="1" applyAlignment="1">
      <alignment horizontal="center" vertical="center" wrapText="1" shrinkToFit="1"/>
    </xf>
    <xf numFmtId="43" fontId="10" fillId="5" borderId="15" xfId="1" applyFont="1" applyFill="1" applyBorder="1" applyAlignment="1">
      <alignment horizontal="center" vertical="center" wrapText="1" shrinkToFit="1"/>
    </xf>
    <xf numFmtId="43" fontId="10" fillId="6" borderId="4" xfId="1" applyFont="1" applyFill="1" applyBorder="1" applyAlignment="1">
      <alignment horizontal="center" vertical="center" wrapText="1" shrinkToFit="1"/>
    </xf>
    <xf numFmtId="43" fontId="10" fillId="6" borderId="15" xfId="1" applyFont="1" applyFill="1" applyBorder="1" applyAlignment="1">
      <alignment horizontal="center" vertical="center" wrapText="1" shrinkToFit="1"/>
    </xf>
    <xf numFmtId="43" fontId="10" fillId="7" borderId="4" xfId="3" applyNumberFormat="1" applyFont="1" applyFill="1" applyBorder="1" applyAlignment="1">
      <alignment horizontal="center" vertical="center" wrapText="1" shrinkToFit="1"/>
    </xf>
    <xf numFmtId="43" fontId="10" fillId="7" borderId="15" xfId="3" applyNumberFormat="1" applyFont="1" applyFill="1" applyBorder="1" applyAlignment="1">
      <alignment horizontal="center" vertical="center" wrapText="1" shrinkToFit="1"/>
    </xf>
    <xf numFmtId="43" fontId="10" fillId="8" borderId="4" xfId="3" applyNumberFormat="1" applyFont="1" applyFill="1" applyBorder="1" applyAlignment="1">
      <alignment horizontal="center" vertical="center" wrapText="1" shrinkToFit="1"/>
    </xf>
    <xf numFmtId="43" fontId="10" fillId="8" borderId="15" xfId="3" applyNumberFormat="1" applyFont="1" applyFill="1" applyBorder="1" applyAlignment="1">
      <alignment horizontal="center" vertical="center" wrapText="1" shrinkToFit="1"/>
    </xf>
    <xf numFmtId="43" fontId="10" fillId="9" borderId="2" xfId="0" applyNumberFormat="1" applyFont="1" applyFill="1" applyBorder="1" applyAlignment="1">
      <alignment horizontal="center" vertical="center" wrapText="1" shrinkToFit="1"/>
    </xf>
    <xf numFmtId="43" fontId="10" fillId="9" borderId="13" xfId="0" applyNumberFormat="1" applyFont="1" applyFill="1" applyBorder="1" applyAlignment="1">
      <alignment horizontal="center" vertical="center" wrapText="1" shrinkToFit="1"/>
    </xf>
    <xf numFmtId="177" fontId="10" fillId="0" borderId="5" xfId="0" applyNumberFormat="1" applyFont="1" applyBorder="1" applyAlignment="1">
      <alignment horizontal="center" vertical="center" wrapText="1" shrinkToFit="1"/>
    </xf>
    <xf numFmtId="177" fontId="10" fillId="0" borderId="16" xfId="0" applyNumberFormat="1" applyFont="1" applyBorder="1" applyAlignment="1">
      <alignment horizontal="center" vertical="center" wrapText="1" shrinkToFit="1"/>
    </xf>
    <xf numFmtId="178" fontId="10" fillId="0" borderId="5" xfId="0" applyNumberFormat="1" applyFont="1" applyBorder="1" applyAlignment="1">
      <alignment horizontal="center" vertical="center" wrapText="1" shrinkToFit="1"/>
    </xf>
    <xf numFmtId="178" fontId="10" fillId="0" borderId="16" xfId="0" applyNumberFormat="1" applyFont="1" applyBorder="1" applyAlignment="1">
      <alignment horizontal="center" vertical="center" wrapText="1" shrinkToFit="1"/>
    </xf>
    <xf numFmtId="177" fontId="10" fillId="2" borderId="6" xfId="0" applyNumberFormat="1" applyFont="1" applyFill="1" applyBorder="1" applyAlignment="1">
      <alignment horizontal="center" vertical="center" wrapText="1" shrinkToFit="1"/>
    </xf>
    <xf numFmtId="177" fontId="10" fillId="2" borderId="17" xfId="0" applyNumberFormat="1" applyFont="1" applyFill="1" applyBorder="1" applyAlignment="1">
      <alignment horizontal="center" vertical="center" wrapText="1" shrinkToFit="1"/>
    </xf>
    <xf numFmtId="0" fontId="10" fillId="2" borderId="7" xfId="0" applyFont="1" applyFill="1" applyBorder="1" applyAlignment="1">
      <alignment horizontal="center" vertical="center" wrapText="1" shrinkToFit="1"/>
    </xf>
    <xf numFmtId="43" fontId="10" fillId="8" borderId="89" xfId="3" applyNumberFormat="1" applyFont="1" applyFill="1" applyBorder="1" applyAlignment="1">
      <alignment horizontal="center" vertical="center" wrapText="1" shrinkToFit="1"/>
    </xf>
    <xf numFmtId="43" fontId="10" fillId="8" borderId="90" xfId="3" applyNumberFormat="1" applyFont="1" applyFill="1" applyBorder="1" applyAlignment="1">
      <alignment horizontal="center" vertical="center" wrapText="1" shrinkToFit="1"/>
    </xf>
    <xf numFmtId="43" fontId="10" fillId="8" borderId="9" xfId="3" applyNumberFormat="1" applyFont="1" applyFill="1" applyBorder="1" applyAlignment="1">
      <alignment horizontal="center" vertical="center" wrapText="1" shrinkToFit="1"/>
    </xf>
    <xf numFmtId="43" fontId="10" fillId="11" borderId="89" xfId="3" applyNumberFormat="1" applyFont="1" applyFill="1" applyBorder="1" applyAlignment="1">
      <alignment horizontal="center" vertical="center" wrapText="1" shrinkToFit="1"/>
    </xf>
    <xf numFmtId="43" fontId="10" fillId="11" borderId="90" xfId="3" applyNumberFormat="1" applyFont="1" applyFill="1" applyBorder="1" applyAlignment="1">
      <alignment horizontal="center" vertical="center" wrapText="1" shrinkToFit="1"/>
    </xf>
    <xf numFmtId="43" fontId="10" fillId="11" borderId="9" xfId="3" applyNumberFormat="1" applyFont="1" applyFill="1" applyBorder="1" applyAlignment="1">
      <alignment horizontal="center" vertical="center" wrapText="1" shrinkToFit="1"/>
    </xf>
    <xf numFmtId="43" fontId="10" fillId="3" borderId="3" xfId="3" applyNumberFormat="1" applyFont="1" applyFill="1" applyBorder="1" applyAlignment="1">
      <alignment horizontal="center" vertical="center" shrinkToFit="1"/>
    </xf>
    <xf numFmtId="43" fontId="10" fillId="3" borderId="9" xfId="3" applyNumberFormat="1" applyFont="1" applyFill="1" applyBorder="1" applyAlignment="1">
      <alignment horizontal="center" vertical="center" shrinkToFit="1"/>
    </xf>
    <xf numFmtId="43" fontId="10" fillId="3" borderId="4" xfId="3" applyNumberFormat="1" applyFont="1" applyFill="1" applyBorder="1" applyAlignment="1">
      <alignment horizontal="center" vertical="center" shrinkToFit="1"/>
    </xf>
    <xf numFmtId="43" fontId="10" fillId="3" borderId="11" xfId="3" applyNumberFormat="1" applyFont="1" applyFill="1" applyBorder="1" applyAlignment="1">
      <alignment horizontal="center" vertical="center" shrinkToFit="1"/>
    </xf>
    <xf numFmtId="43" fontId="10" fillId="4" borderId="1" xfId="3" applyNumberFormat="1" applyFont="1" applyFill="1" applyBorder="1" applyAlignment="1">
      <alignment horizontal="center" vertical="center" wrapText="1" shrinkToFit="1"/>
    </xf>
    <xf numFmtId="43" fontId="10" fillId="4" borderId="4" xfId="3" applyNumberFormat="1" applyFont="1" applyFill="1" applyBorder="1" applyAlignment="1">
      <alignment horizontal="center" vertical="center" wrapText="1" shrinkToFit="1"/>
    </xf>
    <xf numFmtId="43" fontId="10" fillId="4" borderId="10" xfId="3" applyNumberFormat="1" applyFont="1" applyFill="1" applyBorder="1" applyAlignment="1">
      <alignment horizontal="center" vertical="center" wrapText="1" shrinkToFit="1"/>
    </xf>
    <xf numFmtId="179" fontId="10" fillId="9" borderId="5" xfId="0" applyNumberFormat="1" applyFont="1" applyFill="1" applyBorder="1" applyAlignment="1">
      <alignment horizontal="center" vertical="center" wrapText="1" shrinkToFit="1"/>
    </xf>
    <xf numFmtId="179" fontId="10" fillId="9" borderId="68" xfId="0" applyNumberFormat="1" applyFont="1" applyFill="1" applyBorder="1" applyAlignment="1">
      <alignment horizontal="center" vertical="center" wrapText="1" shrinkToFit="1"/>
    </xf>
    <xf numFmtId="43" fontId="10" fillId="2" borderId="3" xfId="0" applyNumberFormat="1" applyFont="1" applyFill="1" applyBorder="1" applyAlignment="1">
      <alignment horizontal="center" vertical="center" wrapText="1" shrinkToFit="1"/>
    </xf>
    <xf numFmtId="43" fontId="10" fillId="2" borderId="14" xfId="0" applyNumberFormat="1" applyFont="1" applyFill="1" applyBorder="1" applyAlignment="1">
      <alignment horizontal="center" vertical="center" wrapText="1" shrinkToFit="1"/>
    </xf>
    <xf numFmtId="43" fontId="10" fillId="2" borderId="4" xfId="0" applyNumberFormat="1" applyFont="1" applyFill="1" applyBorder="1" applyAlignment="1">
      <alignment horizontal="center" vertical="center" wrapText="1" shrinkToFit="1"/>
    </xf>
    <xf numFmtId="43" fontId="10" fillId="2" borderId="15" xfId="0" applyNumberFormat="1" applyFont="1" applyFill="1" applyBorder="1" applyAlignment="1">
      <alignment horizontal="center" vertical="center" wrapText="1" shrinkToFit="1"/>
    </xf>
    <xf numFmtId="0" fontId="10" fillId="0" borderId="8" xfId="0" applyFont="1" applyBorder="1" applyAlignment="1">
      <alignment horizontal="center" vertical="center" wrapText="1" shrinkToFit="1"/>
    </xf>
    <xf numFmtId="0" fontId="10" fillId="0" borderId="20" xfId="0" applyFont="1" applyBorder="1" applyAlignment="1">
      <alignment horizontal="center" vertical="center" wrapText="1" shrinkToFit="1"/>
    </xf>
    <xf numFmtId="0" fontId="28" fillId="14" borderId="109" xfId="0" applyFont="1" applyFill="1" applyBorder="1" applyAlignment="1">
      <alignment horizontal="center" vertical="center"/>
    </xf>
    <xf numFmtId="43" fontId="28" fillId="14" borderId="0" xfId="0" applyNumberFormat="1" applyFont="1" applyFill="1" applyAlignment="1">
      <alignment horizontal="center" vertical="center"/>
    </xf>
    <xf numFmtId="0" fontId="28" fillId="14" borderId="0" xfId="0" applyFont="1" applyFill="1" applyAlignment="1">
      <alignment horizontal="center" vertical="center"/>
    </xf>
    <xf numFmtId="0" fontId="1" fillId="0" borderId="106" xfId="0" applyFont="1" applyBorder="1" applyAlignment="1">
      <alignment horizontal="center" vertical="center" wrapText="1" shrinkToFit="1"/>
    </xf>
    <xf numFmtId="0" fontId="1" fillId="0" borderId="93" xfId="0" applyFont="1" applyBorder="1" applyAlignment="1">
      <alignment horizontal="center" vertical="center" wrapText="1" shrinkToFit="1"/>
    </xf>
    <xf numFmtId="177" fontId="1" fillId="2" borderId="6" xfId="0" applyNumberFormat="1" applyFont="1" applyFill="1" applyBorder="1" applyAlignment="1">
      <alignment horizontal="center" vertical="center" wrapText="1" shrinkToFit="1"/>
    </xf>
    <xf numFmtId="177" fontId="1" fillId="2" borderId="17" xfId="0" applyNumberFormat="1" applyFont="1" applyFill="1" applyBorder="1" applyAlignment="1">
      <alignment horizontal="center" vertical="center" wrapText="1" shrinkToFit="1"/>
    </xf>
    <xf numFmtId="179" fontId="1" fillId="9" borderId="5" xfId="0" applyNumberFormat="1" applyFont="1" applyFill="1" applyBorder="1" applyAlignment="1">
      <alignment horizontal="center" vertical="center" wrapText="1" shrinkToFit="1"/>
    </xf>
    <xf numFmtId="179" fontId="1" fillId="9" borderId="16" xfId="0" applyNumberFormat="1" applyFont="1" applyFill="1" applyBorder="1" applyAlignment="1">
      <alignment horizontal="center" vertical="center" wrapText="1" shrinkToFit="1"/>
    </xf>
    <xf numFmtId="43" fontId="1" fillId="2" borderId="3" xfId="0" applyNumberFormat="1" applyFont="1" applyFill="1" applyBorder="1" applyAlignment="1">
      <alignment horizontal="center" vertical="center" wrapText="1" shrinkToFit="1"/>
    </xf>
    <xf numFmtId="43" fontId="1" fillId="2" borderId="14" xfId="0" applyNumberFormat="1" applyFont="1" applyFill="1" applyBorder="1" applyAlignment="1">
      <alignment horizontal="center" vertical="center" wrapText="1" shrinkToFit="1"/>
    </xf>
    <xf numFmtId="43" fontId="1" fillId="2" borderId="4" xfId="0" applyNumberFormat="1" applyFont="1" applyFill="1" applyBorder="1" applyAlignment="1">
      <alignment horizontal="center" vertical="center" wrapText="1" shrinkToFit="1"/>
    </xf>
    <xf numFmtId="43" fontId="1" fillId="2" borderId="15" xfId="0" applyNumberFormat="1" applyFont="1" applyFill="1" applyBorder="1" applyAlignment="1">
      <alignment horizontal="center" vertical="center" wrapText="1" shrinkToFit="1"/>
    </xf>
    <xf numFmtId="0" fontId="1" fillId="0" borderId="8" xfId="0" applyFont="1" applyBorder="1" applyAlignment="1">
      <alignment horizontal="center" vertical="center" wrapText="1" shrinkToFit="1"/>
    </xf>
    <xf numFmtId="0" fontId="1" fillId="0" borderId="20" xfId="0" applyFont="1" applyBorder="1" applyAlignment="1">
      <alignment horizontal="center" vertical="center" wrapText="1" shrinkToFit="1"/>
    </xf>
    <xf numFmtId="43" fontId="1" fillId="6" borderId="1" xfId="3" applyNumberFormat="1" applyFont="1" applyFill="1" applyBorder="1" applyAlignment="1">
      <alignment horizontal="center" vertical="center" wrapText="1" shrinkToFit="1"/>
    </xf>
    <xf numFmtId="43" fontId="1" fillId="6" borderId="4" xfId="3" applyNumberFormat="1" applyFont="1" applyFill="1" applyBorder="1" applyAlignment="1">
      <alignment horizontal="center" vertical="center" wrapText="1" shrinkToFit="1"/>
    </xf>
    <xf numFmtId="43" fontId="1" fillId="6" borderId="10" xfId="3" applyNumberFormat="1" applyFont="1" applyFill="1" applyBorder="1" applyAlignment="1">
      <alignment horizontal="center" vertical="center" wrapText="1" shrinkToFit="1"/>
    </xf>
    <xf numFmtId="43" fontId="1" fillId="7" borderId="9" xfId="3" applyNumberFormat="1" applyFont="1" applyFill="1" applyBorder="1" applyAlignment="1">
      <alignment horizontal="center" vertical="center" wrapText="1" shrinkToFit="1"/>
    </xf>
    <xf numFmtId="43" fontId="1" fillId="7" borderId="4" xfId="3" applyNumberFormat="1" applyFont="1" applyFill="1" applyBorder="1" applyAlignment="1">
      <alignment horizontal="center" vertical="center" wrapText="1" shrinkToFit="1"/>
    </xf>
    <xf numFmtId="43" fontId="1" fillId="7" borderId="10" xfId="3" applyNumberFormat="1" applyFont="1" applyFill="1" applyBorder="1" applyAlignment="1">
      <alignment horizontal="center" vertical="center" wrapText="1" shrinkToFit="1"/>
    </xf>
    <xf numFmtId="0" fontId="3" fillId="9" borderId="24" xfId="3" applyFont="1" applyFill="1" applyBorder="1" applyAlignment="1">
      <alignment horizontal="left" vertical="center" wrapText="1" shrinkToFit="1"/>
    </xf>
    <xf numFmtId="0" fontId="3" fillId="9" borderId="25" xfId="3" applyFont="1" applyFill="1" applyBorder="1" applyAlignment="1">
      <alignment horizontal="left" vertical="center" wrapText="1" shrinkToFit="1"/>
    </xf>
    <xf numFmtId="0" fontId="1" fillId="10" borderId="54" xfId="3" applyFont="1" applyFill="1" applyBorder="1" applyAlignment="1">
      <alignment horizontal="center" vertical="center" wrapText="1" shrinkToFit="1"/>
    </xf>
    <xf numFmtId="181" fontId="1" fillId="10" borderId="55" xfId="3" applyNumberFormat="1" applyFont="1" applyFill="1" applyBorder="1" applyAlignment="1">
      <alignment horizontal="center" vertical="center" wrapText="1" shrinkToFit="1"/>
    </xf>
    <xf numFmtId="0" fontId="1" fillId="2" borderId="1" xfId="3" applyFont="1" applyFill="1" applyBorder="1" applyAlignment="1">
      <alignment horizontal="center" vertical="center" wrapText="1" shrinkToFit="1"/>
    </xf>
    <xf numFmtId="0" fontId="1" fillId="2" borderId="12" xfId="3" applyFont="1" applyFill="1" applyBorder="1" applyAlignment="1">
      <alignment horizontal="center" vertical="center" wrapText="1" shrinkToFit="1"/>
    </xf>
    <xf numFmtId="176" fontId="1" fillId="2" borderId="2" xfId="3" applyNumberFormat="1" applyFont="1" applyFill="1" applyBorder="1" applyAlignment="1">
      <alignment horizontal="center" vertical="center" wrapText="1" shrinkToFit="1"/>
    </xf>
    <xf numFmtId="176" fontId="1" fillId="2" borderId="13" xfId="3" applyNumberFormat="1" applyFont="1" applyFill="1" applyBorder="1" applyAlignment="1">
      <alignment horizontal="center" vertical="center" wrapText="1" shrinkToFit="1"/>
    </xf>
    <xf numFmtId="43" fontId="1" fillId="3" borderId="3" xfId="1" applyFont="1" applyFill="1" applyBorder="1" applyAlignment="1">
      <alignment horizontal="center" vertical="center" wrapText="1" shrinkToFit="1"/>
    </xf>
    <xf numFmtId="43" fontId="1" fillId="3" borderId="14" xfId="1" applyFont="1" applyFill="1" applyBorder="1" applyAlignment="1">
      <alignment horizontal="center" vertical="center" wrapText="1" shrinkToFit="1"/>
    </xf>
    <xf numFmtId="43" fontId="1" fillId="4" borderId="4" xfId="1" applyFont="1" applyFill="1" applyBorder="1" applyAlignment="1">
      <alignment horizontal="center" vertical="center" wrapText="1" shrinkToFit="1"/>
    </xf>
    <xf numFmtId="43" fontId="1" fillId="4" borderId="15" xfId="1" applyFont="1" applyFill="1" applyBorder="1" applyAlignment="1">
      <alignment horizontal="center" vertical="center" wrapText="1" shrinkToFit="1"/>
    </xf>
    <xf numFmtId="43" fontId="1" fillId="5" borderId="4" xfId="1" applyFont="1" applyFill="1" applyBorder="1" applyAlignment="1">
      <alignment horizontal="center" vertical="center" wrapText="1" shrinkToFit="1"/>
    </xf>
    <xf numFmtId="43" fontId="1" fillId="5" borderId="15" xfId="1" applyFont="1" applyFill="1" applyBorder="1" applyAlignment="1">
      <alignment horizontal="center" vertical="center" wrapText="1" shrinkToFit="1"/>
    </xf>
    <xf numFmtId="43" fontId="1" fillId="6" borderId="4" xfId="1" applyFont="1" applyFill="1" applyBorder="1" applyAlignment="1">
      <alignment horizontal="center" vertical="center" wrapText="1" shrinkToFit="1"/>
    </xf>
    <xf numFmtId="43" fontId="1" fillId="6" borderId="15" xfId="1" applyFont="1" applyFill="1" applyBorder="1" applyAlignment="1">
      <alignment horizontal="center" vertical="center" wrapText="1" shrinkToFit="1"/>
    </xf>
    <xf numFmtId="43" fontId="1" fillId="7" borderId="15" xfId="3" applyNumberFormat="1" applyFont="1" applyFill="1" applyBorder="1" applyAlignment="1">
      <alignment horizontal="center" vertical="center" wrapText="1" shrinkToFit="1"/>
    </xf>
    <xf numFmtId="43" fontId="1" fillId="8" borderId="4" xfId="3" applyNumberFormat="1" applyFont="1" applyFill="1" applyBorder="1" applyAlignment="1">
      <alignment horizontal="center" vertical="center" wrapText="1" shrinkToFit="1"/>
    </xf>
    <xf numFmtId="43" fontId="1" fillId="8" borderId="15" xfId="3" applyNumberFormat="1" applyFont="1" applyFill="1" applyBorder="1" applyAlignment="1">
      <alignment horizontal="center" vertical="center" wrapText="1" shrinkToFit="1"/>
    </xf>
    <xf numFmtId="43" fontId="1" fillId="9" borderId="2" xfId="0" applyNumberFormat="1" applyFont="1" applyFill="1" applyBorder="1" applyAlignment="1">
      <alignment horizontal="center" vertical="center" wrapText="1" shrinkToFit="1"/>
    </xf>
    <xf numFmtId="43" fontId="1" fillId="9" borderId="13" xfId="0" applyNumberFormat="1" applyFont="1" applyFill="1" applyBorder="1" applyAlignment="1">
      <alignment horizontal="center" vertical="center" wrapText="1" shrinkToFit="1"/>
    </xf>
    <xf numFmtId="177" fontId="1" fillId="0" borderId="5" xfId="0" applyNumberFormat="1" applyFont="1" applyBorder="1" applyAlignment="1">
      <alignment horizontal="center" vertical="center" wrapText="1" shrinkToFit="1"/>
    </xf>
    <xf numFmtId="177" fontId="1" fillId="0" borderId="16" xfId="0" applyNumberFormat="1" applyFont="1" applyBorder="1" applyAlignment="1">
      <alignment horizontal="center" vertical="center" wrapText="1" shrinkToFit="1"/>
    </xf>
    <xf numFmtId="178" fontId="1" fillId="0" borderId="5" xfId="0" applyNumberFormat="1" applyFont="1" applyBorder="1" applyAlignment="1">
      <alignment horizontal="center" vertical="center" wrapText="1" shrinkToFit="1"/>
    </xf>
    <xf numFmtId="178" fontId="1" fillId="0" borderId="16" xfId="0" applyNumberFormat="1" applyFont="1" applyBorder="1" applyAlignment="1">
      <alignment horizontal="center" vertical="center" wrapText="1" shrinkToFit="1"/>
    </xf>
    <xf numFmtId="0" fontId="1" fillId="2" borderId="7" xfId="0" applyFont="1" applyFill="1" applyBorder="1" applyAlignment="1">
      <alignment horizontal="center" vertical="center" wrapText="1" shrinkToFit="1"/>
    </xf>
    <xf numFmtId="43" fontId="1" fillId="8" borderId="3" xfId="3" applyNumberFormat="1" applyFont="1" applyFill="1" applyBorder="1" applyAlignment="1">
      <alignment horizontal="center" vertical="center" wrapText="1" shrinkToFit="1"/>
    </xf>
    <xf numFmtId="43" fontId="1" fillId="8" borderId="9" xfId="3" applyNumberFormat="1" applyFont="1" applyFill="1" applyBorder="1" applyAlignment="1">
      <alignment horizontal="center" vertical="center" wrapText="1" shrinkToFit="1"/>
    </xf>
    <xf numFmtId="43" fontId="1" fillId="8" borderId="10" xfId="3" applyNumberFormat="1" applyFont="1" applyFill="1" applyBorder="1" applyAlignment="1">
      <alignment horizontal="center" vertical="center" wrapText="1" shrinkToFit="1"/>
    </xf>
    <xf numFmtId="43" fontId="1" fillId="3" borderId="3" xfId="3" applyNumberFormat="1" applyFont="1" applyFill="1" applyBorder="1" applyAlignment="1">
      <alignment horizontal="center" vertical="center" shrinkToFit="1"/>
    </xf>
    <xf numFmtId="43" fontId="1" fillId="3" borderId="9" xfId="3" applyNumberFormat="1" applyFont="1" applyFill="1" applyBorder="1" applyAlignment="1">
      <alignment horizontal="center" vertical="center" shrinkToFit="1"/>
    </xf>
    <xf numFmtId="43" fontId="1" fillId="3" borderId="4" xfId="3" applyNumberFormat="1" applyFont="1" applyFill="1" applyBorder="1" applyAlignment="1">
      <alignment horizontal="center" vertical="center" shrinkToFit="1"/>
    </xf>
    <xf numFmtId="43" fontId="1" fillId="3" borderId="11" xfId="3" applyNumberFormat="1" applyFont="1" applyFill="1" applyBorder="1" applyAlignment="1">
      <alignment horizontal="center" vertical="center" shrinkToFit="1"/>
    </xf>
    <xf numFmtId="43" fontId="1" fillId="4" borderId="1" xfId="3" applyNumberFormat="1" applyFont="1" applyFill="1" applyBorder="1" applyAlignment="1">
      <alignment horizontal="center" vertical="center" wrapText="1" shrinkToFit="1"/>
    </xf>
    <xf numFmtId="43" fontId="1" fillId="4" borderId="4" xfId="3" applyNumberFormat="1" applyFont="1" applyFill="1" applyBorder="1" applyAlignment="1">
      <alignment horizontal="center" vertical="center" wrapText="1" shrinkToFit="1"/>
    </xf>
    <xf numFmtId="43" fontId="1" fillId="4" borderId="10" xfId="3" applyNumberFormat="1" applyFont="1" applyFill="1" applyBorder="1" applyAlignment="1">
      <alignment horizontal="center" vertical="center" wrapText="1" shrinkToFit="1"/>
    </xf>
    <xf numFmtId="43" fontId="1" fillId="5" borderId="9" xfId="3" applyNumberFormat="1" applyFont="1" applyFill="1" applyBorder="1" applyAlignment="1">
      <alignment horizontal="center" vertical="center" wrapText="1" shrinkToFit="1"/>
    </xf>
    <xf numFmtId="43" fontId="1" fillId="5" borderId="11" xfId="3" applyNumberFormat="1" applyFont="1" applyFill="1" applyBorder="1" applyAlignment="1">
      <alignment horizontal="center" vertical="center" wrapText="1" shrinkToFit="1"/>
    </xf>
  </cellXfs>
  <cellStyles count="7">
    <cellStyle name="常规" xfId="0" builtinId="0"/>
    <cellStyle name="常规 10" xfId="3" xr:uid="{00000000-0005-0000-0000-000031000000}"/>
    <cellStyle name="常规 105" xfId="4" xr:uid="{00000000-0005-0000-0000-000032000000}"/>
    <cellStyle name="常规 2" xfId="5" xr:uid="{00000000-0005-0000-0000-000033000000}"/>
    <cellStyle name="常规 2 4" xfId="6" xr:uid="{00000000-0005-0000-0000-000034000000}"/>
    <cellStyle name="超链接" xfId="2" builtinId="8"/>
    <cellStyle name="千位分隔" xfId="1" builtinId="3"/>
  </cellStyles>
  <dxfs count="0"/>
  <tableStyles count="0" defaultTableStyle="TableStyleMedium2" defaultPivotStyle="PivotStyleLight16"/>
  <colors>
    <mruColors>
      <color rgb="FFFF99FF"/>
      <color rgb="FF465198"/>
      <color rgb="FF5963C5"/>
      <color rgb="FF3A437E"/>
      <color rgb="FFA7284C"/>
      <color rgb="FFE7E6E6"/>
      <color rgb="FFA0C1E5"/>
      <color rgb="FF4C5CD2"/>
      <color rgb="FF9BC2E6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67032819201104"/>
          <c:y val="0.25415068487134601"/>
          <c:w val="0.52916993293267101"/>
          <c:h val="0.60715068499166802"/>
        </c:manualLayout>
      </c:layout>
      <c:barChart>
        <c:barDir val="col"/>
        <c:grouping val="stack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242985704"/>
        <c:axId val="454932228"/>
      </c:barChart>
      <c:catAx>
        <c:axId val="242985704"/>
        <c:scaling>
          <c:orientation val="minMax"/>
        </c:scaling>
        <c:delete val="1"/>
        <c:axPos val="b"/>
        <c:majorTickMark val="none"/>
        <c:minorTickMark val="none"/>
        <c:tickLblPos val="nextTo"/>
        <c:crossAx val="454932228"/>
        <c:crosses val="autoZero"/>
        <c:auto val="1"/>
        <c:lblAlgn val="ctr"/>
        <c:lblOffset val="100"/>
        <c:noMultiLvlLbl val="0"/>
      </c:catAx>
      <c:valAx>
        <c:axId val="454932228"/>
        <c:scaling>
          <c:orientation val="minMax"/>
          <c:max val="60000"/>
          <c:min val="-500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42985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55d95404-7882-4db8-b1fe-7706d29922af}"/>
      </c:ext>
    </c:extLst>
  </c:chart>
  <c:spPr>
    <a:gradFill rotWithShape="1">
      <a:gsLst>
        <a:gs pos="0">
          <a:srgbClr val="9BC2E6"/>
        </a:gs>
        <a:gs pos="50000">
          <a:schemeClr val="accent1">
            <a:lumMod val="105000"/>
            <a:satMod val="103000"/>
            <a:tint val="73000"/>
          </a:schemeClr>
        </a:gs>
        <a:gs pos="100000">
          <a:schemeClr val="accent1">
            <a:lumMod val="105000"/>
            <a:satMod val="109000"/>
            <a:tint val="81000"/>
          </a:schemeClr>
        </a:gs>
      </a:gsLst>
      <a:lin ang="5400000" scaled="0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  <a:sp3d>
      <a:extrusionClr>
        <a:srgbClr val="FFFFFF"/>
      </a:extrusionClr>
      <a:contourClr>
        <a:srgbClr val="FFFFFF"/>
      </a:contourClr>
    </a:sp3d>
  </c:spPr>
  <c:txPr>
    <a:bodyPr/>
    <a:lstStyle/>
    <a:p>
      <a:pPr>
        <a:defRPr lang="zh-CN">
          <a:solidFill>
            <a:schemeClr val="lt1"/>
          </a:solidFill>
          <a:latin typeface="+mn-lt"/>
          <a:ea typeface="+mn-ea"/>
          <a:cs typeface="+mn-cs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1.2371134020618599E-2"/>
          <c:y val="1.23864574731627E-2"/>
          <c:w val="0.97402061855670097"/>
          <c:h val="0.97522708505367495"/>
        </c:manualLayout>
      </c:layout>
      <c:pieChart>
        <c:varyColors val="1"/>
        <c:ser>
          <c:idx val="0"/>
          <c:order val="0"/>
          <c:spPr>
            <a:ln w="19050">
              <a:noFill/>
            </a:ln>
          </c:spPr>
          <c:dPt>
            <c:idx val="0"/>
            <c:bubble3D val="0"/>
            <c:spPr>
              <a:solidFill>
                <a:srgbClr val="5B9BD5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2C0-4F2B-847E-7D7AFD7F8A5C}"/>
              </c:ext>
            </c:extLst>
          </c:dPt>
          <c:dPt>
            <c:idx val="1"/>
            <c:bubble3D val="0"/>
            <c:spPr>
              <a:solidFill>
                <a:schemeClr val="bg1">
                  <a:lumMod val="9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2C0-4F2B-847E-7D7AFD7F8A5C}"/>
              </c:ext>
            </c:extLst>
          </c:dPt>
          <c:val>
            <c:numRef>
              <c:f>([2]X公司年度收支表!$K$39,[2]X公司年度收支表!$G$39)</c:f>
              <c:numCache>
                <c:formatCode>General</c:formatCode>
                <c:ptCount val="2"/>
                <c:pt idx="0">
                  <c:v>34640</c:v>
                </c:pt>
                <c:pt idx="1">
                  <c:v>7520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2C0-4F2B-847E-7D7AFD7F8A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d2da33d5-1c73-4803-b058-96cc0f2f5815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年度财务收支表!$B$82</c:f>
              <c:strCache>
                <c:ptCount val="1"/>
                <c:pt idx="0">
                  <c:v> 收 入 合 计：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年度财务收支表!$D$81:$H$81</c:f>
              <c:strCache>
                <c:ptCount val="4"/>
                <c:pt idx="0">
                  <c:v> Q1 </c:v>
                </c:pt>
                <c:pt idx="1">
                  <c:v> Q2 </c:v>
                </c:pt>
                <c:pt idx="2">
                  <c:v> Q3 </c:v>
                </c:pt>
                <c:pt idx="3">
                  <c:v> Q4 </c:v>
                </c:pt>
              </c:strCache>
            </c:strRef>
          </c:cat>
          <c:val>
            <c:numRef>
              <c:f>年度财务收支表!$D$82:$H$82</c:f>
              <c:numCache>
                <c:formatCode>_(* #,##0.00_);_(* \(#,##0.00\);_(* "-"??_);_(@_)</c:formatCode>
                <c:ptCount val="4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B4-4AE7-BFC0-6135DAE3FB40}"/>
            </c:ext>
          </c:extLst>
        </c:ser>
        <c:ser>
          <c:idx val="1"/>
          <c:order val="1"/>
          <c:tx>
            <c:strRef>
              <c:f>年度财务收支表!$B$83</c:f>
              <c:strCache>
                <c:ptCount val="1"/>
                <c:pt idx="0">
                  <c:v> 支 出 合 计：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年度财务收支表!$D$81:$H$81</c:f>
              <c:strCache>
                <c:ptCount val="4"/>
                <c:pt idx="0">
                  <c:v> Q1 </c:v>
                </c:pt>
                <c:pt idx="1">
                  <c:v> Q2 </c:v>
                </c:pt>
                <c:pt idx="2">
                  <c:v> Q3 </c:v>
                </c:pt>
                <c:pt idx="3">
                  <c:v> Q4 </c:v>
                </c:pt>
              </c:strCache>
            </c:strRef>
          </c:cat>
          <c:val>
            <c:numRef>
              <c:f>年度财务收支表!$D$83:$H$83</c:f>
              <c:numCache>
                <c:formatCode>_(* #,##0.00_);_(* \(#,##0.00\);_(* "-"??_);_(@_)</c:formatCode>
                <c:ptCount val="4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5B4-4AE7-BFC0-6135DAE3FB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793652804"/>
        <c:axId val="247792591"/>
      </c:barChart>
      <c:lineChart>
        <c:grouping val="standard"/>
        <c:varyColors val="0"/>
        <c:ser>
          <c:idx val="2"/>
          <c:order val="2"/>
          <c:tx>
            <c:strRef>
              <c:f>年度财务收支表!$B$84</c:f>
              <c:strCache>
                <c:ptCount val="1"/>
                <c:pt idx="0">
                  <c:v> 期末余额                                           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cat>
            <c:strRef>
              <c:f>年度财务收支表!$D$81:$H$81</c:f>
              <c:strCache>
                <c:ptCount val="4"/>
                <c:pt idx="0">
                  <c:v> Q1 </c:v>
                </c:pt>
                <c:pt idx="1">
                  <c:v> Q2 </c:v>
                </c:pt>
                <c:pt idx="2">
                  <c:v> Q3 </c:v>
                </c:pt>
                <c:pt idx="3">
                  <c:v> Q4 </c:v>
                </c:pt>
              </c:strCache>
            </c:strRef>
          </c:cat>
          <c:val>
            <c:numRef>
              <c:f>年度财务收支表!$D$84:$H$84</c:f>
              <c:numCache>
                <c:formatCode>_(* #,##0.00_);_(* \(#,##0.00\);_(* "-"??_);_(@_)</c:formatCode>
                <c:ptCount val="4"/>
                <c:pt idx="0">
                  <c:v>0</c:v>
                </c:pt>
                <c:pt idx="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5B4-4AE7-BFC0-6135DAE3FB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1996266"/>
        <c:axId val="600473566"/>
      </c:lineChart>
      <c:catAx>
        <c:axId val="79365280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47792591"/>
        <c:crosses val="autoZero"/>
        <c:auto val="0"/>
        <c:lblAlgn val="ctr"/>
        <c:lblOffset val="100"/>
        <c:noMultiLvlLbl val="0"/>
      </c:catAx>
      <c:valAx>
        <c:axId val="247792591"/>
        <c:scaling>
          <c:orientation val="minMax"/>
          <c:max val="80000"/>
          <c:min val="-3000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93652804"/>
        <c:crosses val="autoZero"/>
        <c:crossBetween val="between"/>
        <c:majorUnit val="30000"/>
        <c:minorUnit val="5000"/>
      </c:valAx>
      <c:catAx>
        <c:axId val="38199626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600473566"/>
        <c:crosses val="autoZero"/>
        <c:auto val="1"/>
        <c:lblAlgn val="ctr"/>
        <c:lblOffset val="100"/>
        <c:noMultiLvlLbl val="0"/>
      </c:catAx>
      <c:valAx>
        <c:axId val="600473566"/>
        <c:scaling>
          <c:orientation val="minMax"/>
        </c:scaling>
        <c:delete val="1"/>
        <c:axPos val="r"/>
        <c:numFmt formatCode="_(* #,##0.00_);_(* \(#,##0.00\);_(* &quot;-&quot;??_);_(@_)" sourceLinked="1"/>
        <c:majorTickMark val="none"/>
        <c:minorTickMark val="none"/>
        <c:tickLblPos val="nextTo"/>
        <c:crossAx val="381996266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1efc371-357c-4ec5-9f13-37a24458d7fa}"/>
      </c:ext>
    </c:extLst>
  </c:chart>
  <c:spPr>
    <a:solidFill>
      <a:srgbClr val="A0C1E5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86995</xdr:colOff>
      <xdr:row>1</xdr:row>
      <xdr:rowOff>31750</xdr:rowOff>
    </xdr:from>
    <xdr:to>
      <xdr:col>8</xdr:col>
      <xdr:colOff>913130</xdr:colOff>
      <xdr:row>9</xdr:row>
      <xdr:rowOff>207010</xdr:rowOff>
    </xdr:to>
    <xdr:graphicFrame macro="">
      <xdr:nvGraphicFramePr>
        <xdr:cNvPr id="19" name="图表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381000</xdr:colOff>
      <xdr:row>3</xdr:row>
      <xdr:rowOff>22225</xdr:rowOff>
    </xdr:from>
    <xdr:to>
      <xdr:col>1</xdr:col>
      <xdr:colOff>1377950</xdr:colOff>
      <xdr:row>8</xdr:row>
      <xdr:rowOff>103505</xdr:rowOff>
    </xdr:to>
    <xdr:graphicFrame macro="">
      <xdr:nvGraphicFramePr>
        <xdr:cNvPr id="21" name="图表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504825</xdr:colOff>
      <xdr:row>4</xdr:row>
      <xdr:rowOff>9525</xdr:rowOff>
    </xdr:from>
    <xdr:to>
      <xdr:col>1</xdr:col>
      <xdr:colOff>1247775</xdr:colOff>
      <xdr:row>7</xdr:row>
      <xdr:rowOff>125095</xdr:rowOff>
    </xdr:to>
    <xdr:sp macro="" textlink="">
      <xdr:nvSpPr>
        <xdr:cNvPr id="24" name="椭圆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603885" y="1019175"/>
          <a:ext cx="742950" cy="744220"/>
        </a:xfrm>
        <a:prstGeom prst="ellipse">
          <a:avLst/>
        </a:prstGeom>
        <a:solidFill>
          <a:srgbClr val="E7E6E6"/>
        </a:solidFill>
        <a:effectLst>
          <a:innerShdw blurRad="114300">
            <a:prstClr val="black"/>
          </a:innerShdw>
        </a:effec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457200</xdr:colOff>
      <xdr:row>5</xdr:row>
      <xdr:rowOff>0</xdr:rowOff>
    </xdr:from>
    <xdr:to>
      <xdr:col>1</xdr:col>
      <xdr:colOff>1332230</xdr:colOff>
      <xdr:row>7</xdr:row>
      <xdr:rowOff>19050</xdr:rowOff>
    </xdr:to>
    <xdr:sp macro="" textlink="年度财务收支表!$G$78">
      <xdr:nvSpPr>
        <xdr:cNvPr id="25" name="文本框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 txBox="1"/>
      </xdr:nvSpPr>
      <xdr:spPr>
        <a:xfrm>
          <a:off x="556260" y="1219200"/>
          <a:ext cx="875030" cy="4381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fld id="{BB962C8B-B14F-4D97-AF65-F5344CB8AC3E}" type="TxLink">
            <a:rPr lang="zh-CN" altLang="en-US" sz="1400" b="1">
              <a:solidFill>
                <a:schemeClr val="accent2">
                  <a:lumMod val="75000"/>
                </a:schemeClr>
              </a:solidFill>
              <a:latin typeface="微软雅黑" panose="020B0503020204020204" charset="-122"/>
              <a:ea typeface="微软雅黑" panose="020B0503020204020204" charset="-122"/>
            </a:rPr>
            <a:pPr algn="l"/>
            <a:t>#DIV/0!</a:t>
          </a:fld>
          <a:endParaRPr lang="zh-CN" altLang="en-US" sz="1400" b="1">
            <a:solidFill>
              <a:schemeClr val="accent2">
                <a:lumMod val="75000"/>
              </a:schemeClr>
            </a:solidFill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428625</xdr:colOff>
      <xdr:row>1</xdr:row>
      <xdr:rowOff>133350</xdr:rowOff>
    </xdr:from>
    <xdr:to>
      <xdr:col>1</xdr:col>
      <xdr:colOff>1438275</xdr:colOff>
      <xdr:row>3</xdr:row>
      <xdr:rowOff>38100</xdr:rowOff>
    </xdr:to>
    <xdr:sp macro="" textlink="">
      <xdr:nvSpPr>
        <xdr:cNvPr id="26" name="圆角矩形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527685" y="514350"/>
          <a:ext cx="1009650" cy="323850"/>
        </a:xfrm>
        <a:prstGeom prst="roundRec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ctr"/>
          <a:r>
            <a:rPr lang="zh-CN" altLang="en-US" sz="1400" b="1">
              <a:latin typeface="微软雅黑" panose="020B0503020204020204" charset="-122"/>
              <a:ea typeface="微软雅黑" panose="020B0503020204020204" charset="-122"/>
            </a:rPr>
            <a:t>收支占比</a:t>
          </a:r>
        </a:p>
      </xdr:txBody>
    </xdr:sp>
    <xdr:clientData/>
  </xdr:twoCellAnchor>
  <xdr:twoCellAnchor>
    <xdr:from>
      <xdr:col>1</xdr:col>
      <xdr:colOff>1606550</xdr:colOff>
      <xdr:row>1</xdr:row>
      <xdr:rowOff>123825</xdr:rowOff>
    </xdr:from>
    <xdr:to>
      <xdr:col>7</xdr:col>
      <xdr:colOff>778510</xdr:colOff>
      <xdr:row>9</xdr:row>
      <xdr:rowOff>111125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ThinkPad\AppData\Local\Temp\Temp1_Q201703&#26376;&#29616;&#37329;&#27969;-C.zip\Q201702&#36164;&#20135;%20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71786\Desktop\&#24180;&#32456;&#36130;&#21153;&#25253;&#34920;%20&#24180;&#24230;&#25910;&#25903;&#27719;&#24635;&#34920;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3 在外库存-2"/>
      <sheetName val="1 利润表-2"/>
      <sheetName val="2 资产负债表-2"/>
      <sheetName val="3 现金流-2"/>
      <sheetName val="4 收款记录-2"/>
      <sheetName val="5 资金分布-2"/>
      <sheetName val="6 预付账款-2"/>
      <sheetName val="7 应收账款-2"/>
      <sheetName val="8 代销客户-2"/>
      <sheetName val="9 代销成本-2"/>
      <sheetName val="10 物流成本-2"/>
      <sheetName val="11 代付运费-2"/>
      <sheetName val="12 库存-2"/>
      <sheetName val="14 出货排名表-2"/>
      <sheetName val="15 销售毛利-2"/>
      <sheetName val="16 销售分析表 -2"/>
      <sheetName val="17 其他应收款-2"/>
      <sheetName val="18 营业外支出-2"/>
      <sheetName val="19 研发-2"/>
      <sheetName val="20 固定资产折旧-2"/>
      <sheetName val="21 固定费用表"/>
      <sheetName val="22 人员成本-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公司年度收支表"/>
      <sheetName val="Sheet2"/>
    </sheetNames>
    <sheetDataSet>
      <sheetData sheetId="0">
        <row r="39">
          <cell r="G39">
            <v>7520</v>
          </cell>
          <cell r="K39">
            <v>34640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【6】">
    <a:dk1>
      <a:srgbClr val="000000"/>
    </a:dk1>
    <a:lt1>
      <a:srgbClr val="FFFFFF"/>
    </a:lt1>
    <a:dk2>
      <a:srgbClr val="0C0E1F"/>
    </a:dk2>
    <a:lt2>
      <a:srgbClr val="FEFFFF"/>
    </a:lt2>
    <a:accent1>
      <a:srgbClr val="F2B600"/>
    </a:accent1>
    <a:accent2>
      <a:srgbClr val="FF7315"/>
    </a:accent2>
    <a:accent3>
      <a:srgbClr val="67C7BB"/>
    </a:accent3>
    <a:accent4>
      <a:srgbClr val="23ABA0"/>
    </a:accent4>
    <a:accent5>
      <a:srgbClr val="FF9A2D"/>
    </a:accent5>
    <a:accent6>
      <a:srgbClr val="F08BB4"/>
    </a:accent6>
    <a:hlink>
      <a:srgbClr val="304FFE"/>
    </a:hlink>
    <a:folHlink>
      <a:srgbClr val="492067"/>
    </a:folHlink>
  </a:clrScheme>
  <a:fontScheme name="自定义 2">
    <a:majorFont>
      <a:latin typeface="微软雅黑"/>
      <a:ea typeface="微软雅黑"/>
      <a:cs typeface=""/>
    </a:majorFont>
    <a:minorFont>
      <a:latin typeface="微软雅黑"/>
      <a:ea typeface="微软雅黑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XEZ85"/>
  <sheetViews>
    <sheetView workbookViewId="0">
      <pane ySplit="12" topLeftCell="A13" activePane="bottomLeft" state="frozen"/>
      <selection pane="bottomLeft" activeCell="E67" sqref="E67"/>
    </sheetView>
  </sheetViews>
  <sheetFormatPr defaultColWidth="9" defaultRowHeight="15.6"/>
  <cols>
    <col min="1" max="1" width="1.296875" style="405" customWidth="1"/>
    <col min="2" max="2" width="28.5" style="406" customWidth="1"/>
    <col min="3" max="3" width="14.296875" style="407" customWidth="1"/>
    <col min="4" max="7" width="13" style="408" customWidth="1"/>
    <col min="8" max="8" width="13" style="405" hidden="1" customWidth="1"/>
    <col min="9" max="9" width="12.09765625" style="409" customWidth="1"/>
    <col min="10" max="14" width="9" style="405"/>
    <col min="15" max="15" width="10.09765625" style="405"/>
    <col min="16" max="16379" width="9" style="405"/>
  </cols>
  <sheetData>
    <row r="1" spans="1:15 16380:16380" s="402" customFormat="1" ht="30" customHeight="1">
      <c r="A1" s="404"/>
      <c r="B1" s="531" t="s">
        <v>0</v>
      </c>
      <c r="C1" s="532"/>
      <c r="D1" s="533"/>
      <c r="E1" s="533"/>
      <c r="F1" s="533"/>
      <c r="G1" s="533"/>
      <c r="H1" s="533"/>
      <c r="I1" s="410"/>
    </row>
    <row r="2" spans="1:15 16380:16380" s="402" customFormat="1">
      <c r="A2" s="404"/>
      <c r="B2" s="411"/>
      <c r="C2" s="412"/>
      <c r="I2" s="413"/>
    </row>
    <row r="3" spans="1:15 16380:16380" s="402" customFormat="1">
      <c r="A3" s="404"/>
      <c r="B3" s="411"/>
      <c r="C3" s="412"/>
      <c r="I3" s="413"/>
    </row>
    <row r="4" spans="1:15 16380:16380" s="402" customFormat="1">
      <c r="A4" s="404"/>
      <c r="B4" s="411"/>
      <c r="C4" s="412"/>
      <c r="I4" s="413"/>
      <c r="M4" s="414"/>
      <c r="N4" s="414"/>
      <c r="O4" s="414"/>
    </row>
    <row r="5" spans="1:15 16380:16380" s="402" customFormat="1">
      <c r="A5" s="404"/>
      <c r="B5" s="411"/>
      <c r="C5" s="412"/>
      <c r="I5" s="413"/>
    </row>
    <row r="6" spans="1:15 16380:16380" s="402" customFormat="1">
      <c r="A6" s="404"/>
      <c r="B6" s="411"/>
      <c r="C6" s="412"/>
      <c r="I6" s="413"/>
    </row>
    <row r="7" spans="1:15 16380:16380" s="402" customFormat="1">
      <c r="A7" s="404"/>
      <c r="B7" s="411"/>
      <c r="C7" s="412"/>
      <c r="I7" s="413"/>
    </row>
    <row r="8" spans="1:15 16380:16380" s="402" customFormat="1">
      <c r="A8" s="404"/>
      <c r="B8" s="411"/>
      <c r="C8" s="412"/>
      <c r="I8" s="413"/>
    </row>
    <row r="9" spans="1:15 16380:16380" s="402" customFormat="1">
      <c r="A9" s="404"/>
      <c r="B9" s="411"/>
      <c r="C9" s="412"/>
      <c r="I9" s="413"/>
    </row>
    <row r="10" spans="1:15 16380:16380" s="402" customFormat="1">
      <c r="A10" s="404"/>
      <c r="B10" s="411"/>
      <c r="C10" s="412"/>
      <c r="I10" s="413"/>
    </row>
    <row r="11" spans="1:15 16380:16380" ht="21" customHeight="1">
      <c r="B11" s="415" t="s">
        <v>1</v>
      </c>
      <c r="C11" s="416" t="s">
        <v>2</v>
      </c>
      <c r="D11" s="417" t="s">
        <v>3</v>
      </c>
      <c r="E11" s="417" t="s">
        <v>4</v>
      </c>
      <c r="F11" s="417" t="s">
        <v>5</v>
      </c>
      <c r="G11" s="418" t="s">
        <v>6</v>
      </c>
      <c r="H11" s="418"/>
      <c r="I11" s="419" t="s">
        <v>7</v>
      </c>
      <c r="XEZ11" s="405"/>
    </row>
    <row r="12" spans="1:15 16380:16380">
      <c r="B12" s="420" t="s">
        <v>8</v>
      </c>
      <c r="C12" s="421">
        <v>0</v>
      </c>
      <c r="D12" s="422">
        <f>'1.建行Q1'!N4</f>
        <v>0</v>
      </c>
      <c r="E12" s="422">
        <f>'1.建行Q2'!R4</f>
        <v>0</v>
      </c>
      <c r="F12" s="422"/>
      <c r="G12" s="422"/>
      <c r="H12" s="423"/>
      <c r="I12" s="424"/>
      <c r="XEZ12" s="405"/>
    </row>
    <row r="13" spans="1:15 16380:16380" ht="18" customHeight="1">
      <c r="B13" s="425" t="s">
        <v>9</v>
      </c>
      <c r="C13" s="426">
        <f>SUM(D13:H13)</f>
        <v>0</v>
      </c>
      <c r="D13" s="426">
        <f>SUM(D14:D16)</f>
        <v>0</v>
      </c>
      <c r="E13" s="426">
        <f>SUM(E14:E16)</f>
        <v>0</v>
      </c>
      <c r="F13" s="426">
        <f>SUM(F14:F16)</f>
        <v>0</v>
      </c>
      <c r="G13" s="426">
        <f>SUM(G14:G16)</f>
        <v>0</v>
      </c>
      <c r="H13" s="427"/>
      <c r="I13" s="428">
        <f>H13*$H$20</f>
        <v>0</v>
      </c>
      <c r="XEZ13" s="405"/>
    </row>
    <row r="14" spans="1:15 16380:16380">
      <c r="B14" s="429" t="s">
        <v>10</v>
      </c>
      <c r="C14" s="430">
        <f>汇总表!O9</f>
        <v>0</v>
      </c>
      <c r="D14" s="431">
        <f>汇总表!O5</f>
        <v>0</v>
      </c>
      <c r="E14" s="431">
        <f>汇总表!O6</f>
        <v>0</v>
      </c>
      <c r="F14" s="431"/>
      <c r="G14" s="432"/>
      <c r="H14" s="432"/>
      <c r="I14" s="433">
        <f t="shared" ref="I14:I19" si="0">H14*$H$20</f>
        <v>0</v>
      </c>
      <c r="XEZ14" s="405"/>
    </row>
    <row r="15" spans="1:15 16380:16380">
      <c r="B15" s="429" t="s">
        <v>11</v>
      </c>
      <c r="C15" s="430">
        <f>汇总表!O10</f>
        <v>0</v>
      </c>
      <c r="D15" s="431">
        <f>汇总表!O6</f>
        <v>0</v>
      </c>
      <c r="E15" s="431">
        <f>汇总表!P6</f>
        <v>0</v>
      </c>
      <c r="F15" s="431"/>
      <c r="G15" s="432"/>
      <c r="H15" s="432"/>
      <c r="I15" s="433">
        <f t="shared" si="0"/>
        <v>0</v>
      </c>
      <c r="XEZ15" s="405"/>
    </row>
    <row r="16" spans="1:15 16380:16380">
      <c r="B16" s="429" t="s">
        <v>12</v>
      </c>
      <c r="C16" s="430">
        <f>汇总表!O11</f>
        <v>0</v>
      </c>
      <c r="D16" s="431">
        <f>汇总表!O7</f>
        <v>0</v>
      </c>
      <c r="E16" s="431">
        <f>汇总表!Q6</f>
        <v>0</v>
      </c>
      <c r="F16" s="431"/>
      <c r="G16" s="432"/>
      <c r="H16" s="432"/>
      <c r="I16" s="433">
        <f t="shared" si="0"/>
        <v>0</v>
      </c>
      <c r="XEZ16" s="405"/>
    </row>
    <row r="17" spans="2:9 16380:16380">
      <c r="B17" s="429"/>
      <c r="C17" s="430"/>
      <c r="D17" s="431"/>
      <c r="E17" s="431"/>
      <c r="F17" s="431"/>
      <c r="G17" s="432"/>
      <c r="H17" s="432"/>
      <c r="I17" s="433">
        <f t="shared" si="0"/>
        <v>0</v>
      </c>
      <c r="XEZ17" s="405"/>
    </row>
    <row r="18" spans="2:9 16380:16380">
      <c r="B18" s="429"/>
      <c r="C18" s="430"/>
      <c r="D18" s="431"/>
      <c r="E18" s="431"/>
      <c r="F18" s="431"/>
      <c r="G18" s="432"/>
      <c r="H18" s="432"/>
      <c r="I18" s="433">
        <f t="shared" si="0"/>
        <v>0</v>
      </c>
      <c r="XEZ18" s="405"/>
    </row>
    <row r="19" spans="2:9 16380:16380">
      <c r="B19" s="425" t="s">
        <v>13</v>
      </c>
      <c r="C19" s="426">
        <f>汇总表!N9</f>
        <v>0</v>
      </c>
      <c r="D19" s="426">
        <f>汇总表!N5</f>
        <v>0</v>
      </c>
      <c r="E19" s="434">
        <f>汇总表!N6</f>
        <v>0</v>
      </c>
      <c r="F19" s="434"/>
      <c r="G19" s="427"/>
      <c r="H19" s="427"/>
      <c r="I19" s="428">
        <f t="shared" si="0"/>
        <v>0</v>
      </c>
      <c r="XEZ19" s="405"/>
    </row>
    <row r="20" spans="2:9 16380:16380">
      <c r="B20" s="435" t="s">
        <v>14</v>
      </c>
      <c r="C20" s="436">
        <f>SUM(D20:H20)</f>
        <v>0</v>
      </c>
      <c r="D20" s="436">
        <f>D19+D13</f>
        <v>0</v>
      </c>
      <c r="E20" s="436">
        <f>E19+E13</f>
        <v>0</v>
      </c>
      <c r="F20" s="436">
        <f>F19+F13</f>
        <v>0</v>
      </c>
      <c r="G20" s="436">
        <f>G19+G13</f>
        <v>0</v>
      </c>
      <c r="H20" s="436"/>
      <c r="I20" s="437">
        <f>I19+I13</f>
        <v>0</v>
      </c>
      <c r="XEZ20" s="405"/>
    </row>
    <row r="21" spans="2:9 16380:16380">
      <c r="B21" s="435" t="s">
        <v>15</v>
      </c>
      <c r="C21" s="436">
        <f>SUM(D21:H21)</f>
        <v>0</v>
      </c>
      <c r="D21" s="435">
        <f>D22+D31+D37+D47+D57+D61+D65+D68+D69+D74</f>
        <v>0</v>
      </c>
      <c r="E21" s="435">
        <f>E22+E31+E37+E47+E57+E61+E65+E68+E69+E74</f>
        <v>0</v>
      </c>
      <c r="F21" s="435"/>
      <c r="G21" s="436"/>
      <c r="H21" s="436"/>
      <c r="I21" s="437" t="e">
        <f>I22+I31+I37+I47+I57+I61+I65+I68+I69+I74</f>
        <v>#DIV/0!</v>
      </c>
      <c r="XEZ21" s="405"/>
    </row>
    <row r="22" spans="2:9 16380:16380">
      <c r="B22" s="425" t="s">
        <v>16</v>
      </c>
      <c r="C22" s="426">
        <f>SUM(D22:H22)</f>
        <v>0</v>
      </c>
      <c r="D22" s="426">
        <f>SUM(D23:D30)</f>
        <v>0</v>
      </c>
      <c r="E22" s="426">
        <f>SUM(E23:E30)</f>
        <v>0</v>
      </c>
      <c r="F22" s="426">
        <f>SUM(F23:F30)</f>
        <v>0</v>
      </c>
      <c r="G22" s="426">
        <f>SUM(G23:G30)</f>
        <v>0</v>
      </c>
      <c r="H22" s="438"/>
      <c r="I22" s="439" t="e">
        <f>C22/C21</f>
        <v>#DIV/0!</v>
      </c>
      <c r="XEZ22" s="405"/>
    </row>
    <row r="23" spans="2:9 16380:16380">
      <c r="B23" s="429" t="s">
        <v>17</v>
      </c>
      <c r="C23" s="430">
        <f>汇总表!V9</f>
        <v>0</v>
      </c>
      <c r="D23" s="431">
        <f>汇总表!V5</f>
        <v>0</v>
      </c>
      <c r="E23" s="431">
        <f>汇总表!V6</f>
        <v>0</v>
      </c>
      <c r="F23" s="431"/>
      <c r="G23" s="440"/>
      <c r="H23" s="440"/>
      <c r="I23" s="433" t="e">
        <f>C23/C21</f>
        <v>#DIV/0!</v>
      </c>
      <c r="XEZ23" s="405"/>
    </row>
    <row r="24" spans="2:9 16380:16380">
      <c r="B24" s="429" t="s">
        <v>18</v>
      </c>
      <c r="C24" s="430">
        <f>汇总表!V10</f>
        <v>0</v>
      </c>
      <c r="D24" s="431">
        <f>汇总表!W5</f>
        <v>0</v>
      </c>
      <c r="E24" s="431">
        <f>汇总表!W6</f>
        <v>0</v>
      </c>
      <c r="F24" s="431"/>
      <c r="G24" s="440"/>
      <c r="H24" s="440"/>
      <c r="I24" s="433" t="e">
        <f>C24/C21</f>
        <v>#DIV/0!</v>
      </c>
      <c r="XEZ24" s="405"/>
    </row>
    <row r="25" spans="2:9 16380:16380">
      <c r="B25" s="429" t="s">
        <v>19</v>
      </c>
      <c r="C25" s="430">
        <f>汇总表!V11</f>
        <v>0</v>
      </c>
      <c r="D25" s="431">
        <f>汇总表!X5</f>
        <v>0</v>
      </c>
      <c r="E25" s="431">
        <f>汇总表!X6</f>
        <v>0</v>
      </c>
      <c r="F25" s="431"/>
      <c r="G25" s="440"/>
      <c r="H25" s="440"/>
      <c r="I25" s="433" t="e">
        <f>C25/C21</f>
        <v>#DIV/0!</v>
      </c>
      <c r="XEZ25" s="405"/>
    </row>
    <row r="26" spans="2:9 16380:16380">
      <c r="B26" s="429" t="s">
        <v>20</v>
      </c>
      <c r="C26" s="430">
        <f>汇总表!V12</f>
        <v>0</v>
      </c>
      <c r="D26" s="431">
        <f>汇总表!Y5</f>
        <v>0</v>
      </c>
      <c r="E26" s="431">
        <f>汇总表!Y6</f>
        <v>0</v>
      </c>
      <c r="F26" s="431"/>
      <c r="G26" s="440"/>
      <c r="H26" s="440"/>
      <c r="I26" s="433" t="e">
        <f>C26/C21</f>
        <v>#DIV/0!</v>
      </c>
      <c r="XEZ26" s="405"/>
    </row>
    <row r="27" spans="2:9 16380:16380">
      <c r="B27" s="429"/>
      <c r="C27" s="430"/>
      <c r="D27" s="431"/>
      <c r="E27" s="431"/>
      <c r="F27" s="431"/>
      <c r="G27" s="440"/>
      <c r="H27" s="440"/>
      <c r="I27" s="433" t="e">
        <f>C27/C21</f>
        <v>#DIV/0!</v>
      </c>
      <c r="XEZ27" s="405"/>
    </row>
    <row r="28" spans="2:9 16380:16380">
      <c r="B28" s="429"/>
      <c r="C28" s="430"/>
      <c r="D28" s="431"/>
      <c r="E28" s="431"/>
      <c r="F28" s="431"/>
      <c r="G28" s="440"/>
      <c r="H28" s="440"/>
      <c r="I28" s="433" t="e">
        <f>C28/C21</f>
        <v>#DIV/0!</v>
      </c>
      <c r="XEZ28" s="405"/>
    </row>
    <row r="29" spans="2:9 16380:16380">
      <c r="B29" s="429"/>
      <c r="C29" s="430"/>
      <c r="D29" s="431"/>
      <c r="E29" s="431"/>
      <c r="F29" s="431"/>
      <c r="G29" s="440"/>
      <c r="H29" s="440"/>
      <c r="I29" s="433" t="e">
        <f>C29/C21</f>
        <v>#DIV/0!</v>
      </c>
      <c r="XEZ29" s="405"/>
    </row>
    <row r="30" spans="2:9 16380:16380">
      <c r="B30" s="429"/>
      <c r="C30" s="430"/>
      <c r="D30" s="431"/>
      <c r="E30" s="431"/>
      <c r="F30" s="431"/>
      <c r="G30" s="440"/>
      <c r="H30" s="440"/>
      <c r="I30" s="433" t="e">
        <f>C30/C21</f>
        <v>#DIV/0!</v>
      </c>
      <c r="XEZ30" s="405"/>
    </row>
    <row r="31" spans="2:9 16380:16380">
      <c r="B31" s="425" t="s">
        <v>21</v>
      </c>
      <c r="C31" s="426">
        <f>SUM(D31:H31)</f>
        <v>0</v>
      </c>
      <c r="D31" s="426">
        <f>SUM(D32:D36)</f>
        <v>0</v>
      </c>
      <c r="E31" s="426">
        <f>SUM(E32:E36)</f>
        <v>0</v>
      </c>
      <c r="F31" s="426">
        <f>SUM(F32:F36)</f>
        <v>0</v>
      </c>
      <c r="G31" s="426">
        <f>SUM(G32:G36)</f>
        <v>0</v>
      </c>
      <c r="H31" s="438"/>
      <c r="I31" s="439" t="e">
        <f t="shared" ref="I31:I38" si="1">C31/$C$21</f>
        <v>#DIV/0!</v>
      </c>
      <c r="XEZ31" s="405"/>
    </row>
    <row r="32" spans="2:9 16380:16380">
      <c r="B32" s="429" t="s">
        <v>22</v>
      </c>
      <c r="C32" s="430">
        <f>汇总表!Z9</f>
        <v>0</v>
      </c>
      <c r="D32" s="431">
        <f>汇总表!Z5</f>
        <v>0</v>
      </c>
      <c r="E32" s="431">
        <f>汇总表!Z6</f>
        <v>0</v>
      </c>
      <c r="F32" s="431"/>
      <c r="G32" s="440"/>
      <c r="H32" s="440"/>
      <c r="I32" s="433" t="e">
        <f t="shared" si="1"/>
        <v>#DIV/0!</v>
      </c>
      <c r="XEZ32" s="405"/>
    </row>
    <row r="33" spans="2:9 16380:16380">
      <c r="B33" s="429" t="s">
        <v>23</v>
      </c>
      <c r="C33" s="430">
        <f>汇总表!AA9</f>
        <v>0</v>
      </c>
      <c r="D33" s="431">
        <f>汇总表!AA5</f>
        <v>0</v>
      </c>
      <c r="E33" s="431">
        <f>汇总表!AA6</f>
        <v>0</v>
      </c>
      <c r="F33" s="431"/>
      <c r="G33" s="440"/>
      <c r="H33" s="440"/>
      <c r="I33" s="433" t="e">
        <f t="shared" si="1"/>
        <v>#DIV/0!</v>
      </c>
      <c r="XEZ33" s="405"/>
    </row>
    <row r="34" spans="2:9 16380:16380">
      <c r="B34" s="429" t="s">
        <v>19</v>
      </c>
      <c r="C34" s="430">
        <f>汇总表!AB9</f>
        <v>0</v>
      </c>
      <c r="D34" s="431">
        <f>汇总表!AB5</f>
        <v>0</v>
      </c>
      <c r="E34" s="431">
        <f>汇总表!AB6</f>
        <v>0</v>
      </c>
      <c r="F34" s="431"/>
      <c r="G34" s="440"/>
      <c r="H34" s="440"/>
      <c r="I34" s="433" t="e">
        <f t="shared" si="1"/>
        <v>#DIV/0!</v>
      </c>
      <c r="XEZ34" s="405"/>
    </row>
    <row r="35" spans="2:9 16380:16380">
      <c r="B35" s="429" t="s">
        <v>24</v>
      </c>
      <c r="C35" s="430">
        <f>汇总表!AC9</f>
        <v>0</v>
      </c>
      <c r="D35" s="431">
        <f>汇总表!AC5</f>
        <v>0</v>
      </c>
      <c r="E35" s="431">
        <f>汇总表!AC6</f>
        <v>0</v>
      </c>
      <c r="F35" s="431"/>
      <c r="G35" s="440"/>
      <c r="H35" s="440"/>
      <c r="I35" s="433" t="e">
        <f t="shared" si="1"/>
        <v>#DIV/0!</v>
      </c>
      <c r="XEZ35" s="405"/>
    </row>
    <row r="36" spans="2:9 16380:16380">
      <c r="B36" s="429"/>
      <c r="C36" s="430"/>
      <c r="D36" s="431"/>
      <c r="E36" s="431"/>
      <c r="F36" s="431"/>
      <c r="G36" s="440"/>
      <c r="H36" s="440"/>
      <c r="I36" s="433" t="e">
        <f t="shared" si="1"/>
        <v>#DIV/0!</v>
      </c>
      <c r="XEZ36" s="405"/>
    </row>
    <row r="37" spans="2:9 16380:16380">
      <c r="B37" s="425" t="s">
        <v>25</v>
      </c>
      <c r="C37" s="426">
        <f>SUM(D37:H37)</f>
        <v>0</v>
      </c>
      <c r="D37" s="426">
        <f>SUM(D38:D46)</f>
        <v>0</v>
      </c>
      <c r="E37" s="426">
        <f>SUM(E38:E46)</f>
        <v>0</v>
      </c>
      <c r="F37" s="426">
        <f>SUM(F38:F46)</f>
        <v>0</v>
      </c>
      <c r="G37" s="426">
        <f>SUM(G38:G46)</f>
        <v>0</v>
      </c>
      <c r="H37" s="438"/>
      <c r="I37" s="439" t="e">
        <f t="shared" si="1"/>
        <v>#DIV/0!</v>
      </c>
      <c r="XEZ37" s="405"/>
    </row>
    <row r="38" spans="2:9 16380:16380">
      <c r="B38" s="429" t="s">
        <v>26</v>
      </c>
      <c r="C38" s="430">
        <f>汇总表!AD9</f>
        <v>0</v>
      </c>
      <c r="D38" s="431">
        <f>汇总表!AD5</f>
        <v>0</v>
      </c>
      <c r="E38" s="431">
        <f>汇总表!AD6</f>
        <v>0</v>
      </c>
      <c r="F38" s="431"/>
      <c r="G38" s="431"/>
      <c r="H38" s="440"/>
      <c r="I38" s="433" t="e">
        <f t="shared" si="1"/>
        <v>#DIV/0!</v>
      </c>
      <c r="XEZ38" s="405"/>
    </row>
    <row r="39" spans="2:9 16380:16380">
      <c r="B39" s="429" t="s">
        <v>27</v>
      </c>
      <c r="C39" s="430">
        <f>汇总表!AE9</f>
        <v>0</v>
      </c>
      <c r="D39" s="431">
        <f>汇总表!AE5</f>
        <v>0</v>
      </c>
      <c r="E39" s="431">
        <f>汇总表!AE6</f>
        <v>0</v>
      </c>
      <c r="F39" s="431"/>
      <c r="G39" s="431"/>
      <c r="H39" s="440"/>
      <c r="I39" s="433" t="e">
        <f t="shared" ref="I39:I48" si="2">C39/$C$21</f>
        <v>#DIV/0!</v>
      </c>
      <c r="XEZ39" s="405"/>
    </row>
    <row r="40" spans="2:9 16380:16380">
      <c r="B40" s="429" t="s">
        <v>28</v>
      </c>
      <c r="C40" s="430">
        <f>汇总表!AF9</f>
        <v>0</v>
      </c>
      <c r="D40" s="431">
        <f>汇总表!AF5</f>
        <v>0</v>
      </c>
      <c r="E40" s="431">
        <f>汇总表!AF6</f>
        <v>0</v>
      </c>
      <c r="F40" s="431"/>
      <c r="G40" s="431"/>
      <c r="H40" s="440"/>
      <c r="I40" s="433" t="e">
        <f t="shared" si="2"/>
        <v>#DIV/0!</v>
      </c>
      <c r="XEZ40" s="405"/>
    </row>
    <row r="41" spans="2:9 16380:16380">
      <c r="B41" s="429" t="s">
        <v>29</v>
      </c>
      <c r="C41" s="430">
        <f>汇总表!AG9</f>
        <v>0</v>
      </c>
      <c r="D41" s="431">
        <f>汇总表!AG5</f>
        <v>0</v>
      </c>
      <c r="E41" s="431">
        <f>汇总表!AG6</f>
        <v>0</v>
      </c>
      <c r="F41" s="431"/>
      <c r="G41" s="431"/>
      <c r="H41" s="440"/>
      <c r="I41" s="433" t="e">
        <f t="shared" si="2"/>
        <v>#DIV/0!</v>
      </c>
      <c r="XEZ41" s="405"/>
    </row>
    <row r="42" spans="2:9 16380:16380">
      <c r="B42" s="429" t="s">
        <v>30</v>
      </c>
      <c r="C42" s="430">
        <f>汇总表!AH9</f>
        <v>0</v>
      </c>
      <c r="D42" s="431">
        <f>汇总表!AH5</f>
        <v>0</v>
      </c>
      <c r="E42" s="431">
        <f>汇总表!AH6</f>
        <v>0</v>
      </c>
      <c r="F42" s="431"/>
      <c r="G42" s="431"/>
      <c r="H42" s="440"/>
      <c r="I42" s="433" t="e">
        <f t="shared" si="2"/>
        <v>#DIV/0!</v>
      </c>
      <c r="XEZ42" s="405"/>
    </row>
    <row r="43" spans="2:9 16380:16380">
      <c r="B43" s="429" t="s">
        <v>19</v>
      </c>
      <c r="C43" s="430">
        <f>汇总表!AI9</f>
        <v>0</v>
      </c>
      <c r="D43" s="431">
        <f>汇总表!AI5</f>
        <v>0</v>
      </c>
      <c r="E43" s="431">
        <f>汇总表!AI6</f>
        <v>0</v>
      </c>
      <c r="F43" s="431"/>
      <c r="G43" s="431"/>
      <c r="H43" s="440"/>
      <c r="I43" s="433" t="e">
        <f t="shared" si="2"/>
        <v>#DIV/0!</v>
      </c>
      <c r="XEZ43" s="405"/>
    </row>
    <row r="44" spans="2:9 16380:16380">
      <c r="B44" s="429" t="s">
        <v>31</v>
      </c>
      <c r="C44" s="430">
        <f>汇总表!AJ9</f>
        <v>0</v>
      </c>
      <c r="D44" s="431">
        <f>汇总表!AJ5</f>
        <v>0</v>
      </c>
      <c r="E44" s="431">
        <f>汇总表!AJ6</f>
        <v>0</v>
      </c>
      <c r="F44" s="431"/>
      <c r="G44" s="431"/>
      <c r="H44" s="440"/>
      <c r="I44" s="433" t="e">
        <f t="shared" si="2"/>
        <v>#DIV/0!</v>
      </c>
      <c r="XEZ44" s="405"/>
    </row>
    <row r="45" spans="2:9 16380:16380">
      <c r="B45" s="429" t="s">
        <v>32</v>
      </c>
      <c r="C45" s="430">
        <f>汇总表!AK9</f>
        <v>0</v>
      </c>
      <c r="D45" s="431">
        <f>汇总表!AK5</f>
        <v>0</v>
      </c>
      <c r="E45" s="431">
        <f>汇总表!AK6</f>
        <v>0</v>
      </c>
      <c r="F45" s="431"/>
      <c r="G45" s="431"/>
      <c r="H45" s="440"/>
      <c r="I45" s="433" t="e">
        <f t="shared" si="2"/>
        <v>#DIV/0!</v>
      </c>
      <c r="XEZ45" s="405"/>
    </row>
    <row r="46" spans="2:9 16380:16380">
      <c r="B46" s="429"/>
      <c r="C46" s="430"/>
      <c r="D46" s="431"/>
      <c r="E46" s="431"/>
      <c r="F46" s="431"/>
      <c r="G46" s="440"/>
      <c r="H46" s="440"/>
      <c r="I46" s="433" t="e">
        <f t="shared" si="2"/>
        <v>#DIV/0!</v>
      </c>
      <c r="XEZ46" s="405"/>
    </row>
    <row r="47" spans="2:9 16380:16380">
      <c r="B47" s="425" t="s">
        <v>33</v>
      </c>
      <c r="C47" s="426">
        <f>SUM(D47:G47)</f>
        <v>0</v>
      </c>
      <c r="D47" s="426">
        <f>SUM(D48:D56)</f>
        <v>0</v>
      </c>
      <c r="E47" s="426">
        <f>SUM(E48:E56)</f>
        <v>0</v>
      </c>
      <c r="F47" s="426">
        <f>SUM(F48:F56)</f>
        <v>0</v>
      </c>
      <c r="G47" s="426">
        <f>SUM(G48:G56)</f>
        <v>0</v>
      </c>
      <c r="H47" s="438"/>
      <c r="I47" s="439" t="e">
        <f t="shared" si="2"/>
        <v>#DIV/0!</v>
      </c>
      <c r="XEZ47" s="405"/>
    </row>
    <row r="48" spans="2:9 16380:16380">
      <c r="B48" s="429" t="s">
        <v>34</v>
      </c>
      <c r="C48" s="430">
        <f>汇总表!AL9</f>
        <v>0</v>
      </c>
      <c r="D48" s="431">
        <f>汇总表!AL5</f>
        <v>0</v>
      </c>
      <c r="E48" s="431">
        <f>汇总表!AL6</f>
        <v>0</v>
      </c>
      <c r="F48" s="431"/>
      <c r="G48" s="440"/>
      <c r="H48" s="440"/>
      <c r="I48" s="433" t="e">
        <f t="shared" si="2"/>
        <v>#DIV/0!</v>
      </c>
      <c r="XEZ48" s="405"/>
    </row>
    <row r="49" spans="2:9 16380:16380">
      <c r="B49" s="429" t="s">
        <v>35</v>
      </c>
      <c r="C49" s="430">
        <f>汇总表!AM9</f>
        <v>0</v>
      </c>
      <c r="D49" s="431">
        <f>汇总表!AM5</f>
        <v>0</v>
      </c>
      <c r="E49" s="431">
        <f>汇总表!AM6</f>
        <v>0</v>
      </c>
      <c r="F49" s="431"/>
      <c r="G49" s="440"/>
      <c r="H49" s="440"/>
      <c r="I49" s="433" t="e">
        <f t="shared" ref="I49:I74" si="3">C49/$C$21</f>
        <v>#DIV/0!</v>
      </c>
      <c r="XEZ49" s="405"/>
    </row>
    <row r="50" spans="2:9 16380:16380">
      <c r="B50" s="429" t="s">
        <v>29</v>
      </c>
      <c r="C50" s="430">
        <f>汇总表!AN9</f>
        <v>0</v>
      </c>
      <c r="D50" s="431">
        <f>汇总表!AN5</f>
        <v>0</v>
      </c>
      <c r="E50" s="431">
        <f>汇总表!AN6</f>
        <v>0</v>
      </c>
      <c r="F50" s="431"/>
      <c r="G50" s="440"/>
      <c r="H50" s="440"/>
      <c r="I50" s="433" t="e">
        <f t="shared" si="3"/>
        <v>#DIV/0!</v>
      </c>
      <c r="XEZ50" s="405"/>
    </row>
    <row r="51" spans="2:9 16380:16380">
      <c r="B51" s="429" t="s">
        <v>30</v>
      </c>
      <c r="C51" s="430">
        <f>汇总表!AO9</f>
        <v>0</v>
      </c>
      <c r="D51" s="431">
        <f>汇总表!AO5</f>
        <v>0</v>
      </c>
      <c r="E51" s="431">
        <f>汇总表!AO6</f>
        <v>0</v>
      </c>
      <c r="F51" s="431"/>
      <c r="G51" s="440"/>
      <c r="H51" s="440"/>
      <c r="I51" s="433" t="e">
        <f t="shared" si="3"/>
        <v>#DIV/0!</v>
      </c>
      <c r="XEZ51" s="405"/>
    </row>
    <row r="52" spans="2:9 16380:16380">
      <c r="B52" s="429" t="s">
        <v>26</v>
      </c>
      <c r="C52" s="430">
        <f>汇总表!AP9</f>
        <v>0</v>
      </c>
      <c r="D52" s="431">
        <f>汇总表!AP5</f>
        <v>0</v>
      </c>
      <c r="E52" s="431">
        <f>汇总表!AP6</f>
        <v>0</v>
      </c>
      <c r="F52" s="431"/>
      <c r="G52" s="440"/>
      <c r="H52" s="440"/>
      <c r="I52" s="433" t="e">
        <f t="shared" si="3"/>
        <v>#DIV/0!</v>
      </c>
      <c r="XEZ52" s="405"/>
    </row>
    <row r="53" spans="2:9 16380:16380">
      <c r="B53" s="429" t="s">
        <v>36</v>
      </c>
      <c r="C53" s="430">
        <f>汇总表!AQ9</f>
        <v>0</v>
      </c>
      <c r="D53" s="431">
        <f>汇总表!AQ5</f>
        <v>0</v>
      </c>
      <c r="E53" s="431">
        <f>汇总表!AQ6</f>
        <v>0</v>
      </c>
      <c r="F53" s="431"/>
      <c r="G53" s="440"/>
      <c r="H53" s="440"/>
      <c r="I53" s="433" t="e">
        <f t="shared" si="3"/>
        <v>#DIV/0!</v>
      </c>
      <c r="XEZ53" s="405"/>
    </row>
    <row r="54" spans="2:9 16380:16380">
      <c r="B54" s="429" t="s">
        <v>37</v>
      </c>
      <c r="C54" s="430">
        <f>汇总表!AR9</f>
        <v>0</v>
      </c>
      <c r="D54" s="431">
        <f>汇总表!AR5</f>
        <v>0</v>
      </c>
      <c r="E54" s="431">
        <f>汇总表!AR6</f>
        <v>0</v>
      </c>
      <c r="F54" s="431"/>
      <c r="G54" s="440"/>
      <c r="H54" s="440"/>
      <c r="I54" s="433" t="e">
        <f t="shared" si="3"/>
        <v>#DIV/0!</v>
      </c>
      <c r="XEZ54" s="405"/>
    </row>
    <row r="55" spans="2:9 16380:16380">
      <c r="B55" s="429" t="s">
        <v>38</v>
      </c>
      <c r="C55" s="430">
        <f>汇总表!AS9</f>
        <v>0</v>
      </c>
      <c r="D55" s="431">
        <f>汇总表!AS5</f>
        <v>0</v>
      </c>
      <c r="E55" s="431">
        <f>汇总表!AS6</f>
        <v>0</v>
      </c>
      <c r="F55" s="431"/>
      <c r="G55" s="440"/>
      <c r="H55" s="440"/>
      <c r="I55" s="433" t="e">
        <f t="shared" si="3"/>
        <v>#DIV/0!</v>
      </c>
      <c r="XEZ55" s="405"/>
    </row>
    <row r="56" spans="2:9 16380:16380">
      <c r="B56" s="429" t="s">
        <v>32</v>
      </c>
      <c r="C56" s="430">
        <f>汇总表!AT9</f>
        <v>0</v>
      </c>
      <c r="D56" s="431">
        <f>汇总表!AT5</f>
        <v>0</v>
      </c>
      <c r="E56" s="431">
        <f>汇总表!AT6</f>
        <v>0</v>
      </c>
      <c r="F56" s="431"/>
      <c r="G56" s="440"/>
      <c r="H56" s="440"/>
      <c r="I56" s="433" t="e">
        <f t="shared" si="3"/>
        <v>#DIV/0!</v>
      </c>
      <c r="XEZ56" s="405"/>
    </row>
    <row r="57" spans="2:9 16380:16380">
      <c r="B57" s="425" t="s">
        <v>39</v>
      </c>
      <c r="C57" s="426">
        <f>C58+C60+C59</f>
        <v>0</v>
      </c>
      <c r="D57" s="426">
        <f>D58+D60+D59</f>
        <v>0</v>
      </c>
      <c r="E57" s="426">
        <f>E58+E60+E59</f>
        <v>0</v>
      </c>
      <c r="F57" s="426">
        <f>F58+F60+F59</f>
        <v>0</v>
      </c>
      <c r="G57" s="426">
        <f>G58+G60+G59</f>
        <v>0</v>
      </c>
      <c r="H57" s="438"/>
      <c r="I57" s="439" t="e">
        <f t="shared" si="3"/>
        <v>#DIV/0!</v>
      </c>
      <c r="XEZ57" s="405"/>
    </row>
    <row r="58" spans="2:9 16380:16380">
      <c r="B58" s="429" t="s">
        <v>40</v>
      </c>
      <c r="C58" s="430">
        <f>汇总表!AU9</f>
        <v>0</v>
      </c>
      <c r="D58" s="431">
        <f>汇总表!AU5</f>
        <v>0</v>
      </c>
      <c r="E58" s="431">
        <f>汇总表!AU6</f>
        <v>0</v>
      </c>
      <c r="F58" s="431"/>
      <c r="G58" s="440"/>
      <c r="H58" s="440"/>
      <c r="I58" s="433" t="e">
        <f t="shared" si="3"/>
        <v>#DIV/0!</v>
      </c>
      <c r="XEZ58" s="405"/>
    </row>
    <row r="59" spans="2:9 16380:16380">
      <c r="B59" s="429" t="s">
        <v>41</v>
      </c>
      <c r="C59" s="430">
        <f>汇总表!AV9</f>
        <v>0</v>
      </c>
      <c r="D59" s="431">
        <f>汇总表!AV5</f>
        <v>0</v>
      </c>
      <c r="E59" s="431">
        <f>汇总表!AV6</f>
        <v>0</v>
      </c>
      <c r="F59" s="431"/>
      <c r="G59" s="440"/>
      <c r="H59" s="440"/>
      <c r="I59" s="433" t="e">
        <f t="shared" si="3"/>
        <v>#DIV/0!</v>
      </c>
      <c r="XEZ59" s="405"/>
    </row>
    <row r="60" spans="2:9 16380:16380">
      <c r="B60" s="429" t="s">
        <v>42</v>
      </c>
      <c r="C60" s="430">
        <f>汇总表!AW9</f>
        <v>0</v>
      </c>
      <c r="D60" s="431">
        <f>汇总表!AW5</f>
        <v>0</v>
      </c>
      <c r="E60" s="431">
        <f>汇总表!AW6</f>
        <v>0</v>
      </c>
      <c r="F60" s="431"/>
      <c r="G60" s="440"/>
      <c r="H60" s="440"/>
      <c r="I60" s="433" t="e">
        <f t="shared" si="3"/>
        <v>#DIV/0!</v>
      </c>
      <c r="XEZ60" s="405"/>
    </row>
    <row r="61" spans="2:9 16380:16380">
      <c r="B61" s="425" t="s">
        <v>43</v>
      </c>
      <c r="C61" s="426">
        <f>SUM(D61:H61)</f>
        <v>0</v>
      </c>
      <c r="D61" s="434"/>
      <c r="E61" s="434"/>
      <c r="F61" s="434"/>
      <c r="G61" s="438">
        <v>0</v>
      </c>
      <c r="H61" s="438"/>
      <c r="I61" s="439" t="e">
        <f t="shared" si="3"/>
        <v>#DIV/0!</v>
      </c>
      <c r="XEZ61" s="405"/>
    </row>
    <row r="62" spans="2:9 16380:16380">
      <c r="B62" s="429" t="s">
        <v>44</v>
      </c>
      <c r="C62" s="430">
        <f>汇总表!BC9</f>
        <v>0</v>
      </c>
      <c r="D62" s="431">
        <f>汇总表!BC5</f>
        <v>0</v>
      </c>
      <c r="E62" s="431">
        <f>汇总表!BC6</f>
        <v>0</v>
      </c>
      <c r="F62" s="431"/>
      <c r="G62" s="440"/>
      <c r="H62" s="440"/>
      <c r="I62" s="433" t="e">
        <f t="shared" si="3"/>
        <v>#DIV/0!</v>
      </c>
      <c r="XEZ62" s="405"/>
    </row>
    <row r="63" spans="2:9 16380:16380">
      <c r="B63" s="429" t="s">
        <v>45</v>
      </c>
      <c r="C63" s="430">
        <f>汇总表!BC10</f>
        <v>0</v>
      </c>
      <c r="D63" s="431">
        <f>汇总表!BD5</f>
        <v>0</v>
      </c>
      <c r="E63" s="431">
        <f>汇总表!BD6</f>
        <v>0</v>
      </c>
      <c r="F63" s="431"/>
      <c r="G63" s="440"/>
      <c r="H63" s="440"/>
      <c r="I63" s="433" t="e">
        <f t="shared" si="3"/>
        <v>#DIV/0!</v>
      </c>
      <c r="XEZ63" s="405"/>
    </row>
    <row r="64" spans="2:9 16380:16380">
      <c r="B64" s="429"/>
      <c r="C64" s="430"/>
      <c r="D64" s="431"/>
      <c r="E64" s="431"/>
      <c r="F64" s="431"/>
      <c r="G64" s="440"/>
      <c r="H64" s="440"/>
      <c r="I64" s="433" t="e">
        <f t="shared" si="3"/>
        <v>#DIV/0!</v>
      </c>
      <c r="XEZ64" s="405"/>
    </row>
    <row r="65" spans="2:10 16380:16380">
      <c r="B65" s="425" t="s">
        <v>46</v>
      </c>
      <c r="C65" s="426">
        <f t="shared" ref="C65:H65" si="4">C66+C67</f>
        <v>0</v>
      </c>
      <c r="D65" s="426">
        <f t="shared" si="4"/>
        <v>0</v>
      </c>
      <c r="E65" s="426">
        <f t="shared" si="4"/>
        <v>0</v>
      </c>
      <c r="F65" s="426">
        <f t="shared" si="4"/>
        <v>0</v>
      </c>
      <c r="G65" s="426">
        <f t="shared" si="4"/>
        <v>0</v>
      </c>
      <c r="H65" s="426">
        <f t="shared" si="4"/>
        <v>0</v>
      </c>
      <c r="I65" s="439" t="e">
        <f t="shared" si="3"/>
        <v>#DIV/0!</v>
      </c>
      <c r="XEZ65" s="405"/>
    </row>
    <row r="66" spans="2:10 16380:16380">
      <c r="B66" s="441" t="s">
        <v>47</v>
      </c>
      <c r="C66" s="430">
        <f>汇总表!M9</f>
        <v>0</v>
      </c>
      <c r="D66" s="430">
        <f>汇总表!M5</f>
        <v>0</v>
      </c>
      <c r="E66" s="431">
        <f>汇总表!M6</f>
        <v>0</v>
      </c>
      <c r="F66" s="431"/>
      <c r="G66" s="440"/>
      <c r="H66" s="440"/>
      <c r="I66" s="433" t="e">
        <f t="shared" si="3"/>
        <v>#DIV/0!</v>
      </c>
      <c r="XEZ66" s="405"/>
    </row>
    <row r="67" spans="2:10 16380:16380">
      <c r="B67" s="441" t="s">
        <v>48</v>
      </c>
      <c r="C67" s="430">
        <f>SUM(D67:H67)</f>
        <v>0</v>
      </c>
      <c r="D67" s="431"/>
      <c r="E67" s="431"/>
      <c r="F67" s="431"/>
      <c r="G67" s="440"/>
      <c r="H67" s="440"/>
      <c r="I67" s="433" t="e">
        <f t="shared" si="3"/>
        <v>#DIV/0!</v>
      </c>
      <c r="XEZ67" s="405"/>
    </row>
    <row r="68" spans="2:10 16380:16380">
      <c r="B68" s="425" t="s">
        <v>49</v>
      </c>
      <c r="C68" s="426">
        <f>汇总表!BE9+汇总表!BF9</f>
        <v>0</v>
      </c>
      <c r="D68" s="434"/>
      <c r="E68" s="434"/>
      <c r="F68" s="434"/>
      <c r="G68" s="438">
        <v>0</v>
      </c>
      <c r="H68" s="438"/>
      <c r="I68" s="439" t="e">
        <f t="shared" si="3"/>
        <v>#DIV/0!</v>
      </c>
      <c r="XEZ68" s="405"/>
    </row>
    <row r="69" spans="2:10 16380:16380">
      <c r="B69" s="425" t="s">
        <v>50</v>
      </c>
      <c r="C69" s="426">
        <f>C70+C71+C72+C73</f>
        <v>0</v>
      </c>
      <c r="D69" s="426">
        <f>D70+D71+D72+D73</f>
        <v>0</v>
      </c>
      <c r="E69" s="426">
        <f>E70+E71+E72+E73</f>
        <v>0</v>
      </c>
      <c r="F69" s="426">
        <f>F70+F71+F72+F73</f>
        <v>0</v>
      </c>
      <c r="G69" s="426">
        <f>G70+G71+G72+G73</f>
        <v>0</v>
      </c>
      <c r="H69" s="438"/>
      <c r="I69" s="439" t="e">
        <f t="shared" si="3"/>
        <v>#DIV/0!</v>
      </c>
      <c r="XEZ69" s="405"/>
    </row>
    <row r="70" spans="2:10 16380:16380">
      <c r="B70" s="429" t="s">
        <v>51</v>
      </c>
      <c r="C70" s="430">
        <f t="shared" ref="C70:C74" si="5">SUM(D70:H70)</f>
        <v>0</v>
      </c>
      <c r="D70" s="431">
        <f>汇总表!AX5</f>
        <v>0</v>
      </c>
      <c r="E70" s="431">
        <f>汇总表!AX6</f>
        <v>0</v>
      </c>
      <c r="F70" s="431"/>
      <c r="G70" s="440">
        <v>0</v>
      </c>
      <c r="H70" s="440"/>
      <c r="I70" s="433" t="e">
        <f t="shared" si="3"/>
        <v>#DIV/0!</v>
      </c>
      <c r="XEZ70" s="405"/>
    </row>
    <row r="71" spans="2:10 16380:16380">
      <c r="B71" s="429" t="s">
        <v>52</v>
      </c>
      <c r="C71" s="430">
        <f t="shared" si="5"/>
        <v>0</v>
      </c>
      <c r="D71" s="431">
        <f>汇总表!AY5</f>
        <v>0</v>
      </c>
      <c r="E71" s="431">
        <f>汇总表!AY6</f>
        <v>0</v>
      </c>
      <c r="F71" s="431"/>
      <c r="G71" s="440">
        <v>0</v>
      </c>
      <c r="H71" s="440"/>
      <c r="I71" s="433" t="e">
        <f t="shared" si="3"/>
        <v>#DIV/0!</v>
      </c>
      <c r="XEZ71" s="405"/>
    </row>
    <row r="72" spans="2:10 16380:16380">
      <c r="B72" s="429" t="s">
        <v>53</v>
      </c>
      <c r="C72" s="430">
        <f t="shared" si="5"/>
        <v>0</v>
      </c>
      <c r="D72" s="431">
        <f>汇总表!AZ5</f>
        <v>0</v>
      </c>
      <c r="E72" s="431">
        <f>汇总表!AZ6</f>
        <v>0</v>
      </c>
      <c r="F72" s="431"/>
      <c r="G72" s="440">
        <v>0</v>
      </c>
      <c r="H72" s="440"/>
      <c r="I72" s="433" t="e">
        <f t="shared" si="3"/>
        <v>#DIV/0!</v>
      </c>
      <c r="XEZ72" s="405"/>
    </row>
    <row r="73" spans="2:10 16380:16380">
      <c r="B73" s="429" t="s">
        <v>54</v>
      </c>
      <c r="C73" s="430">
        <f t="shared" si="5"/>
        <v>0</v>
      </c>
      <c r="D73" s="430">
        <f>汇总表!BA5</f>
        <v>0</v>
      </c>
      <c r="E73" s="431">
        <f>汇总表!BA6</f>
        <v>0</v>
      </c>
      <c r="F73" s="431"/>
      <c r="G73" s="440">
        <v>0</v>
      </c>
      <c r="H73" s="440"/>
      <c r="I73" s="433" t="e">
        <f t="shared" si="3"/>
        <v>#DIV/0!</v>
      </c>
      <c r="XEZ73" s="405"/>
    </row>
    <row r="74" spans="2:10 16380:16380">
      <c r="B74" s="425" t="s">
        <v>55</v>
      </c>
      <c r="C74" s="426">
        <f t="shared" si="5"/>
        <v>0</v>
      </c>
      <c r="D74" s="434">
        <v>0</v>
      </c>
      <c r="E74" s="434">
        <v>0</v>
      </c>
      <c r="F74" s="434"/>
      <c r="G74" s="438">
        <v>0</v>
      </c>
      <c r="H74" s="438"/>
      <c r="I74" s="439" t="e">
        <f t="shared" si="3"/>
        <v>#DIV/0!</v>
      </c>
      <c r="XEZ74" s="405"/>
    </row>
    <row r="75" spans="2:10 16380:16380" ht="22.95" customHeight="1">
      <c r="B75" s="420" t="s">
        <v>56</v>
      </c>
      <c r="C75" s="442">
        <f>C20-C21</f>
        <v>0</v>
      </c>
      <c r="D75" s="442">
        <f>D20-D21</f>
        <v>0</v>
      </c>
      <c r="E75" s="442">
        <f>E20-E21</f>
        <v>0</v>
      </c>
      <c r="F75" s="422"/>
      <c r="G75" s="443"/>
      <c r="H75" s="443"/>
      <c r="I75" s="444"/>
      <c r="XEZ75" s="405"/>
    </row>
    <row r="76" spans="2:10 16380:16380" s="403" customFormat="1" ht="24" customHeight="1">
      <c r="B76" s="445" t="s">
        <v>57</v>
      </c>
      <c r="C76" s="446">
        <f>C75+C12</f>
        <v>0</v>
      </c>
      <c r="D76" s="446">
        <f>D75+D12</f>
        <v>0</v>
      </c>
      <c r="E76" s="446">
        <f>E75+E12</f>
        <v>0</v>
      </c>
      <c r="F76" s="446">
        <f>F75+F12</f>
        <v>0</v>
      </c>
      <c r="G76" s="446">
        <f>G75+G12</f>
        <v>0</v>
      </c>
      <c r="H76" s="447">
        <f>H12+H20-H21</f>
        <v>0</v>
      </c>
      <c r="I76" s="448"/>
      <c r="J76" s="403">
        <f>D75-'1.建行Q1'!R23</f>
        <v>0</v>
      </c>
    </row>
    <row r="77" spans="2:10 16380:16380" s="404" customFormat="1" ht="34.049999999999997" customHeight="1">
      <c r="B77" s="449" t="s">
        <v>58</v>
      </c>
      <c r="C77" s="450">
        <f>D20+E20+F20+G20+H20</f>
        <v>0</v>
      </c>
      <c r="D77" s="450">
        <f>E20+F20+G20+H20+I20</f>
        <v>0</v>
      </c>
      <c r="E77" s="451"/>
      <c r="F77" s="452" t="s">
        <v>59</v>
      </c>
      <c r="G77" s="453">
        <f>D21+E21+F21+G21+H21</f>
        <v>0</v>
      </c>
      <c r="H77" s="454"/>
      <c r="I77" s="455"/>
    </row>
    <row r="78" spans="2:10 16380:16380" s="404" customFormat="1" ht="34.049999999999997" customHeight="1">
      <c r="B78" s="456" t="s">
        <v>60</v>
      </c>
      <c r="C78" s="457">
        <f>C77-G77</f>
        <v>0</v>
      </c>
      <c r="D78" s="457">
        <f>D77-H77</f>
        <v>0</v>
      </c>
      <c r="E78" s="458"/>
      <c r="F78" s="459" t="s">
        <v>61</v>
      </c>
      <c r="G78" s="460" t="e">
        <f>G77/C77</f>
        <v>#DIV/0!</v>
      </c>
      <c r="H78" s="461"/>
      <c r="I78" s="462"/>
    </row>
    <row r="81" spans="2:9 16380:16380">
      <c r="B81" s="463" t="s">
        <v>1</v>
      </c>
      <c r="C81" s="464" t="s">
        <v>2</v>
      </c>
      <c r="D81" s="463" t="s">
        <v>3</v>
      </c>
      <c r="E81" s="463" t="s">
        <v>4</v>
      </c>
      <c r="F81" s="463" t="s">
        <v>5</v>
      </c>
      <c r="G81" s="463" t="s">
        <v>6</v>
      </c>
      <c r="H81" s="463"/>
      <c r="I81" s="465"/>
    </row>
    <row r="82" spans="2:9 16380:16380">
      <c r="B82" s="466" t="s">
        <v>62</v>
      </c>
      <c r="C82" s="466">
        <f>SUM(D82:G82)</f>
        <v>0</v>
      </c>
      <c r="D82" s="466">
        <f>D20</f>
        <v>0</v>
      </c>
      <c r="E82" s="466">
        <f>E20</f>
        <v>0</v>
      </c>
      <c r="F82" s="466"/>
      <c r="G82" s="466"/>
      <c r="H82" s="466"/>
      <c r="I82" s="465"/>
    </row>
    <row r="83" spans="2:9 16380:16380">
      <c r="B83" s="466" t="s">
        <v>63</v>
      </c>
      <c r="C83" s="466">
        <f>SUM(D83:G83)</f>
        <v>0</v>
      </c>
      <c r="D83" s="466">
        <f>D21</f>
        <v>0</v>
      </c>
      <c r="E83" s="466">
        <f>E21</f>
        <v>0</v>
      </c>
      <c r="F83" s="466"/>
      <c r="G83" s="466"/>
      <c r="H83" s="466"/>
      <c r="I83" s="465"/>
    </row>
    <row r="84" spans="2:9 16380:16380">
      <c r="B84" s="466" t="s">
        <v>64</v>
      </c>
      <c r="C84" s="466"/>
      <c r="D84" s="466">
        <f>D75</f>
        <v>0</v>
      </c>
      <c r="E84" s="466">
        <f>D84+E82-E83</f>
        <v>0</v>
      </c>
      <c r="F84" s="466"/>
      <c r="G84" s="466"/>
      <c r="H84" s="466"/>
      <c r="I84" s="465"/>
    </row>
    <row r="85" spans="2:9 16380:16380">
      <c r="C85" s="467"/>
      <c r="H85" s="408"/>
      <c r="I85" s="468"/>
      <c r="XEZ85" s="405"/>
    </row>
  </sheetData>
  <mergeCells count="1">
    <mergeCell ref="B1:H1"/>
  </mergeCells>
  <phoneticPr fontId="46" type="noConversion"/>
  <pageMargins left="0.7" right="0.7" top="0.75" bottom="0.75" header="0.3" footer="0.3"/>
  <pageSetup paperSize="9" orientation="portrait"/>
  <ignoredErrors>
    <ignoredError sqref="H37:H45 J13:XEZ13 H13 A85:XEZ85 A84:C84 H82:XEZ84 I81:XEZ81 A81:B83 A79:XEZ80 H78:XEZ78 O77:XEZ77 H77:J77 A77:B78 E77:F78 K76:XEZ76 A76:G76 I76 H75:XEZ75 F75 A75:B75 A70:C72 F70:H74 A73:D73 A74 C74:D74 H69 A68:A69 D67:H67 A67:B67 C68:H68 D66 F66:H66 A65:A66 A64:H64 H62:H63 A62:C63 F62:F63 D61:H61 A61 D58:D60 A58:B60 F58:F60 A57 A48:B56 F48:F56 H47:H60 A47 J37:XEZ74 A46:H46 A38:B45 A37 C37 A27:F30 F23:F26 J21:XEZ30 H21:H30 F21 A26:B26 A24:C25 A19:B23 A1 C1:XEZ1 A2:L5 P2:XEZ5 A6:XEZ11 A12:B13 H12:XEZ12 A14:D16 F14:XEZ16 A17:XEZ18 F19:XEZ19 E20:XEZ20" evalError="1"/>
  </ignoredErrors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1:BF9"/>
  <sheetViews>
    <sheetView workbookViewId="0">
      <pane xSplit="2" ySplit="4" topLeftCell="C5" activePane="bottomRight" state="frozen"/>
      <selection pane="topRight"/>
      <selection pane="bottomLeft"/>
      <selection pane="bottomRight" activeCell="N5" sqref="N5"/>
    </sheetView>
  </sheetViews>
  <sheetFormatPr defaultColWidth="9" defaultRowHeight="15.6" outlineLevelCol="1"/>
  <cols>
    <col min="1" max="1" width="13.5" style="389" customWidth="1"/>
    <col min="2" max="2" width="7" style="390" customWidth="1"/>
    <col min="3" max="6" width="6.296875" style="194" customWidth="1" outlineLevel="1"/>
    <col min="7" max="8" width="6.296875" style="195" customWidth="1" outlineLevel="1"/>
    <col min="9" max="9" width="9.5" style="195" customWidth="1"/>
    <col min="10" max="10" width="8.19921875" style="195" customWidth="1" outlineLevel="1"/>
    <col min="11" max="11" width="4.19921875" style="195" customWidth="1" outlineLevel="1"/>
    <col min="12" max="12" width="4.8984375" style="195" customWidth="1"/>
    <col min="13" max="13" width="7.796875" style="195" customWidth="1"/>
    <col min="14" max="14" width="7.69921875" style="195" customWidth="1" outlineLevel="1"/>
    <col min="15" max="17" width="5.3984375" style="195" customWidth="1" outlineLevel="1"/>
    <col min="18" max="18" width="7.8984375" style="195" customWidth="1" outlineLevel="1"/>
    <col min="19" max="19" width="9.296875" style="195" customWidth="1" outlineLevel="1"/>
    <col min="20" max="20" width="12.5" style="195" customWidth="1"/>
    <col min="21" max="21" width="6.296875" style="195" customWidth="1"/>
    <col min="22" max="22" width="6.296875" style="198" customWidth="1"/>
    <col min="23" max="23" width="9.5" style="198" customWidth="1"/>
    <col min="24" max="25" width="5.3984375" style="195" customWidth="1" outlineLevel="1"/>
    <col min="26" max="26" width="6.09765625" style="195" customWidth="1" outlineLevel="1"/>
    <col min="27" max="27" width="6.59765625" style="195" customWidth="1" outlineLevel="1"/>
    <col min="28" max="31" width="5.3984375" style="195" customWidth="1" outlineLevel="1"/>
    <col min="32" max="32" width="5.09765625" style="199" customWidth="1" outlineLevel="1"/>
    <col min="33" max="33" width="4.09765625" style="199" customWidth="1" outlineLevel="1"/>
    <col min="34" max="34" width="4.59765625" style="199" customWidth="1" outlineLevel="1"/>
    <col min="35" max="39" width="3.8984375" style="199" customWidth="1" outlineLevel="1"/>
    <col min="40" max="40" width="4.5" style="195" customWidth="1" outlineLevel="1"/>
    <col min="41" max="41" width="6.19921875" style="195" customWidth="1" outlineLevel="1"/>
    <col min="42" max="42" width="6.59765625" style="195" customWidth="1" outlineLevel="1"/>
    <col min="43" max="46" width="5.19921875" style="195" customWidth="1" outlineLevel="1"/>
    <col min="47" max="47" width="6.09765625" style="195" customWidth="1" outlineLevel="1"/>
    <col min="48" max="48" width="6.09765625" style="195" customWidth="1"/>
    <col min="49" max="49" width="7.69921875" style="195" customWidth="1"/>
    <col min="50" max="51" width="4.8984375" style="195" customWidth="1"/>
    <col min="52" max="52" width="5" style="195" customWidth="1"/>
    <col min="53" max="53" width="7.09765625" style="195" customWidth="1"/>
    <col min="54" max="54" width="4.09765625" style="195" customWidth="1"/>
    <col min="55" max="55" width="4.19921875" style="195" customWidth="1"/>
    <col min="56" max="56" width="6.59765625" style="195" customWidth="1"/>
    <col min="57" max="57" width="6.3984375" style="195" customWidth="1"/>
    <col min="58" max="58" width="6.8984375" style="195" customWidth="1"/>
    <col min="59" max="16384" width="9" style="195"/>
  </cols>
  <sheetData>
    <row r="1" spans="1:58">
      <c r="A1" s="391"/>
      <c r="T1" s="204"/>
      <c r="U1" s="204"/>
    </row>
    <row r="2" spans="1:58" s="189" customFormat="1" ht="25.5" customHeight="1">
      <c r="A2" s="471" t="s">
        <v>65</v>
      </c>
      <c r="B2" s="473" t="s">
        <v>66</v>
      </c>
      <c r="C2" s="475" t="s">
        <v>67</v>
      </c>
      <c r="D2" s="489" t="s">
        <v>68</v>
      </c>
      <c r="E2" s="491" t="s">
        <v>69</v>
      </c>
      <c r="F2" s="493" t="s">
        <v>70</v>
      </c>
      <c r="G2" s="495" t="s">
        <v>71</v>
      </c>
      <c r="H2" s="497" t="s">
        <v>72</v>
      </c>
      <c r="I2" s="499" t="s">
        <v>73</v>
      </c>
      <c r="J2" s="501" t="s">
        <v>74</v>
      </c>
      <c r="K2" s="503" t="s">
        <v>75</v>
      </c>
      <c r="L2" s="505" t="s">
        <v>76</v>
      </c>
      <c r="M2" s="507" t="s">
        <v>77</v>
      </c>
      <c r="N2" s="507" t="s">
        <v>78</v>
      </c>
      <c r="O2" s="509" t="s">
        <v>79</v>
      </c>
      <c r="P2" s="509"/>
      <c r="Q2" s="509"/>
      <c r="R2" s="523" t="s">
        <v>80</v>
      </c>
      <c r="S2" s="525" t="s">
        <v>81</v>
      </c>
      <c r="T2" s="527" t="s">
        <v>82</v>
      </c>
      <c r="U2" s="529" t="s">
        <v>83</v>
      </c>
      <c r="V2" s="510" t="s">
        <v>73</v>
      </c>
      <c r="W2" s="511"/>
      <c r="X2" s="511"/>
      <c r="Y2" s="512"/>
      <c r="Z2" s="513" t="s">
        <v>67</v>
      </c>
      <c r="AA2" s="514"/>
      <c r="AB2" s="514"/>
      <c r="AC2" s="515"/>
      <c r="AD2" s="516" t="s">
        <v>68</v>
      </c>
      <c r="AE2" s="517"/>
      <c r="AF2" s="518"/>
      <c r="AG2" s="518"/>
      <c r="AH2" s="518"/>
      <c r="AI2" s="518"/>
      <c r="AJ2" s="518"/>
      <c r="AK2" s="519"/>
      <c r="AL2" s="520" t="s">
        <v>69</v>
      </c>
      <c r="AM2" s="521"/>
      <c r="AN2" s="521"/>
      <c r="AO2" s="521"/>
      <c r="AP2" s="521"/>
      <c r="AQ2" s="521"/>
      <c r="AR2" s="521"/>
      <c r="AS2" s="521"/>
      <c r="AT2" s="522"/>
      <c r="AU2" s="477" t="s">
        <v>70</v>
      </c>
      <c r="AV2" s="478"/>
      <c r="AW2" s="479"/>
      <c r="AX2" s="480" t="s">
        <v>71</v>
      </c>
      <c r="AY2" s="481"/>
      <c r="AZ2" s="481"/>
      <c r="BA2" s="481"/>
      <c r="BB2" s="482"/>
      <c r="BC2" s="483" t="s">
        <v>84</v>
      </c>
      <c r="BD2" s="484"/>
      <c r="BE2" s="485" t="s">
        <v>85</v>
      </c>
      <c r="BF2" s="486"/>
    </row>
    <row r="3" spans="1:58" s="190" customFormat="1" ht="30" customHeight="1">
      <c r="A3" s="472"/>
      <c r="B3" s="474"/>
      <c r="C3" s="476"/>
      <c r="D3" s="490"/>
      <c r="E3" s="492"/>
      <c r="F3" s="494"/>
      <c r="G3" s="496"/>
      <c r="H3" s="498"/>
      <c r="I3" s="500"/>
      <c r="J3" s="502"/>
      <c r="K3" s="504"/>
      <c r="L3" s="506"/>
      <c r="M3" s="508"/>
      <c r="N3" s="508"/>
      <c r="O3" s="205" t="s">
        <v>10</v>
      </c>
      <c r="P3" s="206" t="s">
        <v>11</v>
      </c>
      <c r="Q3" s="206" t="s">
        <v>12</v>
      </c>
      <c r="R3" s="524"/>
      <c r="S3" s="526"/>
      <c r="T3" s="528"/>
      <c r="U3" s="530"/>
      <c r="V3" s="207" t="s">
        <v>17</v>
      </c>
      <c r="W3" s="207" t="s">
        <v>18</v>
      </c>
      <c r="X3" s="207" t="s">
        <v>19</v>
      </c>
      <c r="Y3" s="207" t="s">
        <v>20</v>
      </c>
      <c r="Z3" s="208" t="s">
        <v>22</v>
      </c>
      <c r="AA3" s="208" t="s">
        <v>23</v>
      </c>
      <c r="AB3" s="208" t="s">
        <v>19</v>
      </c>
      <c r="AC3" s="208" t="s">
        <v>24</v>
      </c>
      <c r="AD3" s="209" t="s">
        <v>26</v>
      </c>
      <c r="AE3" s="209" t="s">
        <v>27</v>
      </c>
      <c r="AF3" s="209" t="s">
        <v>28</v>
      </c>
      <c r="AG3" s="209" t="s">
        <v>29</v>
      </c>
      <c r="AH3" s="209" t="s">
        <v>30</v>
      </c>
      <c r="AI3" s="209" t="s">
        <v>19</v>
      </c>
      <c r="AJ3" s="209" t="s">
        <v>31</v>
      </c>
      <c r="AK3" s="210" t="s">
        <v>32</v>
      </c>
      <c r="AL3" s="211" t="s">
        <v>34</v>
      </c>
      <c r="AM3" s="212" t="s">
        <v>35</v>
      </c>
      <c r="AN3" s="212" t="s">
        <v>29</v>
      </c>
      <c r="AO3" s="212" t="s">
        <v>30</v>
      </c>
      <c r="AP3" s="212" t="s">
        <v>26</v>
      </c>
      <c r="AQ3" s="212" t="s">
        <v>36</v>
      </c>
      <c r="AR3" s="212" t="s">
        <v>37</v>
      </c>
      <c r="AS3" s="212" t="s">
        <v>38</v>
      </c>
      <c r="AT3" s="213" t="s">
        <v>32</v>
      </c>
      <c r="AU3" s="214" t="s">
        <v>40</v>
      </c>
      <c r="AV3" s="215" t="s">
        <v>41</v>
      </c>
      <c r="AW3" s="216" t="s">
        <v>42</v>
      </c>
      <c r="AX3" s="217" t="s">
        <v>51</v>
      </c>
      <c r="AY3" s="218" t="s">
        <v>52</v>
      </c>
      <c r="AZ3" s="218" t="s">
        <v>53</v>
      </c>
      <c r="BA3" s="218" t="s">
        <v>86</v>
      </c>
      <c r="BB3" s="219" t="s">
        <v>87</v>
      </c>
      <c r="BC3" s="220" t="s">
        <v>44</v>
      </c>
      <c r="BD3" s="221" t="s">
        <v>45</v>
      </c>
      <c r="BE3" s="222" t="s">
        <v>88</v>
      </c>
      <c r="BF3" s="223" t="s">
        <v>89</v>
      </c>
    </row>
    <row r="4" spans="1:58" s="191" customFormat="1" ht="20.25" customHeight="1">
      <c r="A4" s="487" t="s">
        <v>90</v>
      </c>
      <c r="B4" s="488"/>
      <c r="C4" s="224"/>
      <c r="D4" s="225"/>
      <c r="E4" s="225"/>
      <c r="F4" s="225"/>
      <c r="G4" s="225"/>
      <c r="H4" s="226"/>
      <c r="I4" s="226"/>
      <c r="J4" s="225">
        <v>0</v>
      </c>
      <c r="K4" s="226"/>
      <c r="L4" s="226"/>
      <c r="M4" s="226"/>
      <c r="N4" s="226"/>
      <c r="O4" s="226"/>
      <c r="P4" s="226"/>
      <c r="Q4" s="226"/>
      <c r="R4" s="392">
        <v>0</v>
      </c>
      <c r="S4" s="226"/>
      <c r="T4" s="226"/>
      <c r="U4" s="228"/>
      <c r="V4" s="226"/>
      <c r="W4" s="226"/>
      <c r="X4" s="226"/>
      <c r="Y4" s="226"/>
      <c r="Z4" s="226"/>
      <c r="AA4" s="229"/>
      <c r="AB4" s="229"/>
      <c r="AC4" s="226"/>
      <c r="AD4" s="226"/>
      <c r="AE4" s="226"/>
      <c r="AF4" s="226"/>
      <c r="AG4" s="226"/>
      <c r="AH4" s="226"/>
      <c r="AI4" s="226"/>
      <c r="AJ4" s="226"/>
      <c r="AK4" s="226"/>
      <c r="AL4" s="226"/>
      <c r="AM4" s="226"/>
      <c r="AN4" s="226"/>
      <c r="AO4" s="226"/>
      <c r="AP4" s="226"/>
      <c r="AQ4" s="226"/>
      <c r="AR4" s="226"/>
      <c r="AS4" s="226"/>
      <c r="AT4" s="226"/>
      <c r="AU4" s="226"/>
      <c r="AV4" s="226"/>
      <c r="AW4" s="226"/>
      <c r="AX4" s="226"/>
      <c r="AY4" s="226"/>
      <c r="AZ4" s="226"/>
      <c r="BA4" s="226"/>
      <c r="BB4" s="226"/>
      <c r="BC4" s="226"/>
      <c r="BD4" s="230"/>
      <c r="BE4" s="226"/>
      <c r="BF4" s="230"/>
    </row>
    <row r="5" spans="1:58" s="191" customFormat="1" ht="18" customHeight="1">
      <c r="A5" s="231" t="s">
        <v>91</v>
      </c>
      <c r="B5" s="393" t="s">
        <v>3</v>
      </c>
      <c r="C5" s="233">
        <f>'1.建行Q1'!C23</f>
        <v>0</v>
      </c>
      <c r="D5" s="233">
        <f>'1.建行Q1'!D23</f>
        <v>0</v>
      </c>
      <c r="E5" s="233">
        <f>'1.建行Q1'!E23</f>
        <v>0</v>
      </c>
      <c r="F5" s="233">
        <f>'1.建行Q1'!F23</f>
        <v>0</v>
      </c>
      <c r="G5" s="233">
        <f>'1.建行Q1'!G23</f>
        <v>0</v>
      </c>
      <c r="H5" s="233">
        <f>'1.建行Q1'!H23</f>
        <v>0</v>
      </c>
      <c r="I5" s="233">
        <f>'1.建行Q1'!I23</f>
        <v>0</v>
      </c>
      <c r="J5" s="233">
        <f>'1.建行Q1'!J23</f>
        <v>0</v>
      </c>
      <c r="K5" s="233">
        <f>'1.建行Q1'!K23</f>
        <v>0</v>
      </c>
      <c r="L5" s="233">
        <f>'1.建行Q1'!L23</f>
        <v>0</v>
      </c>
      <c r="M5" s="233">
        <f>'1.建行Q1'!M23</f>
        <v>0</v>
      </c>
      <c r="N5" s="233">
        <f>'1.建行Q1'!N23</f>
        <v>0</v>
      </c>
      <c r="O5" s="233">
        <f>'1.建行Q1'!O23</f>
        <v>0</v>
      </c>
      <c r="P5" s="233">
        <f>'1.建行Q1'!P23</f>
        <v>0</v>
      </c>
      <c r="Q5" s="233">
        <f>'1.建行Q1'!Q23</f>
        <v>0</v>
      </c>
      <c r="R5" s="233">
        <f>'1.建行Q1'!R23</f>
        <v>0</v>
      </c>
      <c r="S5" s="233">
        <f>'1.建行Q1'!S23</f>
        <v>0</v>
      </c>
      <c r="T5" s="233">
        <f>'1.建行Q1'!T23</f>
        <v>0</v>
      </c>
      <c r="U5" s="233">
        <f>'1.建行Q1'!U23</f>
        <v>0</v>
      </c>
      <c r="V5" s="233">
        <f>'1.建行Q1'!V23</f>
        <v>0</v>
      </c>
      <c r="W5" s="233">
        <f>'1.建行Q1'!W23</f>
        <v>0</v>
      </c>
      <c r="X5" s="233">
        <f>'1.建行Q1'!X23</f>
        <v>0</v>
      </c>
      <c r="Y5" s="233">
        <f>'1.建行Q1'!Y23</f>
        <v>0</v>
      </c>
      <c r="Z5" s="233">
        <f>'1.建行Q1'!Z23</f>
        <v>0</v>
      </c>
      <c r="AA5" s="233">
        <f>'1.建行Q1'!AA23</f>
        <v>0</v>
      </c>
      <c r="AB5" s="233">
        <f>'1.建行Q1'!AB23</f>
        <v>0</v>
      </c>
      <c r="AC5" s="233">
        <f>'1.建行Q1'!AC23</f>
        <v>0</v>
      </c>
      <c r="AD5" s="233">
        <f>'1.建行Q1'!AD23</f>
        <v>0</v>
      </c>
      <c r="AE5" s="233">
        <f>'1.建行Q1'!AE23</f>
        <v>0</v>
      </c>
      <c r="AF5" s="233">
        <f>'1.建行Q1'!AF23</f>
        <v>0</v>
      </c>
      <c r="AG5" s="233">
        <f>'1.建行Q1'!AG23</f>
        <v>0</v>
      </c>
      <c r="AH5" s="233">
        <f>'1.建行Q1'!AH23</f>
        <v>0</v>
      </c>
      <c r="AI5" s="233">
        <f>'1.建行Q1'!AI23</f>
        <v>0</v>
      </c>
      <c r="AJ5" s="233">
        <f>'1.建行Q1'!AJ23</f>
        <v>0</v>
      </c>
      <c r="AK5" s="233">
        <f>'1.建行Q1'!AK23</f>
        <v>0</v>
      </c>
      <c r="AL5" s="233">
        <f>'1.建行Q1'!AL23</f>
        <v>0</v>
      </c>
      <c r="AM5" s="233">
        <f>'1.建行Q1'!AM23</f>
        <v>0</v>
      </c>
      <c r="AN5" s="233">
        <f>'1.建行Q1'!AN23</f>
        <v>0</v>
      </c>
      <c r="AO5" s="233">
        <f>'1.建行Q1'!AO23</f>
        <v>0</v>
      </c>
      <c r="AP5" s="233">
        <f>'1.建行Q1'!AP23</f>
        <v>0</v>
      </c>
      <c r="AQ5" s="233">
        <f>'1.建行Q1'!AQ23</f>
        <v>0</v>
      </c>
      <c r="AR5" s="233">
        <f>'1.建行Q1'!AR23</f>
        <v>0</v>
      </c>
      <c r="AS5" s="233">
        <f>'1.建行Q1'!AS23</f>
        <v>0</v>
      </c>
      <c r="AT5" s="233">
        <f>'1.建行Q1'!AT23</f>
        <v>0</v>
      </c>
      <c r="AU5" s="233">
        <f>'1.建行Q1'!AU23</f>
        <v>0</v>
      </c>
      <c r="AV5" s="233">
        <f>'1.建行Q1'!AV23</f>
        <v>0</v>
      </c>
      <c r="AW5" s="233">
        <f>'1.建行Q1'!AW23</f>
        <v>0</v>
      </c>
      <c r="AX5" s="233">
        <f>'1.建行Q1'!AX23</f>
        <v>0</v>
      </c>
      <c r="AY5" s="233">
        <f>'1.建行Q1'!AY23</f>
        <v>0</v>
      </c>
      <c r="AZ5" s="233">
        <f>'1.建行Q1'!AZ23</f>
        <v>0</v>
      </c>
      <c r="BA5" s="233">
        <f>'1.建行Q1'!BA23</f>
        <v>0</v>
      </c>
      <c r="BB5" s="233">
        <f>'1.建行Q1'!BB23</f>
        <v>0</v>
      </c>
      <c r="BC5" s="233">
        <f>'1.建行Q1'!BC23</f>
        <v>0</v>
      </c>
      <c r="BD5" s="233">
        <f>'1.建行Q1'!BD23</f>
        <v>0</v>
      </c>
      <c r="BE5" s="233">
        <f>'1.建行Q1'!BE23</f>
        <v>0</v>
      </c>
      <c r="BF5" s="233">
        <f>'1.建行Q1'!BF23</f>
        <v>0</v>
      </c>
    </row>
    <row r="6" spans="1:58" s="4" customFormat="1" ht="16.95" customHeight="1">
      <c r="A6" s="231" t="s">
        <v>91</v>
      </c>
      <c r="B6" s="393" t="s">
        <v>4</v>
      </c>
      <c r="C6" s="233">
        <f>'1.建行Q2'!C23</f>
        <v>0</v>
      </c>
      <c r="D6" s="233">
        <f>'1.建行Q2'!D23</f>
        <v>0</v>
      </c>
      <c r="E6" s="233">
        <f>'1.建行Q2'!E23</f>
        <v>0</v>
      </c>
      <c r="F6" s="233">
        <f>'1.建行Q2'!F23</f>
        <v>0</v>
      </c>
      <c r="G6" s="233">
        <f>'1.建行Q2'!G23</f>
        <v>0</v>
      </c>
      <c r="H6" s="233">
        <f>'1.建行Q2'!H23</f>
        <v>0</v>
      </c>
      <c r="I6" s="233">
        <f>'1.建行Q2'!I23</f>
        <v>0</v>
      </c>
      <c r="J6" s="233">
        <f>'1.建行Q2'!J23</f>
        <v>0</v>
      </c>
      <c r="K6" s="233">
        <f>'1.建行Q2'!K23</f>
        <v>0</v>
      </c>
      <c r="L6" s="233">
        <f>'1.建行Q2'!L23</f>
        <v>0</v>
      </c>
      <c r="M6" s="233">
        <f>'1.建行Q2'!M23</f>
        <v>0</v>
      </c>
      <c r="N6" s="233">
        <f>'1.建行Q2'!N23</f>
        <v>0</v>
      </c>
      <c r="O6" s="233">
        <f>'1.建行Q2'!O23</f>
        <v>0</v>
      </c>
      <c r="P6" s="233">
        <f>'1.建行Q2'!P23</f>
        <v>0</v>
      </c>
      <c r="Q6" s="233">
        <f>'1.建行Q2'!Q23</f>
        <v>0</v>
      </c>
      <c r="R6" s="233">
        <f>'1.建行Q2'!R23</f>
        <v>0</v>
      </c>
      <c r="S6" s="233">
        <f>'1.建行Q2'!S23</f>
        <v>0</v>
      </c>
      <c r="T6" s="233">
        <f>'1.建行Q2'!T23</f>
        <v>0</v>
      </c>
      <c r="U6" s="233">
        <f>'1.建行Q2'!U23</f>
        <v>0</v>
      </c>
      <c r="V6" s="233">
        <f>'1.建行Q2'!V23</f>
        <v>0</v>
      </c>
      <c r="W6" s="233">
        <f>'1.建行Q2'!W23</f>
        <v>0</v>
      </c>
      <c r="X6" s="233">
        <f>'1.建行Q2'!X23</f>
        <v>0</v>
      </c>
      <c r="Y6" s="233">
        <f>'1.建行Q2'!Y23</f>
        <v>0</v>
      </c>
      <c r="Z6" s="233">
        <f>'1.建行Q2'!Z23</f>
        <v>0</v>
      </c>
      <c r="AA6" s="233">
        <f>'1.建行Q2'!AA23</f>
        <v>0</v>
      </c>
      <c r="AB6" s="233">
        <f>'1.建行Q2'!AB23</f>
        <v>0</v>
      </c>
      <c r="AC6" s="233">
        <f>'1.建行Q2'!AC23</f>
        <v>0</v>
      </c>
      <c r="AD6" s="233">
        <f>'1.建行Q2'!AD23</f>
        <v>0</v>
      </c>
      <c r="AE6" s="233">
        <f>'1.建行Q2'!AE23</f>
        <v>0</v>
      </c>
      <c r="AF6" s="233">
        <f>'1.建行Q2'!AF23</f>
        <v>0</v>
      </c>
      <c r="AG6" s="233">
        <f>'1.建行Q2'!AG23</f>
        <v>0</v>
      </c>
      <c r="AH6" s="233">
        <f>'1.建行Q2'!AH23</f>
        <v>0</v>
      </c>
      <c r="AI6" s="233">
        <f>'1.建行Q2'!AI23</f>
        <v>0</v>
      </c>
      <c r="AJ6" s="233">
        <f>'1.建行Q2'!AJ23</f>
        <v>0</v>
      </c>
      <c r="AK6" s="233">
        <f>'1.建行Q2'!AK23</f>
        <v>0</v>
      </c>
      <c r="AL6" s="233">
        <f>'1.建行Q2'!AL23</f>
        <v>0</v>
      </c>
      <c r="AM6" s="233">
        <f>'1.建行Q2'!AM23</f>
        <v>0</v>
      </c>
      <c r="AN6" s="233">
        <f>'1.建行Q2'!AN23</f>
        <v>0</v>
      </c>
      <c r="AO6" s="233">
        <f>'1.建行Q2'!AO23</f>
        <v>0</v>
      </c>
      <c r="AP6" s="394">
        <f>'1.建行Q2'!AP23</f>
        <v>0</v>
      </c>
      <c r="AQ6" s="233">
        <f>'1.建行Q2'!AQ23</f>
        <v>0</v>
      </c>
      <c r="AR6" s="233">
        <f>'1.建行Q2'!AR23</f>
        <v>0</v>
      </c>
      <c r="AS6" s="233">
        <f>'1.建行Q2'!AS23</f>
        <v>0</v>
      </c>
      <c r="AT6" s="233">
        <f>'1.建行Q2'!AT23</f>
        <v>0</v>
      </c>
      <c r="AU6" s="233">
        <f>'1.建行Q2'!AU23</f>
        <v>0</v>
      </c>
      <c r="AV6" s="233">
        <f>'1.建行Q2'!AV23</f>
        <v>0</v>
      </c>
      <c r="AW6" s="233">
        <f>'1.建行Q2'!AW23</f>
        <v>0</v>
      </c>
      <c r="AX6" s="233">
        <f>'1.建行Q2'!AX23</f>
        <v>0</v>
      </c>
      <c r="AY6" s="233">
        <f>'1.建行Q2'!AY23</f>
        <v>0</v>
      </c>
      <c r="AZ6" s="233">
        <f>'1.建行Q2'!AZ23</f>
        <v>0</v>
      </c>
      <c r="BA6" s="233">
        <f>'1.建行Q2'!BA23</f>
        <v>0</v>
      </c>
      <c r="BB6" s="233">
        <f>'1.建行Q2'!BB23</f>
        <v>0</v>
      </c>
      <c r="BC6" s="233">
        <f>'1.建行Q2'!BC23</f>
        <v>0</v>
      </c>
      <c r="BD6" s="233">
        <f>'1.建行Q2'!BD23</f>
        <v>0</v>
      </c>
      <c r="BE6" s="233">
        <f>'1.建行Q2'!BE23</f>
        <v>0</v>
      </c>
      <c r="BF6" s="233">
        <f>'1.建行Q2'!BF23</f>
        <v>0</v>
      </c>
    </row>
    <row r="7" spans="1:58" s="4" customFormat="1" ht="16.95" customHeight="1">
      <c r="A7" s="231"/>
      <c r="B7" s="393"/>
      <c r="C7" s="233"/>
      <c r="D7" s="233"/>
      <c r="E7" s="233"/>
      <c r="F7" s="233"/>
      <c r="G7" s="233"/>
      <c r="H7" s="233"/>
      <c r="I7" s="233"/>
      <c r="J7" s="233"/>
      <c r="K7" s="233"/>
      <c r="L7" s="233"/>
      <c r="M7" s="233"/>
      <c r="N7" s="233"/>
      <c r="O7" s="233"/>
      <c r="P7" s="233"/>
      <c r="Q7" s="233"/>
      <c r="R7" s="233"/>
      <c r="S7" s="233"/>
      <c r="T7" s="233"/>
      <c r="U7" s="233"/>
      <c r="V7" s="233"/>
      <c r="W7" s="233"/>
      <c r="X7" s="233"/>
      <c r="Y7" s="233"/>
      <c r="Z7" s="233"/>
      <c r="AA7" s="233"/>
      <c r="AB7" s="233"/>
      <c r="AC7" s="233"/>
      <c r="AD7" s="233"/>
      <c r="AE7" s="233"/>
      <c r="AF7" s="233"/>
      <c r="AG7" s="233"/>
      <c r="AH7" s="233"/>
      <c r="AI7" s="233"/>
      <c r="AJ7" s="233"/>
      <c r="AK7" s="233"/>
      <c r="AL7" s="233"/>
      <c r="AM7" s="233"/>
      <c r="AN7" s="233"/>
      <c r="AO7" s="233"/>
      <c r="AP7" s="395"/>
      <c r="AQ7" s="233"/>
      <c r="AR7" s="233"/>
      <c r="AS7" s="233"/>
      <c r="AT7" s="233"/>
      <c r="AU7" s="233"/>
      <c r="AV7" s="233"/>
      <c r="AW7" s="233"/>
      <c r="AX7" s="233"/>
      <c r="AY7" s="233"/>
      <c r="AZ7" s="233"/>
      <c r="BA7" s="233"/>
      <c r="BB7" s="233"/>
      <c r="BC7" s="233"/>
      <c r="BD7" s="233"/>
      <c r="BE7" s="233"/>
      <c r="BF7" s="233"/>
    </row>
    <row r="8" spans="1:58" s="4" customFormat="1" ht="16.95" customHeight="1">
      <c r="A8" s="231"/>
      <c r="B8" s="393"/>
      <c r="C8" s="233"/>
      <c r="D8" s="233"/>
      <c r="E8" s="233"/>
      <c r="F8" s="233"/>
      <c r="G8" s="233"/>
      <c r="H8" s="233"/>
      <c r="I8" s="233"/>
      <c r="J8" s="233"/>
      <c r="K8" s="233"/>
      <c r="L8" s="233"/>
      <c r="M8" s="233"/>
      <c r="N8" s="233"/>
      <c r="O8" s="233"/>
      <c r="P8" s="233"/>
      <c r="Q8" s="233"/>
      <c r="R8" s="233"/>
      <c r="S8" s="233"/>
      <c r="T8" s="233"/>
      <c r="U8" s="233"/>
      <c r="V8" s="233"/>
      <c r="W8" s="233"/>
      <c r="X8" s="233"/>
      <c r="Y8" s="233"/>
      <c r="Z8" s="233"/>
      <c r="AA8" s="233"/>
      <c r="AB8" s="233"/>
      <c r="AC8" s="233"/>
      <c r="AD8" s="233"/>
      <c r="AE8" s="233"/>
      <c r="AF8" s="233"/>
      <c r="AG8" s="233"/>
      <c r="AH8" s="233"/>
      <c r="AI8" s="233"/>
      <c r="AJ8" s="233"/>
      <c r="AK8" s="233"/>
      <c r="AL8" s="233"/>
      <c r="AM8" s="233"/>
      <c r="AN8" s="233"/>
      <c r="AO8" s="233"/>
      <c r="AP8" s="395"/>
      <c r="AQ8" s="233"/>
      <c r="AR8" s="233"/>
      <c r="AS8" s="233"/>
      <c r="AT8" s="233"/>
      <c r="AU8" s="233"/>
      <c r="AV8" s="233"/>
      <c r="AW8" s="233"/>
      <c r="AX8" s="233"/>
      <c r="AY8" s="233"/>
      <c r="AZ8" s="233"/>
      <c r="BA8" s="233"/>
      <c r="BB8" s="233"/>
      <c r="BC8" s="233"/>
      <c r="BD8" s="233"/>
      <c r="BE8" s="233"/>
      <c r="BF8" s="233"/>
    </row>
    <row r="9" spans="1:58" s="388" customFormat="1" ht="16.95" customHeight="1">
      <c r="A9" s="534" t="s">
        <v>92</v>
      </c>
      <c r="B9" s="535"/>
      <c r="C9" s="396">
        <f>SUM(C5:C8)</f>
        <v>0</v>
      </c>
      <c r="D9" s="397">
        <f t="shared" ref="D9:S9" si="0">SUM(D5:D8)</f>
        <v>0</v>
      </c>
      <c r="E9" s="397">
        <f t="shared" si="0"/>
        <v>0</v>
      </c>
      <c r="F9" s="397">
        <f t="shared" si="0"/>
        <v>0</v>
      </c>
      <c r="G9" s="397">
        <f t="shared" si="0"/>
        <v>0</v>
      </c>
      <c r="H9" s="397">
        <f t="shared" si="0"/>
        <v>0</v>
      </c>
      <c r="I9" s="398">
        <f t="shared" si="0"/>
        <v>0</v>
      </c>
      <c r="J9" s="399">
        <f t="shared" si="0"/>
        <v>0</v>
      </c>
      <c r="K9" s="397">
        <f t="shared" si="0"/>
        <v>0</v>
      </c>
      <c r="L9" s="397">
        <f t="shared" si="0"/>
        <v>0</v>
      </c>
      <c r="M9" s="400">
        <f t="shared" si="0"/>
        <v>0</v>
      </c>
      <c r="N9" s="396">
        <f t="shared" si="0"/>
        <v>0</v>
      </c>
      <c r="O9" s="396">
        <f t="shared" si="0"/>
        <v>0</v>
      </c>
      <c r="P9" s="396">
        <f t="shared" si="0"/>
        <v>0</v>
      </c>
      <c r="Q9" s="396">
        <f t="shared" si="0"/>
        <v>0</v>
      </c>
      <c r="R9" s="396">
        <f t="shared" si="0"/>
        <v>0</v>
      </c>
      <c r="S9" s="396">
        <f t="shared" si="0"/>
        <v>0</v>
      </c>
      <c r="T9" s="401">
        <f>T4+SUM(N9:S9)-SUM(I9:M9)</f>
        <v>0</v>
      </c>
      <c r="U9" s="396">
        <f t="shared" ref="U9:AC9" si="1">SUM(U5:U8)</f>
        <v>0</v>
      </c>
      <c r="V9" s="397">
        <f t="shared" si="1"/>
        <v>0</v>
      </c>
      <c r="W9" s="398">
        <f t="shared" si="1"/>
        <v>0</v>
      </c>
      <c r="X9" s="399">
        <f t="shared" si="1"/>
        <v>0</v>
      </c>
      <c r="Y9" s="397">
        <f t="shared" si="1"/>
        <v>0</v>
      </c>
      <c r="Z9" s="397">
        <f t="shared" si="1"/>
        <v>0</v>
      </c>
      <c r="AA9" s="397">
        <f t="shared" si="1"/>
        <v>0</v>
      </c>
      <c r="AB9" s="397">
        <f t="shared" si="1"/>
        <v>0</v>
      </c>
      <c r="AC9" s="397">
        <f t="shared" si="1"/>
        <v>0</v>
      </c>
      <c r="AD9" s="397"/>
      <c r="AE9" s="397">
        <f t="shared" ref="AE9:AM9" si="2">SUM(AE5:AE8)</f>
        <v>0</v>
      </c>
      <c r="AF9" s="396">
        <f t="shared" si="2"/>
        <v>0</v>
      </c>
      <c r="AG9" s="397">
        <f t="shared" si="2"/>
        <v>0</v>
      </c>
      <c r="AH9" s="397">
        <f t="shared" si="2"/>
        <v>0</v>
      </c>
      <c r="AI9" s="397">
        <f t="shared" si="2"/>
        <v>0</v>
      </c>
      <c r="AJ9" s="397">
        <f t="shared" si="2"/>
        <v>0</v>
      </c>
      <c r="AK9" s="397">
        <f t="shared" si="2"/>
        <v>0</v>
      </c>
      <c r="AL9" s="397">
        <f t="shared" si="2"/>
        <v>0</v>
      </c>
      <c r="AM9" s="397">
        <f t="shared" si="2"/>
        <v>0</v>
      </c>
      <c r="AN9" s="399">
        <f t="shared" ref="AN9:AW9" si="3">SUM(AN5:AN8)</f>
        <v>0</v>
      </c>
      <c r="AO9" s="397">
        <f t="shared" si="3"/>
        <v>0</v>
      </c>
      <c r="AP9" s="397">
        <f t="shared" si="3"/>
        <v>0</v>
      </c>
      <c r="AQ9" s="397">
        <f t="shared" si="3"/>
        <v>0</v>
      </c>
      <c r="AR9" s="397">
        <f t="shared" si="3"/>
        <v>0</v>
      </c>
      <c r="AS9" s="397">
        <f t="shared" si="3"/>
        <v>0</v>
      </c>
      <c r="AT9" s="397">
        <f t="shared" si="3"/>
        <v>0</v>
      </c>
      <c r="AU9" s="397">
        <f t="shared" si="3"/>
        <v>0</v>
      </c>
      <c r="AV9" s="400">
        <f t="shared" si="3"/>
        <v>0</v>
      </c>
      <c r="AW9" s="396">
        <f t="shared" si="3"/>
        <v>0</v>
      </c>
      <c r="AX9" s="396">
        <f t="shared" ref="AX9:BF9" si="4">SUM(AX5:AX8)</f>
        <v>0</v>
      </c>
      <c r="AY9" s="398">
        <f t="shared" si="4"/>
        <v>0</v>
      </c>
      <c r="AZ9" s="399">
        <f t="shared" si="4"/>
        <v>0</v>
      </c>
      <c r="BA9" s="397">
        <f t="shared" si="4"/>
        <v>0</v>
      </c>
      <c r="BB9" s="397">
        <f t="shared" si="4"/>
        <v>0</v>
      </c>
      <c r="BC9" s="397">
        <f t="shared" si="4"/>
        <v>0</v>
      </c>
      <c r="BD9" s="400">
        <f t="shared" si="4"/>
        <v>0</v>
      </c>
      <c r="BE9" s="396">
        <f t="shared" si="4"/>
        <v>0</v>
      </c>
      <c r="BF9" s="400">
        <f t="shared" si="4"/>
        <v>0</v>
      </c>
    </row>
  </sheetData>
  <autoFilter ref="A3:BF9" xr:uid="{00000000-0009-0000-0000-000001000000}"/>
  <mergeCells count="29">
    <mergeCell ref="O2:Q2"/>
    <mergeCell ref="V2:Y2"/>
    <mergeCell ref="Z2:AC2"/>
    <mergeCell ref="AD2:AK2"/>
    <mergeCell ref="AL2:AT2"/>
    <mergeCell ref="S2:S3"/>
    <mergeCell ref="T2:T3"/>
    <mergeCell ref="U2:U3"/>
    <mergeCell ref="AU2:AW2"/>
    <mergeCell ref="AX2:BB2"/>
    <mergeCell ref="BC2:BD2"/>
    <mergeCell ref="BE2:BF2"/>
    <mergeCell ref="A4:B4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R2:R3"/>
    <mergeCell ref="A9:B9"/>
    <mergeCell ref="A2:A3"/>
    <mergeCell ref="B2:B3"/>
    <mergeCell ref="C2:C3"/>
    <mergeCell ref="D2:D3"/>
  </mergeCells>
  <phoneticPr fontId="46" type="noConversion"/>
  <hyperlinks>
    <hyperlink ref="A6:A7" location="'1、北京黑金'!A1" display="建行" xr:uid="{00000000-0004-0000-0100-000000000000}"/>
    <hyperlink ref="A6" location="中国银行!A1" display="建行" xr:uid="{00000000-0004-0000-0100-000001000000}"/>
  </hyperlinks>
  <pageMargins left="0.7" right="0.7" top="0.75" bottom="0.75" header="0.3" footer="0.3"/>
  <pageSetup paperSize="9"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F29"/>
  <sheetViews>
    <sheetView workbookViewId="0">
      <pane xSplit="2" ySplit="4" topLeftCell="C5" activePane="bottomRight" state="frozen"/>
      <selection pane="topRight"/>
      <selection pane="bottomLeft"/>
      <selection pane="bottomRight" activeCell="N23" sqref="N23"/>
    </sheetView>
  </sheetViews>
  <sheetFormatPr defaultColWidth="9" defaultRowHeight="15.6" outlineLevelCol="1"/>
  <cols>
    <col min="1" max="1" width="5.8984375" style="192" customWidth="1"/>
    <col min="2" max="2" width="11.19921875" style="193" customWidth="1"/>
    <col min="3" max="3" width="8.796875" style="193" customWidth="1"/>
    <col min="4" max="4" width="7.19921875" style="194" customWidth="1" outlineLevel="1"/>
    <col min="5" max="6" width="8" style="194" customWidth="1" outlineLevel="1"/>
    <col min="7" max="7" width="7.69921875" style="194" customWidth="1" outlineLevel="1"/>
    <col min="8" max="8" width="8" style="195" customWidth="1" outlineLevel="1"/>
    <col min="9" max="9" width="10.296875" style="195" customWidth="1" outlineLevel="1"/>
    <col min="10" max="10" width="10.09765625" style="195" customWidth="1"/>
    <col min="11" max="11" width="9.19921875" style="195" customWidth="1" outlineLevel="1"/>
    <col min="12" max="12" width="6" style="195" customWidth="1" outlineLevel="1"/>
    <col min="13" max="13" width="8.59765625" style="195" customWidth="1"/>
    <col min="14" max="14" width="9.59765625" style="195" customWidth="1"/>
    <col min="15" max="15" width="8.3984375" style="191" customWidth="1" outlineLevel="1"/>
    <col min="16" max="17" width="6.5" style="191" customWidth="1" outlineLevel="1"/>
    <col min="18" max="18" width="16.8984375" style="196" customWidth="1"/>
    <col min="19" max="19" width="15.296875" style="195" customWidth="1"/>
    <col min="20" max="20" width="11.296875" style="195" customWidth="1"/>
    <col min="21" max="21" width="15.3984375" style="197" customWidth="1"/>
    <col min="22" max="23" width="6.19921875" style="195" customWidth="1" outlineLevel="1"/>
    <col min="24" max="24" width="7.796875" style="195" customWidth="1" outlineLevel="1"/>
    <col min="25" max="25" width="8.09765625" style="195" customWidth="1" outlineLevel="1"/>
    <col min="26" max="26" width="6.19921875" style="195" customWidth="1" outlineLevel="1"/>
    <col min="27" max="28" width="5.796875" style="198" customWidth="1" outlineLevel="1"/>
    <col min="29" max="29" width="5.69921875" style="195" customWidth="1" outlineLevel="1"/>
    <col min="30" max="30" width="5.09765625" style="199" customWidth="1" outlineLevel="1"/>
    <col min="31" max="31" width="4.09765625" style="199" customWidth="1" outlineLevel="1"/>
    <col min="32" max="32" width="4.59765625" style="199" customWidth="1" outlineLevel="1"/>
    <col min="33" max="36" width="3.8984375" style="199" customWidth="1" outlineLevel="1"/>
    <col min="37" max="37" width="6.3984375" style="199" customWidth="1"/>
    <col min="38" max="39" width="4.5" style="195" customWidth="1" outlineLevel="1"/>
    <col min="40" max="40" width="7.3984375" style="195" customWidth="1" outlineLevel="1"/>
    <col min="41" max="41" width="8" style="195" customWidth="1" outlineLevel="1"/>
    <col min="42" max="42" width="5" style="195" customWidth="1" outlineLevel="1"/>
    <col min="43" max="44" width="5.5" style="195" customWidth="1" outlineLevel="1"/>
    <col min="45" max="45" width="4.5" style="195" customWidth="1" outlineLevel="1"/>
    <col min="46" max="46" width="4.5" style="195" customWidth="1"/>
    <col min="47" max="47" width="4.3984375" style="195" customWidth="1"/>
    <col min="48" max="49" width="4.8984375" style="195" customWidth="1"/>
    <col min="50" max="50" width="6.09765625" style="195" customWidth="1"/>
    <col min="51" max="51" width="5.3984375" style="195" customWidth="1"/>
    <col min="52" max="52" width="4.09765625" style="195" customWidth="1"/>
    <col min="53" max="53" width="4.796875" style="195" customWidth="1"/>
    <col min="54" max="54" width="4.8984375" style="195" customWidth="1"/>
    <col min="55" max="55" width="6.3984375" style="195" customWidth="1"/>
    <col min="56" max="56" width="7.19921875" style="195" customWidth="1"/>
    <col min="57" max="57" width="6.3984375" style="195" customWidth="1"/>
    <col min="58" max="58" width="7.19921875" style="195" customWidth="1"/>
    <col min="59" max="16384" width="9" style="195"/>
  </cols>
  <sheetData>
    <row r="1" spans="1:58" ht="22.05" customHeight="1">
      <c r="A1" s="200" t="s">
        <v>93</v>
      </c>
      <c r="F1" s="201" t="s">
        <v>94</v>
      </c>
      <c r="G1" s="202"/>
      <c r="H1" s="202"/>
      <c r="I1" s="201" t="s">
        <v>95</v>
      </c>
      <c r="J1" s="202"/>
      <c r="K1" s="201" t="s">
        <v>96</v>
      </c>
      <c r="L1" s="202"/>
      <c r="R1" s="203"/>
      <c r="S1" s="204"/>
    </row>
    <row r="2" spans="1:58" s="189" customFormat="1" ht="25.5" customHeight="1">
      <c r="A2" s="471" t="s">
        <v>65</v>
      </c>
      <c r="B2" s="473" t="s">
        <v>66</v>
      </c>
      <c r="C2" s="475" t="s">
        <v>67</v>
      </c>
      <c r="D2" s="489" t="s">
        <v>68</v>
      </c>
      <c r="E2" s="491" t="s">
        <v>69</v>
      </c>
      <c r="F2" s="493" t="s">
        <v>70</v>
      </c>
      <c r="G2" s="495" t="s">
        <v>71</v>
      </c>
      <c r="H2" s="497" t="s">
        <v>72</v>
      </c>
      <c r="I2" s="499" t="s">
        <v>73</v>
      </c>
      <c r="J2" s="501" t="s">
        <v>74</v>
      </c>
      <c r="K2" s="503" t="s">
        <v>75</v>
      </c>
      <c r="L2" s="505" t="s">
        <v>76</v>
      </c>
      <c r="M2" s="507" t="s">
        <v>77</v>
      </c>
      <c r="N2" s="507" t="s">
        <v>78</v>
      </c>
      <c r="O2" s="509" t="s">
        <v>79</v>
      </c>
      <c r="P2" s="509"/>
      <c r="Q2" s="509"/>
      <c r="R2" s="523" t="s">
        <v>80</v>
      </c>
      <c r="S2" s="525" t="s">
        <v>81</v>
      </c>
      <c r="T2" s="527" t="s">
        <v>82</v>
      </c>
      <c r="U2" s="529" t="s">
        <v>83</v>
      </c>
      <c r="V2" s="510" t="s">
        <v>73</v>
      </c>
      <c r="W2" s="511"/>
      <c r="X2" s="511"/>
      <c r="Y2" s="512"/>
      <c r="Z2" s="513" t="s">
        <v>67</v>
      </c>
      <c r="AA2" s="514"/>
      <c r="AB2" s="514"/>
      <c r="AC2" s="515"/>
      <c r="AD2" s="516" t="s">
        <v>68</v>
      </c>
      <c r="AE2" s="517"/>
      <c r="AF2" s="518"/>
      <c r="AG2" s="518"/>
      <c r="AH2" s="518"/>
      <c r="AI2" s="518"/>
      <c r="AJ2" s="518"/>
      <c r="AK2" s="519"/>
      <c r="AL2" s="520" t="s">
        <v>69</v>
      </c>
      <c r="AM2" s="521"/>
      <c r="AN2" s="521"/>
      <c r="AO2" s="521"/>
      <c r="AP2" s="521"/>
      <c r="AQ2" s="521"/>
      <c r="AR2" s="521"/>
      <c r="AS2" s="521"/>
      <c r="AT2" s="522"/>
      <c r="AU2" s="477" t="s">
        <v>70</v>
      </c>
      <c r="AV2" s="478"/>
      <c r="AW2" s="479"/>
      <c r="AX2" s="480" t="s">
        <v>71</v>
      </c>
      <c r="AY2" s="481"/>
      <c r="AZ2" s="481"/>
      <c r="BA2" s="481"/>
      <c r="BB2" s="482"/>
      <c r="BC2" s="483" t="s">
        <v>84</v>
      </c>
      <c r="BD2" s="484"/>
      <c r="BE2" s="485" t="s">
        <v>85</v>
      </c>
      <c r="BF2" s="486"/>
    </row>
    <row r="3" spans="1:58" s="190" customFormat="1" ht="30" customHeight="1">
      <c r="A3" s="472"/>
      <c r="B3" s="474"/>
      <c r="C3" s="476"/>
      <c r="D3" s="490"/>
      <c r="E3" s="492"/>
      <c r="F3" s="494"/>
      <c r="G3" s="496"/>
      <c r="H3" s="498"/>
      <c r="I3" s="500"/>
      <c r="J3" s="502"/>
      <c r="K3" s="504"/>
      <c r="L3" s="506"/>
      <c r="M3" s="508"/>
      <c r="N3" s="508"/>
      <c r="O3" s="205" t="s">
        <v>10</v>
      </c>
      <c r="P3" s="206" t="s">
        <v>11</v>
      </c>
      <c r="Q3" s="206" t="s">
        <v>12</v>
      </c>
      <c r="R3" s="524"/>
      <c r="S3" s="526"/>
      <c r="T3" s="528"/>
      <c r="U3" s="530"/>
      <c r="V3" s="207" t="s">
        <v>17</v>
      </c>
      <c r="W3" s="207" t="s">
        <v>18</v>
      </c>
      <c r="X3" s="207" t="s">
        <v>19</v>
      </c>
      <c r="Y3" s="207" t="s">
        <v>20</v>
      </c>
      <c r="Z3" s="208" t="s">
        <v>22</v>
      </c>
      <c r="AA3" s="208" t="s">
        <v>23</v>
      </c>
      <c r="AB3" s="208" t="s">
        <v>19</v>
      </c>
      <c r="AC3" s="208" t="s">
        <v>24</v>
      </c>
      <c r="AD3" s="209" t="s">
        <v>26</v>
      </c>
      <c r="AE3" s="209" t="s">
        <v>27</v>
      </c>
      <c r="AF3" s="209" t="s">
        <v>28</v>
      </c>
      <c r="AG3" s="209" t="s">
        <v>29</v>
      </c>
      <c r="AH3" s="209" t="s">
        <v>30</v>
      </c>
      <c r="AI3" s="209" t="s">
        <v>19</v>
      </c>
      <c r="AJ3" s="209" t="s">
        <v>31</v>
      </c>
      <c r="AK3" s="210" t="s">
        <v>32</v>
      </c>
      <c r="AL3" s="211" t="s">
        <v>34</v>
      </c>
      <c r="AM3" s="212" t="s">
        <v>35</v>
      </c>
      <c r="AN3" s="212" t="s">
        <v>29</v>
      </c>
      <c r="AO3" s="212" t="s">
        <v>30</v>
      </c>
      <c r="AP3" s="212" t="s">
        <v>26</v>
      </c>
      <c r="AQ3" s="212" t="s">
        <v>36</v>
      </c>
      <c r="AR3" s="212" t="s">
        <v>37</v>
      </c>
      <c r="AS3" s="212" t="s">
        <v>38</v>
      </c>
      <c r="AT3" s="213" t="s">
        <v>32</v>
      </c>
      <c r="AU3" s="214" t="s">
        <v>40</v>
      </c>
      <c r="AV3" s="215" t="s">
        <v>41</v>
      </c>
      <c r="AW3" s="216" t="s">
        <v>42</v>
      </c>
      <c r="AX3" s="217" t="s">
        <v>51</v>
      </c>
      <c r="AY3" s="218" t="s">
        <v>52</v>
      </c>
      <c r="AZ3" s="218" t="s">
        <v>53</v>
      </c>
      <c r="BA3" s="218" t="s">
        <v>86</v>
      </c>
      <c r="BB3" s="219" t="s">
        <v>87</v>
      </c>
      <c r="BC3" s="220" t="s">
        <v>44</v>
      </c>
      <c r="BD3" s="221" t="s">
        <v>45</v>
      </c>
      <c r="BE3" s="222" t="s">
        <v>88</v>
      </c>
      <c r="BF3" s="223" t="s">
        <v>89</v>
      </c>
    </row>
    <row r="4" spans="1:58" s="191" customFormat="1" ht="20.25" customHeight="1">
      <c r="A4" s="487" t="s">
        <v>90</v>
      </c>
      <c r="B4" s="488"/>
      <c r="C4" s="224"/>
      <c r="D4" s="225"/>
      <c r="E4" s="225"/>
      <c r="F4" s="225"/>
      <c r="G4" s="225"/>
      <c r="H4" s="226"/>
      <c r="I4" s="226"/>
      <c r="J4" s="225">
        <v>0</v>
      </c>
      <c r="K4" s="226"/>
      <c r="L4" s="226"/>
      <c r="M4" s="226"/>
      <c r="N4" s="226"/>
      <c r="O4" s="226"/>
      <c r="P4" s="226"/>
      <c r="Q4" s="226"/>
      <c r="R4" s="227">
        <v>0</v>
      </c>
      <c r="S4" s="226"/>
      <c r="T4" s="226"/>
      <c r="U4" s="228"/>
      <c r="V4" s="226"/>
      <c r="W4" s="226"/>
      <c r="X4" s="226"/>
      <c r="Y4" s="226"/>
      <c r="Z4" s="226"/>
      <c r="AA4" s="229"/>
      <c r="AB4" s="229"/>
      <c r="AC4" s="226"/>
      <c r="AD4" s="226"/>
      <c r="AE4" s="226"/>
      <c r="AF4" s="226"/>
      <c r="AG4" s="226"/>
      <c r="AH4" s="226"/>
      <c r="AI4" s="226"/>
      <c r="AJ4" s="226"/>
      <c r="AK4" s="226"/>
      <c r="AL4" s="226"/>
      <c r="AM4" s="226"/>
      <c r="AN4" s="226"/>
      <c r="AO4" s="226"/>
      <c r="AP4" s="226"/>
      <c r="AQ4" s="226"/>
      <c r="AR4" s="226"/>
      <c r="AS4" s="226"/>
      <c r="AT4" s="226"/>
      <c r="AU4" s="226"/>
      <c r="AV4" s="226"/>
      <c r="AW4" s="226"/>
      <c r="AX4" s="226"/>
      <c r="AY4" s="226"/>
      <c r="AZ4" s="226"/>
      <c r="BA4" s="226"/>
      <c r="BB4" s="226"/>
      <c r="BC4" s="226"/>
      <c r="BD4" s="230"/>
      <c r="BE4" s="226"/>
      <c r="BF4" s="230"/>
    </row>
    <row r="5" spans="1:58" s="191" customFormat="1" ht="15">
      <c r="A5" s="231"/>
      <c r="B5" s="232"/>
      <c r="C5" s="233">
        <f>SUM(Z5:AC5)</f>
        <v>0</v>
      </c>
      <c r="D5" s="233">
        <f t="shared" ref="D5:D9" si="0">SUM(AD5:AK5)</f>
        <v>0</v>
      </c>
      <c r="E5" s="234">
        <f>SUM(AL5:AT5)</f>
        <v>0</v>
      </c>
      <c r="F5" s="234">
        <f>SUM(AU5:AW5)</f>
        <v>0</v>
      </c>
      <c r="G5" s="234">
        <f>SUM(AX5:BB5)</f>
        <v>0</v>
      </c>
      <c r="H5" s="234">
        <f t="shared" ref="H5:H9" si="1">SUM(BC5:BD5)</f>
        <v>0</v>
      </c>
      <c r="I5" s="234">
        <f>SUM(V5:Y5)</f>
        <v>0</v>
      </c>
      <c r="J5" s="235">
        <f>SUM(C5:I5)</f>
        <v>0</v>
      </c>
      <c r="K5" s="236"/>
      <c r="L5" s="237"/>
      <c r="M5" s="238"/>
      <c r="N5" s="239"/>
      <c r="O5" s="240"/>
      <c r="P5" s="239"/>
      <c r="Q5" s="239"/>
      <c r="R5" s="241">
        <f>R4+SUM(N5:Q5)-SUM(J5:M5)</f>
        <v>0</v>
      </c>
      <c r="S5" s="373"/>
      <c r="T5" s="374"/>
      <c r="U5" s="375"/>
      <c r="V5" s="245"/>
      <c r="W5" s="246"/>
      <c r="X5" s="246"/>
      <c r="Y5" s="246"/>
      <c r="Z5" s="246"/>
      <c r="AA5" s="247"/>
      <c r="AB5" s="376"/>
      <c r="AC5" s="249"/>
      <c r="AD5" s="245"/>
      <c r="AE5" s="246"/>
      <c r="AF5" s="377"/>
      <c r="AG5" s="377"/>
      <c r="AH5" s="377"/>
      <c r="AI5" s="377"/>
      <c r="AJ5" s="377"/>
      <c r="AK5" s="377"/>
      <c r="AL5" s="378"/>
      <c r="AM5" s="377"/>
      <c r="AN5" s="377"/>
      <c r="AO5" s="377"/>
      <c r="AP5" s="377"/>
      <c r="AQ5" s="377"/>
      <c r="AR5" s="379"/>
      <c r="AS5" s="379"/>
      <c r="AT5" s="380"/>
      <c r="AU5" s="381"/>
      <c r="AV5" s="382"/>
      <c r="AW5" s="380"/>
      <c r="AX5" s="378"/>
      <c r="AY5" s="377"/>
      <c r="AZ5" s="377"/>
      <c r="BA5" s="377"/>
      <c r="BB5" s="249"/>
      <c r="BC5" s="246"/>
      <c r="BD5" s="249"/>
      <c r="BE5" s="246"/>
      <c r="BF5" s="249"/>
    </row>
    <row r="6" spans="1:58" s="191" customFormat="1" ht="15">
      <c r="A6" s="231"/>
      <c r="B6" s="232"/>
      <c r="C6" s="233">
        <f t="shared" ref="C6:C22" si="2">SUM(Z6:AC6)</f>
        <v>0</v>
      </c>
      <c r="D6" s="261">
        <f t="shared" si="0"/>
        <v>0</v>
      </c>
      <c r="E6" s="262">
        <f>SUM(AL6:AT6)</f>
        <v>0</v>
      </c>
      <c r="F6" s="262">
        <f>SUM(AU6:AW6)</f>
        <v>0</v>
      </c>
      <c r="G6" s="234">
        <f t="shared" ref="G6:G22" si="3">SUM(AX6:BB6)</f>
        <v>0</v>
      </c>
      <c r="H6" s="262">
        <f t="shared" si="1"/>
        <v>0</v>
      </c>
      <c r="I6" s="234">
        <f t="shared" ref="I6:I22" si="4">SUM(V6:Y6)</f>
        <v>0</v>
      </c>
      <c r="J6" s="235">
        <f t="shared" ref="J6:J22" si="5">SUM(C6:I6)</f>
        <v>0</v>
      </c>
      <c r="K6" s="236"/>
      <c r="L6" s="263"/>
      <c r="M6" s="264"/>
      <c r="N6" s="265"/>
      <c r="O6" s="266"/>
      <c r="P6" s="265"/>
      <c r="Q6" s="265"/>
      <c r="R6" s="241">
        <f t="shared" ref="R6:R21" si="6">R5+SUM(N6:Q6)-SUM(J6:M6)</f>
        <v>0</v>
      </c>
      <c r="S6" s="373"/>
      <c r="T6" s="383"/>
      <c r="U6" s="375"/>
      <c r="V6" s="267"/>
      <c r="W6" s="260"/>
      <c r="X6" s="260"/>
      <c r="Y6" s="260"/>
      <c r="Z6" s="260"/>
      <c r="AA6" s="268"/>
      <c r="AB6" s="248"/>
      <c r="AC6" s="259"/>
      <c r="AD6" s="267"/>
      <c r="AE6" s="260"/>
      <c r="AF6" s="258"/>
      <c r="AG6" s="258"/>
      <c r="AH6" s="258"/>
      <c r="AI6" s="258"/>
      <c r="AJ6" s="258"/>
      <c r="AK6" s="258"/>
      <c r="AL6" s="257"/>
      <c r="AM6" s="258"/>
      <c r="AN6" s="258"/>
      <c r="AO6" s="258"/>
      <c r="AP6" s="258"/>
      <c r="AQ6" s="258"/>
      <c r="AR6" s="270"/>
      <c r="AS6" s="270"/>
      <c r="AT6" s="256"/>
      <c r="AU6" s="251"/>
      <c r="AV6" s="253"/>
      <c r="AW6" s="256"/>
      <c r="AX6" s="257"/>
      <c r="AY6" s="258"/>
      <c r="AZ6" s="258"/>
      <c r="BA6" s="258"/>
      <c r="BB6" s="259"/>
      <c r="BC6" s="260"/>
      <c r="BD6" s="259"/>
      <c r="BE6" s="260"/>
      <c r="BF6" s="259"/>
    </row>
    <row r="7" spans="1:58" s="191" customFormat="1" ht="15">
      <c r="A7" s="231"/>
      <c r="B7" s="232"/>
      <c r="C7" s="233">
        <f t="shared" si="2"/>
        <v>0</v>
      </c>
      <c r="D7" s="261">
        <f t="shared" si="0"/>
        <v>0</v>
      </c>
      <c r="E7" s="262">
        <f>SUM(AL7:AT7)</f>
        <v>0</v>
      </c>
      <c r="F7" s="262">
        <f>SUM(AU7:AW7)</f>
        <v>0</v>
      </c>
      <c r="G7" s="234">
        <f t="shared" si="3"/>
        <v>0</v>
      </c>
      <c r="H7" s="262">
        <f t="shared" si="1"/>
        <v>0</v>
      </c>
      <c r="I7" s="234">
        <f t="shared" si="4"/>
        <v>0</v>
      </c>
      <c r="J7" s="235">
        <f t="shared" si="5"/>
        <v>0</v>
      </c>
      <c r="K7" s="236"/>
      <c r="L7" s="263"/>
      <c r="M7" s="236"/>
      <c r="N7" s="265"/>
      <c r="O7" s="266"/>
      <c r="P7" s="265"/>
      <c r="Q7" s="265"/>
      <c r="R7" s="241">
        <f t="shared" si="6"/>
        <v>0</v>
      </c>
      <c r="S7" s="373"/>
      <c r="T7" s="383"/>
      <c r="U7" s="375"/>
      <c r="V7" s="267"/>
      <c r="W7" s="260"/>
      <c r="X7" s="260"/>
      <c r="Y7" s="260"/>
      <c r="Z7" s="260"/>
      <c r="AA7" s="268"/>
      <c r="AB7" s="248"/>
      <c r="AC7" s="259"/>
      <c r="AD7" s="267"/>
      <c r="AE7" s="260"/>
      <c r="AF7" s="258"/>
      <c r="AG7" s="258"/>
      <c r="AH7" s="258"/>
      <c r="AI7" s="258"/>
      <c r="AJ7" s="258"/>
      <c r="AK7" s="258"/>
      <c r="AL7" s="257"/>
      <c r="AM7" s="258"/>
      <c r="AN7" s="258"/>
      <c r="AO7" s="258"/>
      <c r="AP7" s="258"/>
      <c r="AQ7" s="258"/>
      <c r="AR7" s="270"/>
      <c r="AS7" s="270"/>
      <c r="AT7" s="256"/>
      <c r="AU7" s="251"/>
      <c r="AV7" s="253"/>
      <c r="AW7" s="256"/>
      <c r="AX7" s="257"/>
      <c r="AY7" s="258"/>
      <c r="AZ7" s="258"/>
      <c r="BA7" s="258"/>
      <c r="BB7" s="259"/>
      <c r="BC7" s="260"/>
      <c r="BD7" s="259"/>
      <c r="BE7" s="260"/>
      <c r="BF7" s="259"/>
    </row>
    <row r="8" spans="1:58" s="191" customFormat="1" ht="15">
      <c r="A8" s="231"/>
      <c r="B8" s="232"/>
      <c r="C8" s="233">
        <f t="shared" si="2"/>
        <v>0</v>
      </c>
      <c r="D8" s="261">
        <f t="shared" si="0"/>
        <v>0</v>
      </c>
      <c r="E8" s="234">
        <f>SUM(AL8:AT8)</f>
        <v>0</v>
      </c>
      <c r="F8" s="262">
        <f>SUM(AU8:AW8)</f>
        <v>0</v>
      </c>
      <c r="G8" s="234">
        <f t="shared" si="3"/>
        <v>0</v>
      </c>
      <c r="H8" s="262">
        <f t="shared" si="1"/>
        <v>0</v>
      </c>
      <c r="I8" s="234">
        <f t="shared" si="4"/>
        <v>0</v>
      </c>
      <c r="J8" s="235">
        <f t="shared" si="5"/>
        <v>0</v>
      </c>
      <c r="K8" s="263"/>
      <c r="L8" s="263"/>
      <c r="M8" s="236"/>
      <c r="N8" s="265"/>
      <c r="O8" s="266"/>
      <c r="P8" s="265"/>
      <c r="Q8" s="265"/>
      <c r="R8" s="241">
        <f t="shared" si="6"/>
        <v>0</v>
      </c>
      <c r="S8" s="373"/>
      <c r="T8" s="269"/>
      <c r="U8" s="375"/>
      <c r="V8" s="267"/>
      <c r="W8" s="260"/>
      <c r="X8" s="260"/>
      <c r="Y8" s="260"/>
      <c r="Z8" s="260"/>
      <c r="AA8" s="268"/>
      <c r="AB8" s="248"/>
      <c r="AC8" s="259"/>
      <c r="AD8" s="267"/>
      <c r="AE8" s="260"/>
      <c r="AF8" s="258"/>
      <c r="AG8" s="258"/>
      <c r="AH8" s="258"/>
      <c r="AI8" s="258"/>
      <c r="AJ8" s="258"/>
      <c r="AK8" s="258"/>
      <c r="AL8" s="257"/>
      <c r="AM8" s="258"/>
      <c r="AN8" s="258"/>
      <c r="AO8" s="258"/>
      <c r="AP8" s="258"/>
      <c r="AQ8" s="258"/>
      <c r="AR8" s="270"/>
      <c r="AS8" s="270"/>
      <c r="AT8" s="256"/>
      <c r="AU8" s="251"/>
      <c r="AV8" s="253"/>
      <c r="AW8" s="256"/>
      <c r="AX8" s="257"/>
      <c r="AY8" s="258"/>
      <c r="AZ8" s="258"/>
      <c r="BA8" s="258"/>
      <c r="BB8" s="259"/>
      <c r="BC8" s="260"/>
      <c r="BD8" s="259"/>
      <c r="BE8" s="260"/>
      <c r="BF8" s="259"/>
    </row>
    <row r="9" spans="1:58" s="191" customFormat="1" ht="15">
      <c r="A9" s="231"/>
      <c r="B9" s="232"/>
      <c r="C9" s="233">
        <f t="shared" si="2"/>
        <v>0</v>
      </c>
      <c r="D9" s="261">
        <f t="shared" si="0"/>
        <v>0</v>
      </c>
      <c r="E9" s="262">
        <f>SUM(AL9:AT9)</f>
        <v>0</v>
      </c>
      <c r="F9" s="262">
        <f>SUM(AU9:AW9)</f>
        <v>0</v>
      </c>
      <c r="G9" s="234">
        <f t="shared" si="3"/>
        <v>0</v>
      </c>
      <c r="H9" s="262">
        <f t="shared" si="1"/>
        <v>0</v>
      </c>
      <c r="I9" s="234">
        <f t="shared" si="4"/>
        <v>0</v>
      </c>
      <c r="J9" s="235">
        <f t="shared" si="5"/>
        <v>0</v>
      </c>
      <c r="K9" s="263"/>
      <c r="L9" s="263"/>
      <c r="M9" s="236"/>
      <c r="N9" s="265"/>
      <c r="O9" s="266"/>
      <c r="P9" s="265"/>
      <c r="Q9" s="265"/>
      <c r="R9" s="241">
        <f t="shared" si="6"/>
        <v>0</v>
      </c>
      <c r="S9" s="373"/>
      <c r="T9" s="269"/>
      <c r="U9" s="375"/>
      <c r="V9" s="267"/>
      <c r="W9" s="260"/>
      <c r="X9" s="260"/>
      <c r="Y9" s="260"/>
      <c r="Z9" s="260"/>
      <c r="AA9" s="268"/>
      <c r="AB9" s="248"/>
      <c r="AC9" s="259"/>
      <c r="AD9" s="267"/>
      <c r="AE9" s="260"/>
      <c r="AF9" s="258"/>
      <c r="AG9" s="258"/>
      <c r="AH9" s="258"/>
      <c r="AI9" s="258"/>
      <c r="AJ9" s="258"/>
      <c r="AK9" s="258"/>
      <c r="AL9" s="257"/>
      <c r="AM9" s="258"/>
      <c r="AN9" s="258"/>
      <c r="AO9" s="258"/>
      <c r="AP9" s="258"/>
      <c r="AQ9" s="258"/>
      <c r="AR9" s="384"/>
      <c r="AS9" s="270"/>
      <c r="AT9" s="256"/>
      <c r="AU9" s="251"/>
      <c r="AV9" s="253"/>
      <c r="AW9" s="256"/>
      <c r="AX9" s="291"/>
      <c r="AY9" s="258"/>
      <c r="AZ9" s="258"/>
      <c r="BA9" s="258"/>
      <c r="BB9" s="259"/>
      <c r="BC9" s="260"/>
      <c r="BD9" s="259"/>
      <c r="BE9" s="260"/>
      <c r="BF9" s="259"/>
    </row>
    <row r="10" spans="1:58" s="191" customFormat="1" ht="15">
      <c r="A10" s="231"/>
      <c r="B10" s="232"/>
      <c r="C10" s="233">
        <f t="shared" si="2"/>
        <v>0</v>
      </c>
      <c r="D10" s="261">
        <f t="shared" ref="D10:D22" si="7">SUM(AD10:AK10)</f>
        <v>0</v>
      </c>
      <c r="E10" s="262">
        <f t="shared" ref="E10:E22" si="8">SUM(AL10:AT10)</f>
        <v>0</v>
      </c>
      <c r="F10" s="262">
        <f t="shared" ref="F10:F22" si="9">SUM(AU10:AW10)</f>
        <v>0</v>
      </c>
      <c r="G10" s="234">
        <f t="shared" si="3"/>
        <v>0</v>
      </c>
      <c r="H10" s="262">
        <f t="shared" ref="H10:H22" si="10">SUM(BC10:BD10)</f>
        <v>0</v>
      </c>
      <c r="I10" s="234">
        <f t="shared" si="4"/>
        <v>0</v>
      </c>
      <c r="J10" s="235">
        <f t="shared" si="5"/>
        <v>0</v>
      </c>
      <c r="K10" s="263"/>
      <c r="L10" s="263"/>
      <c r="M10" s="236"/>
      <c r="N10" s="265"/>
      <c r="O10" s="266"/>
      <c r="P10" s="265"/>
      <c r="Q10" s="265"/>
      <c r="R10" s="241">
        <f t="shared" si="6"/>
        <v>0</v>
      </c>
      <c r="S10" s="373"/>
      <c r="T10" s="269"/>
      <c r="U10" s="375"/>
      <c r="V10" s="267"/>
      <c r="W10" s="260"/>
      <c r="X10" s="260"/>
      <c r="Y10" s="260"/>
      <c r="Z10" s="260"/>
      <c r="AA10" s="268"/>
      <c r="AB10" s="248"/>
      <c r="AC10" s="259"/>
      <c r="AD10" s="267"/>
      <c r="AE10" s="260"/>
      <c r="AF10" s="258"/>
      <c r="AG10" s="258"/>
      <c r="AH10" s="258"/>
      <c r="AI10" s="258"/>
      <c r="AJ10" s="258"/>
      <c r="AK10" s="258"/>
      <c r="AL10" s="257"/>
      <c r="AM10" s="258"/>
      <c r="AN10" s="258"/>
      <c r="AO10" s="258"/>
      <c r="AP10" s="258"/>
      <c r="AQ10" s="258"/>
      <c r="AR10" s="270"/>
      <c r="AS10" s="270"/>
      <c r="AT10" s="256"/>
      <c r="AU10" s="251"/>
      <c r="AV10" s="253"/>
      <c r="AW10" s="256"/>
      <c r="AX10" s="257"/>
      <c r="AY10" s="258"/>
      <c r="AZ10" s="258"/>
      <c r="BA10" s="258"/>
      <c r="BB10" s="259"/>
      <c r="BC10" s="260"/>
      <c r="BD10" s="259"/>
      <c r="BE10" s="260"/>
      <c r="BF10" s="259"/>
    </row>
    <row r="11" spans="1:58" s="191" customFormat="1" ht="15">
      <c r="A11" s="231"/>
      <c r="B11" s="232"/>
      <c r="C11" s="233">
        <f t="shared" si="2"/>
        <v>0</v>
      </c>
      <c r="D11" s="261">
        <f t="shared" si="7"/>
        <v>0</v>
      </c>
      <c r="E11" s="262">
        <f t="shared" si="8"/>
        <v>0</v>
      </c>
      <c r="F11" s="262">
        <f t="shared" si="9"/>
        <v>0</v>
      </c>
      <c r="G11" s="234">
        <f t="shared" si="3"/>
        <v>0</v>
      </c>
      <c r="H11" s="262">
        <f t="shared" si="10"/>
        <v>0</v>
      </c>
      <c r="I11" s="234">
        <f t="shared" si="4"/>
        <v>0</v>
      </c>
      <c r="J11" s="235">
        <f t="shared" si="5"/>
        <v>0</v>
      </c>
      <c r="K11" s="263"/>
      <c r="L11" s="263"/>
      <c r="M11" s="236"/>
      <c r="N11" s="265"/>
      <c r="O11" s="266"/>
      <c r="P11" s="265"/>
      <c r="Q11" s="265"/>
      <c r="R11" s="241">
        <f t="shared" si="6"/>
        <v>0</v>
      </c>
      <c r="S11" s="373"/>
      <c r="T11" s="269"/>
      <c r="U11" s="375"/>
      <c r="V11" s="267"/>
      <c r="W11" s="260"/>
      <c r="X11" s="260"/>
      <c r="Y11" s="260"/>
      <c r="Z11" s="260"/>
      <c r="AA11" s="268"/>
      <c r="AB11" s="248"/>
      <c r="AC11" s="259"/>
      <c r="AD11" s="267"/>
      <c r="AE11" s="260"/>
      <c r="AF11" s="258"/>
      <c r="AG11" s="258"/>
      <c r="AH11" s="258"/>
      <c r="AI11" s="258"/>
      <c r="AJ11" s="258"/>
      <c r="AK11" s="258"/>
      <c r="AL11" s="257"/>
      <c r="AM11" s="258"/>
      <c r="AN11" s="258"/>
      <c r="AO11" s="258"/>
      <c r="AP11" s="258"/>
      <c r="AQ11" s="258"/>
      <c r="AR11" s="270"/>
      <c r="AS11" s="270"/>
      <c r="AT11" s="256"/>
      <c r="AU11" s="251"/>
      <c r="AV11" s="253"/>
      <c r="AW11" s="256"/>
      <c r="AX11" s="257"/>
      <c r="AY11" s="258"/>
      <c r="AZ11" s="258"/>
      <c r="BA11" s="258"/>
      <c r="BB11" s="259"/>
      <c r="BC11" s="260"/>
      <c r="BD11" s="259"/>
      <c r="BE11" s="260"/>
      <c r="BF11" s="259"/>
    </row>
    <row r="12" spans="1:58" s="191" customFormat="1" ht="15">
      <c r="A12" s="231"/>
      <c r="B12" s="232"/>
      <c r="C12" s="233">
        <f t="shared" si="2"/>
        <v>0</v>
      </c>
      <c r="D12" s="261">
        <f t="shared" si="7"/>
        <v>0</v>
      </c>
      <c r="E12" s="262">
        <f t="shared" si="8"/>
        <v>0</v>
      </c>
      <c r="F12" s="262">
        <f t="shared" si="9"/>
        <v>0</v>
      </c>
      <c r="G12" s="234">
        <f t="shared" si="3"/>
        <v>0</v>
      </c>
      <c r="H12" s="262">
        <f t="shared" si="10"/>
        <v>0</v>
      </c>
      <c r="I12" s="234">
        <f t="shared" si="4"/>
        <v>0</v>
      </c>
      <c r="J12" s="235">
        <f t="shared" si="5"/>
        <v>0</v>
      </c>
      <c r="K12" s="263"/>
      <c r="L12" s="263"/>
      <c r="M12" s="236"/>
      <c r="N12" s="265"/>
      <c r="O12" s="266"/>
      <c r="P12" s="265"/>
      <c r="Q12" s="265"/>
      <c r="R12" s="241">
        <f t="shared" si="6"/>
        <v>0</v>
      </c>
      <c r="S12" s="373"/>
      <c r="T12" s="269"/>
      <c r="U12" s="375"/>
      <c r="V12" s="267"/>
      <c r="W12" s="260"/>
      <c r="X12" s="260"/>
      <c r="Y12" s="260"/>
      <c r="Z12" s="260"/>
      <c r="AA12" s="268"/>
      <c r="AB12" s="248"/>
      <c r="AC12" s="259"/>
      <c r="AD12" s="267"/>
      <c r="AE12" s="260"/>
      <c r="AF12" s="258"/>
      <c r="AG12" s="258"/>
      <c r="AH12" s="258"/>
      <c r="AI12" s="258"/>
      <c r="AJ12" s="258"/>
      <c r="AK12" s="258"/>
      <c r="AL12" s="257"/>
      <c r="AM12" s="258"/>
      <c r="AN12" s="258"/>
      <c r="AO12" s="258"/>
      <c r="AP12" s="258"/>
      <c r="AQ12" s="258"/>
      <c r="AR12" s="270"/>
      <c r="AS12" s="270"/>
      <c r="AT12" s="256"/>
      <c r="AU12" s="251"/>
      <c r="AV12" s="253"/>
      <c r="AW12" s="256"/>
      <c r="AX12" s="257"/>
      <c r="AY12" s="258"/>
      <c r="AZ12" s="258"/>
      <c r="BA12" s="258"/>
      <c r="BB12" s="259"/>
      <c r="BC12" s="260"/>
      <c r="BD12" s="259"/>
      <c r="BE12" s="260"/>
      <c r="BF12" s="259"/>
    </row>
    <row r="13" spans="1:58" s="191" customFormat="1" ht="15">
      <c r="A13" s="231"/>
      <c r="B13" s="232"/>
      <c r="C13" s="233">
        <f t="shared" si="2"/>
        <v>0</v>
      </c>
      <c r="D13" s="261">
        <f t="shared" si="7"/>
        <v>0</v>
      </c>
      <c r="E13" s="262">
        <f t="shared" si="8"/>
        <v>0</v>
      </c>
      <c r="F13" s="262">
        <f t="shared" si="9"/>
        <v>0</v>
      </c>
      <c r="G13" s="234">
        <f t="shared" si="3"/>
        <v>0</v>
      </c>
      <c r="H13" s="262">
        <f t="shared" si="10"/>
        <v>0</v>
      </c>
      <c r="I13" s="234">
        <f t="shared" si="4"/>
        <v>0</v>
      </c>
      <c r="J13" s="235">
        <f t="shared" si="5"/>
        <v>0</v>
      </c>
      <c r="K13" s="263"/>
      <c r="L13" s="263"/>
      <c r="M13" s="236"/>
      <c r="N13" s="265"/>
      <c r="O13" s="266"/>
      <c r="P13" s="265"/>
      <c r="Q13" s="265"/>
      <c r="R13" s="241">
        <f t="shared" si="6"/>
        <v>0</v>
      </c>
      <c r="S13" s="373"/>
      <c r="T13" s="269"/>
      <c r="U13" s="375"/>
      <c r="V13" s="267"/>
      <c r="W13" s="260"/>
      <c r="X13" s="260"/>
      <c r="Y13" s="260"/>
      <c r="Z13" s="260"/>
      <c r="AA13" s="268"/>
      <c r="AB13" s="248"/>
      <c r="AC13" s="259"/>
      <c r="AD13" s="267"/>
      <c r="AE13" s="260"/>
      <c r="AF13" s="258"/>
      <c r="AG13" s="258"/>
      <c r="AH13" s="258"/>
      <c r="AI13" s="258"/>
      <c r="AJ13" s="258"/>
      <c r="AK13" s="258"/>
      <c r="AL13" s="257"/>
      <c r="AM13" s="258"/>
      <c r="AN13" s="258"/>
      <c r="AO13" s="258"/>
      <c r="AP13" s="258"/>
      <c r="AQ13" s="258"/>
      <c r="AR13" s="270"/>
      <c r="AS13" s="270"/>
      <c r="AT13" s="256"/>
      <c r="AU13" s="251"/>
      <c r="AV13" s="253"/>
      <c r="AW13" s="256"/>
      <c r="AX13" s="257"/>
      <c r="AY13" s="258"/>
      <c r="AZ13" s="258"/>
      <c r="BA13" s="258"/>
      <c r="BB13" s="259"/>
      <c r="BC13" s="260"/>
      <c r="BD13" s="259"/>
      <c r="BE13" s="260"/>
      <c r="BF13" s="259"/>
    </row>
    <row r="14" spans="1:58" s="191" customFormat="1" ht="15">
      <c r="A14" s="231"/>
      <c r="B14" s="232"/>
      <c r="C14" s="233">
        <f t="shared" si="2"/>
        <v>0</v>
      </c>
      <c r="D14" s="261">
        <f t="shared" si="7"/>
        <v>0</v>
      </c>
      <c r="E14" s="262">
        <f t="shared" si="8"/>
        <v>0</v>
      </c>
      <c r="F14" s="262">
        <f t="shared" si="9"/>
        <v>0</v>
      </c>
      <c r="G14" s="234">
        <f t="shared" si="3"/>
        <v>0</v>
      </c>
      <c r="H14" s="262">
        <f t="shared" si="10"/>
        <v>0</v>
      </c>
      <c r="I14" s="234">
        <f t="shared" si="4"/>
        <v>0</v>
      </c>
      <c r="J14" s="235">
        <f t="shared" si="5"/>
        <v>0</v>
      </c>
      <c r="K14" s="263"/>
      <c r="L14" s="263"/>
      <c r="M14" s="236"/>
      <c r="N14" s="265"/>
      <c r="O14" s="266"/>
      <c r="P14" s="265"/>
      <c r="Q14" s="265"/>
      <c r="R14" s="241">
        <f t="shared" si="6"/>
        <v>0</v>
      </c>
      <c r="S14" s="373"/>
      <c r="T14" s="269"/>
      <c r="U14" s="375"/>
      <c r="V14" s="267"/>
      <c r="W14" s="260"/>
      <c r="X14" s="260"/>
      <c r="Y14" s="260"/>
      <c r="Z14" s="260"/>
      <c r="AA14" s="268"/>
      <c r="AB14" s="248"/>
      <c r="AC14" s="259"/>
      <c r="AD14" s="267"/>
      <c r="AE14" s="260"/>
      <c r="AF14" s="258"/>
      <c r="AG14" s="258"/>
      <c r="AH14" s="258"/>
      <c r="AI14" s="258"/>
      <c r="AJ14" s="258"/>
      <c r="AK14" s="258"/>
      <c r="AL14" s="257"/>
      <c r="AM14" s="258"/>
      <c r="AN14" s="258"/>
      <c r="AO14" s="258"/>
      <c r="AP14" s="258"/>
      <c r="AQ14" s="258"/>
      <c r="AR14" s="270"/>
      <c r="AS14" s="270"/>
      <c r="AT14" s="256"/>
      <c r="AU14" s="251"/>
      <c r="AV14" s="253"/>
      <c r="AW14" s="256"/>
      <c r="AX14" s="257"/>
      <c r="AY14" s="258"/>
      <c r="AZ14" s="258"/>
      <c r="BA14" s="258"/>
      <c r="BB14" s="259"/>
      <c r="BC14" s="260"/>
      <c r="BD14" s="259"/>
      <c r="BE14" s="260"/>
      <c r="BF14" s="259"/>
    </row>
    <row r="15" spans="1:58" s="191" customFormat="1" ht="15">
      <c r="A15" s="231"/>
      <c r="B15" s="232"/>
      <c r="C15" s="233">
        <f t="shared" si="2"/>
        <v>0</v>
      </c>
      <c r="D15" s="261">
        <f t="shared" si="7"/>
        <v>0</v>
      </c>
      <c r="E15" s="262">
        <f t="shared" si="8"/>
        <v>0</v>
      </c>
      <c r="F15" s="262">
        <f t="shared" si="9"/>
        <v>0</v>
      </c>
      <c r="G15" s="234">
        <f t="shared" si="3"/>
        <v>0</v>
      </c>
      <c r="H15" s="262">
        <f t="shared" si="10"/>
        <v>0</v>
      </c>
      <c r="I15" s="234">
        <f t="shared" si="4"/>
        <v>0</v>
      </c>
      <c r="J15" s="235">
        <f t="shared" si="5"/>
        <v>0</v>
      </c>
      <c r="K15" s="263"/>
      <c r="L15" s="263"/>
      <c r="M15" s="236"/>
      <c r="N15" s="265"/>
      <c r="O15" s="266"/>
      <c r="P15" s="265"/>
      <c r="Q15" s="265"/>
      <c r="R15" s="241">
        <f t="shared" si="6"/>
        <v>0</v>
      </c>
      <c r="S15" s="373"/>
      <c r="T15" s="269"/>
      <c r="U15" s="375"/>
      <c r="V15" s="267"/>
      <c r="W15" s="260"/>
      <c r="X15" s="260"/>
      <c r="Y15" s="260"/>
      <c r="Z15" s="260"/>
      <c r="AA15" s="268"/>
      <c r="AB15" s="248"/>
      <c r="AC15" s="259"/>
      <c r="AD15" s="267"/>
      <c r="AE15" s="260"/>
      <c r="AF15" s="258"/>
      <c r="AG15" s="258"/>
      <c r="AH15" s="258"/>
      <c r="AI15" s="258"/>
      <c r="AJ15" s="258"/>
      <c r="AK15" s="258"/>
      <c r="AL15" s="257"/>
      <c r="AM15" s="258"/>
      <c r="AN15" s="258"/>
      <c r="AO15" s="258"/>
      <c r="AP15" s="258"/>
      <c r="AQ15" s="258"/>
      <c r="AR15" s="270"/>
      <c r="AS15" s="270"/>
      <c r="AT15" s="256"/>
      <c r="AU15" s="251"/>
      <c r="AV15" s="253"/>
      <c r="AW15" s="256"/>
      <c r="AX15" s="257"/>
      <c r="AY15" s="258"/>
      <c r="AZ15" s="258"/>
      <c r="BA15" s="258"/>
      <c r="BB15" s="259"/>
      <c r="BC15" s="260"/>
      <c r="BD15" s="259"/>
      <c r="BE15" s="260"/>
      <c r="BF15" s="259"/>
    </row>
    <row r="16" spans="1:58" s="191" customFormat="1" ht="15">
      <c r="A16" s="231"/>
      <c r="B16" s="232"/>
      <c r="C16" s="233">
        <f t="shared" si="2"/>
        <v>0</v>
      </c>
      <c r="D16" s="261">
        <f t="shared" si="7"/>
        <v>0</v>
      </c>
      <c r="E16" s="262">
        <f t="shared" si="8"/>
        <v>0</v>
      </c>
      <c r="F16" s="262">
        <f t="shared" si="9"/>
        <v>0</v>
      </c>
      <c r="G16" s="234">
        <f t="shared" si="3"/>
        <v>0</v>
      </c>
      <c r="H16" s="262">
        <f t="shared" si="10"/>
        <v>0</v>
      </c>
      <c r="I16" s="234">
        <f t="shared" si="4"/>
        <v>0</v>
      </c>
      <c r="J16" s="235">
        <f t="shared" si="5"/>
        <v>0</v>
      </c>
      <c r="K16" s="263"/>
      <c r="L16" s="263"/>
      <c r="M16" s="236"/>
      <c r="N16" s="265"/>
      <c r="O16" s="266"/>
      <c r="P16" s="265"/>
      <c r="Q16" s="265"/>
      <c r="R16" s="241">
        <f t="shared" si="6"/>
        <v>0</v>
      </c>
      <c r="S16" s="373"/>
      <c r="T16" s="269"/>
      <c r="U16" s="375"/>
      <c r="V16" s="267"/>
      <c r="W16" s="260"/>
      <c r="X16" s="260"/>
      <c r="Y16" s="260"/>
      <c r="Z16" s="260"/>
      <c r="AA16" s="268"/>
      <c r="AB16" s="248"/>
      <c r="AC16" s="259"/>
      <c r="AD16" s="267"/>
      <c r="AE16" s="260"/>
      <c r="AF16" s="258"/>
      <c r="AG16" s="258"/>
      <c r="AH16" s="258"/>
      <c r="AI16" s="258"/>
      <c r="AJ16" s="258"/>
      <c r="AK16" s="258"/>
      <c r="AL16" s="257"/>
      <c r="AM16" s="258"/>
      <c r="AN16" s="258"/>
      <c r="AO16" s="258"/>
      <c r="AP16" s="258"/>
      <c r="AQ16" s="258"/>
      <c r="AR16" s="270"/>
      <c r="AS16" s="270"/>
      <c r="AT16" s="256"/>
      <c r="AU16" s="251"/>
      <c r="AV16" s="253"/>
      <c r="AW16" s="256"/>
      <c r="AX16" s="257"/>
      <c r="AY16" s="258"/>
      <c r="AZ16" s="258"/>
      <c r="BA16" s="258"/>
      <c r="BB16" s="259"/>
      <c r="BC16" s="260"/>
      <c r="BD16" s="259"/>
      <c r="BE16" s="260"/>
      <c r="BF16" s="259"/>
    </row>
    <row r="17" spans="1:58" s="191" customFormat="1" ht="15">
      <c r="A17" s="231"/>
      <c r="B17" s="232"/>
      <c r="C17" s="233">
        <f t="shared" si="2"/>
        <v>0</v>
      </c>
      <c r="D17" s="261">
        <f t="shared" si="7"/>
        <v>0</v>
      </c>
      <c r="E17" s="262">
        <f t="shared" si="8"/>
        <v>0</v>
      </c>
      <c r="F17" s="262">
        <f t="shared" si="9"/>
        <v>0</v>
      </c>
      <c r="G17" s="234">
        <f t="shared" si="3"/>
        <v>0</v>
      </c>
      <c r="H17" s="262">
        <f t="shared" si="10"/>
        <v>0</v>
      </c>
      <c r="I17" s="234">
        <f t="shared" si="4"/>
        <v>0</v>
      </c>
      <c r="J17" s="235">
        <f t="shared" si="5"/>
        <v>0</v>
      </c>
      <c r="K17" s="263"/>
      <c r="L17" s="263"/>
      <c r="M17" s="236"/>
      <c r="N17" s="265"/>
      <c r="O17" s="266"/>
      <c r="P17" s="265"/>
      <c r="Q17" s="265"/>
      <c r="R17" s="241">
        <f t="shared" si="6"/>
        <v>0</v>
      </c>
      <c r="S17" s="373"/>
      <c r="T17" s="269"/>
      <c r="U17" s="375"/>
      <c r="V17" s="267"/>
      <c r="W17" s="260"/>
      <c r="X17" s="260"/>
      <c r="Y17" s="260"/>
      <c r="Z17" s="260"/>
      <c r="AA17" s="268"/>
      <c r="AB17" s="248"/>
      <c r="AC17" s="259"/>
      <c r="AD17" s="267"/>
      <c r="AE17" s="260"/>
      <c r="AF17" s="258"/>
      <c r="AG17" s="258"/>
      <c r="AH17" s="258"/>
      <c r="AI17" s="258"/>
      <c r="AJ17" s="258"/>
      <c r="AK17" s="258"/>
      <c r="AL17" s="257"/>
      <c r="AM17" s="258"/>
      <c r="AN17" s="258"/>
      <c r="AO17" s="258"/>
      <c r="AP17" s="258"/>
      <c r="AQ17" s="258"/>
      <c r="AR17" s="270"/>
      <c r="AS17" s="270"/>
      <c r="AT17" s="256"/>
      <c r="AU17" s="251"/>
      <c r="AV17" s="253"/>
      <c r="AW17" s="256"/>
      <c r="AX17" s="257"/>
      <c r="AY17" s="258"/>
      <c r="AZ17" s="258"/>
      <c r="BA17" s="258"/>
      <c r="BB17" s="259"/>
      <c r="BC17" s="260"/>
      <c r="BD17" s="259"/>
      <c r="BE17" s="260"/>
      <c r="BF17" s="259"/>
    </row>
    <row r="18" spans="1:58" s="191" customFormat="1" ht="15">
      <c r="A18" s="231"/>
      <c r="B18" s="232"/>
      <c r="C18" s="233">
        <f t="shared" si="2"/>
        <v>0</v>
      </c>
      <c r="D18" s="261">
        <f t="shared" si="7"/>
        <v>0</v>
      </c>
      <c r="E18" s="262">
        <f t="shared" si="8"/>
        <v>0</v>
      </c>
      <c r="F18" s="262">
        <f t="shared" si="9"/>
        <v>0</v>
      </c>
      <c r="G18" s="234">
        <f t="shared" si="3"/>
        <v>0</v>
      </c>
      <c r="H18" s="262">
        <f t="shared" si="10"/>
        <v>0</v>
      </c>
      <c r="I18" s="234">
        <f t="shared" si="4"/>
        <v>0</v>
      </c>
      <c r="J18" s="235">
        <f t="shared" si="5"/>
        <v>0</v>
      </c>
      <c r="K18" s="263"/>
      <c r="L18" s="263"/>
      <c r="M18" s="236"/>
      <c r="N18" s="265"/>
      <c r="O18" s="266"/>
      <c r="P18" s="265"/>
      <c r="Q18" s="265"/>
      <c r="R18" s="241">
        <f t="shared" si="6"/>
        <v>0</v>
      </c>
      <c r="S18" s="373"/>
      <c r="T18" s="269"/>
      <c r="U18" s="375"/>
      <c r="V18" s="267"/>
      <c r="W18" s="260"/>
      <c r="X18" s="260"/>
      <c r="Y18" s="260"/>
      <c r="Z18" s="260"/>
      <c r="AA18" s="268"/>
      <c r="AB18" s="248"/>
      <c r="AC18" s="259"/>
      <c r="AD18" s="267"/>
      <c r="AE18" s="260"/>
      <c r="AF18" s="258"/>
      <c r="AG18" s="258"/>
      <c r="AH18" s="258"/>
      <c r="AI18" s="258"/>
      <c r="AJ18" s="258"/>
      <c r="AK18" s="258"/>
      <c r="AL18" s="257"/>
      <c r="AM18" s="258"/>
      <c r="AN18" s="258"/>
      <c r="AO18" s="258"/>
      <c r="AP18" s="258"/>
      <c r="AQ18" s="258"/>
      <c r="AR18" s="270"/>
      <c r="AS18" s="270"/>
      <c r="AT18" s="256"/>
      <c r="AU18" s="251"/>
      <c r="AV18" s="253"/>
      <c r="AW18" s="256"/>
      <c r="AX18" s="257"/>
      <c r="AY18" s="258"/>
      <c r="AZ18" s="258"/>
      <c r="BA18" s="258"/>
      <c r="BB18" s="259"/>
      <c r="BC18" s="260"/>
      <c r="BD18" s="259"/>
      <c r="BE18" s="260"/>
      <c r="BF18" s="259"/>
    </row>
    <row r="19" spans="1:58" s="191" customFormat="1" ht="15">
      <c r="A19" s="231"/>
      <c r="B19" s="232"/>
      <c r="C19" s="233">
        <f t="shared" si="2"/>
        <v>0</v>
      </c>
      <c r="D19" s="261">
        <f t="shared" si="7"/>
        <v>0</v>
      </c>
      <c r="E19" s="262">
        <f t="shared" si="8"/>
        <v>0</v>
      </c>
      <c r="F19" s="262">
        <f t="shared" si="9"/>
        <v>0</v>
      </c>
      <c r="G19" s="234">
        <f t="shared" si="3"/>
        <v>0</v>
      </c>
      <c r="H19" s="262">
        <f t="shared" si="10"/>
        <v>0</v>
      </c>
      <c r="I19" s="234">
        <f t="shared" si="4"/>
        <v>0</v>
      </c>
      <c r="J19" s="235">
        <f t="shared" si="5"/>
        <v>0</v>
      </c>
      <c r="K19" s="263"/>
      <c r="L19" s="263"/>
      <c r="M19" s="236"/>
      <c r="N19" s="265"/>
      <c r="O19" s="266"/>
      <c r="P19" s="265"/>
      <c r="Q19" s="265"/>
      <c r="R19" s="241">
        <f t="shared" si="6"/>
        <v>0</v>
      </c>
      <c r="S19" s="373"/>
      <c r="T19" s="269"/>
      <c r="U19" s="375"/>
      <c r="V19" s="267"/>
      <c r="W19" s="260"/>
      <c r="X19" s="260"/>
      <c r="Y19" s="260"/>
      <c r="Z19" s="260"/>
      <c r="AA19" s="268"/>
      <c r="AB19" s="248"/>
      <c r="AC19" s="259"/>
      <c r="AD19" s="267"/>
      <c r="AE19" s="260"/>
      <c r="AF19" s="258"/>
      <c r="AG19" s="258"/>
      <c r="AH19" s="258"/>
      <c r="AI19" s="258"/>
      <c r="AJ19" s="258"/>
      <c r="AK19" s="258"/>
      <c r="AL19" s="257"/>
      <c r="AM19" s="258"/>
      <c r="AN19" s="258"/>
      <c r="AO19" s="258"/>
      <c r="AP19" s="258"/>
      <c r="AQ19" s="258"/>
      <c r="AR19" s="270"/>
      <c r="AS19" s="270"/>
      <c r="AT19" s="256"/>
      <c r="AU19" s="251"/>
      <c r="AV19" s="253"/>
      <c r="AW19" s="256"/>
      <c r="AX19" s="257"/>
      <c r="AY19" s="258"/>
      <c r="AZ19" s="258"/>
      <c r="BA19" s="258"/>
      <c r="BB19" s="259"/>
      <c r="BC19" s="260"/>
      <c r="BD19" s="259"/>
      <c r="BE19" s="260"/>
      <c r="BF19" s="259"/>
    </row>
    <row r="20" spans="1:58" s="191" customFormat="1" ht="15" hidden="1">
      <c r="A20" s="231"/>
      <c r="B20" s="385"/>
      <c r="C20" s="233">
        <f t="shared" si="2"/>
        <v>0</v>
      </c>
      <c r="D20" s="261">
        <f t="shared" si="7"/>
        <v>0</v>
      </c>
      <c r="E20" s="262">
        <f t="shared" si="8"/>
        <v>0</v>
      </c>
      <c r="F20" s="262">
        <f t="shared" si="9"/>
        <v>0</v>
      </c>
      <c r="G20" s="234">
        <f t="shared" si="3"/>
        <v>0</v>
      </c>
      <c r="H20" s="262">
        <f t="shared" si="10"/>
        <v>0</v>
      </c>
      <c r="I20" s="234">
        <f t="shared" si="4"/>
        <v>0</v>
      </c>
      <c r="J20" s="235">
        <f t="shared" si="5"/>
        <v>0</v>
      </c>
      <c r="K20" s="263"/>
      <c r="L20" s="263"/>
      <c r="M20" s="236"/>
      <c r="N20" s="265"/>
      <c r="O20" s="266"/>
      <c r="P20" s="265"/>
      <c r="Q20" s="265"/>
      <c r="R20" s="241">
        <f t="shared" si="6"/>
        <v>0</v>
      </c>
      <c r="S20" s="386"/>
      <c r="T20" s="271"/>
      <c r="U20" s="386"/>
      <c r="V20" s="267"/>
      <c r="W20" s="260"/>
      <c r="X20" s="260"/>
      <c r="Y20" s="260"/>
      <c r="Z20" s="260"/>
      <c r="AA20" s="268"/>
      <c r="AB20" s="248"/>
      <c r="AC20" s="259"/>
      <c r="AD20" s="267"/>
      <c r="AE20" s="260"/>
      <c r="AF20" s="258"/>
      <c r="AG20" s="258"/>
      <c r="AH20" s="258"/>
      <c r="AI20" s="258"/>
      <c r="AJ20" s="258"/>
      <c r="AK20" s="258"/>
      <c r="AL20" s="257"/>
      <c r="AM20" s="258"/>
      <c r="AN20" s="258"/>
      <c r="AO20" s="258"/>
      <c r="AP20" s="258"/>
      <c r="AQ20" s="258"/>
      <c r="AR20" s="270"/>
      <c r="AS20" s="270"/>
      <c r="AT20" s="256"/>
      <c r="AU20" s="257"/>
      <c r="AV20" s="272"/>
      <c r="AW20" s="256"/>
      <c r="AX20" s="257"/>
      <c r="AY20" s="258"/>
      <c r="AZ20" s="258"/>
      <c r="BA20" s="258"/>
      <c r="BB20" s="259"/>
      <c r="BC20" s="260"/>
      <c r="BD20" s="259"/>
      <c r="BE20" s="260"/>
      <c r="BF20" s="259"/>
    </row>
    <row r="21" spans="1:58" s="191" customFormat="1" hidden="1">
      <c r="A21" s="231"/>
      <c r="B21" s="385"/>
      <c r="C21" s="233">
        <f t="shared" si="2"/>
        <v>0</v>
      </c>
      <c r="D21" s="261">
        <f t="shared" si="7"/>
        <v>0</v>
      </c>
      <c r="E21" s="262">
        <f t="shared" si="8"/>
        <v>0</v>
      </c>
      <c r="F21" s="262">
        <f t="shared" si="9"/>
        <v>0</v>
      </c>
      <c r="G21" s="262">
        <f t="shared" si="3"/>
        <v>0</v>
      </c>
      <c r="H21" s="262">
        <f t="shared" si="10"/>
        <v>0</v>
      </c>
      <c r="I21" s="234">
        <f t="shared" si="4"/>
        <v>0</v>
      </c>
      <c r="J21" s="235">
        <f t="shared" si="5"/>
        <v>0</v>
      </c>
      <c r="K21" s="263"/>
      <c r="L21" s="263"/>
      <c r="M21" s="273"/>
      <c r="N21" s="265"/>
      <c r="O21" s="266"/>
      <c r="P21" s="265"/>
      <c r="Q21" s="265"/>
      <c r="R21" s="241">
        <f t="shared" si="6"/>
        <v>0</v>
      </c>
      <c r="S21" s="387"/>
      <c r="T21" s="274"/>
      <c r="U21" s="387"/>
      <c r="V21" s="267"/>
      <c r="W21" s="260"/>
      <c r="X21" s="260"/>
      <c r="Y21" s="260"/>
      <c r="Z21" s="260"/>
      <c r="AA21" s="268"/>
      <c r="AB21" s="248"/>
      <c r="AC21" s="259"/>
      <c r="AD21" s="267"/>
      <c r="AE21" s="260"/>
      <c r="AF21" s="258"/>
      <c r="AG21" s="258"/>
      <c r="AH21" s="258"/>
      <c r="AI21" s="258"/>
      <c r="AJ21" s="258"/>
      <c r="AK21" s="258"/>
      <c r="AL21" s="257"/>
      <c r="AM21" s="258"/>
      <c r="AN21" s="258"/>
      <c r="AO21" s="258"/>
      <c r="AP21" s="258"/>
      <c r="AQ21" s="258"/>
      <c r="AR21" s="270"/>
      <c r="AS21" s="270"/>
      <c r="AT21" s="256"/>
      <c r="AU21" s="257"/>
      <c r="AV21" s="272"/>
      <c r="AW21" s="256"/>
      <c r="AX21" s="257"/>
      <c r="AY21" s="258"/>
      <c r="AZ21" s="258"/>
      <c r="BA21" s="258"/>
      <c r="BB21" s="259"/>
      <c r="BC21" s="260"/>
      <c r="BD21" s="259"/>
      <c r="BE21" s="260"/>
      <c r="BF21" s="259"/>
    </row>
    <row r="22" spans="1:58" s="191" customFormat="1" hidden="1">
      <c r="A22" s="275"/>
      <c r="B22" s="385"/>
      <c r="C22" s="233">
        <f t="shared" si="2"/>
        <v>0</v>
      </c>
      <c r="D22" s="276">
        <f t="shared" si="7"/>
        <v>0</v>
      </c>
      <c r="E22" s="277">
        <f t="shared" si="8"/>
        <v>0</v>
      </c>
      <c r="F22" s="277">
        <f t="shared" si="9"/>
        <v>0</v>
      </c>
      <c r="G22" s="277">
        <f t="shared" si="3"/>
        <v>0</v>
      </c>
      <c r="H22" s="277">
        <f t="shared" si="10"/>
        <v>0</v>
      </c>
      <c r="I22" s="234">
        <f t="shared" si="4"/>
        <v>0</v>
      </c>
      <c r="J22" s="235">
        <f t="shared" si="5"/>
        <v>0</v>
      </c>
      <c r="K22" s="278"/>
      <c r="L22" s="278"/>
      <c r="M22" s="279"/>
      <c r="N22" s="280"/>
      <c r="O22" s="281"/>
      <c r="P22" s="280"/>
      <c r="Q22" s="280"/>
      <c r="R22" s="282">
        <f>R21+SUM(O22:Q22)-SUM(J22:N22)</f>
        <v>0</v>
      </c>
      <c r="S22" s="387"/>
      <c r="T22" s="283"/>
      <c r="U22" s="387"/>
      <c r="V22" s="284"/>
      <c r="W22" s="285"/>
      <c r="X22" s="285"/>
      <c r="Y22" s="285"/>
      <c r="Z22" s="285"/>
      <c r="AA22" s="286"/>
      <c r="AB22" s="287"/>
      <c r="AC22" s="288"/>
      <c r="AD22" s="284"/>
      <c r="AE22" s="285"/>
      <c r="AF22" s="289"/>
      <c r="AG22" s="289"/>
      <c r="AH22" s="289"/>
      <c r="AI22" s="289"/>
      <c r="AJ22" s="289"/>
      <c r="AK22" s="289"/>
      <c r="AL22" s="290"/>
      <c r="AM22" s="289"/>
      <c r="AN22" s="289"/>
      <c r="AO22" s="289"/>
      <c r="AP22" s="289"/>
      <c r="AQ22" s="291"/>
      <c r="AR22" s="292"/>
      <c r="AS22" s="292"/>
      <c r="AT22" s="293"/>
      <c r="AU22" s="290"/>
      <c r="AV22" s="294"/>
      <c r="AW22" s="293"/>
      <c r="AX22" s="290"/>
      <c r="AY22" s="289"/>
      <c r="AZ22" s="289"/>
      <c r="BA22" s="289"/>
      <c r="BB22" s="288"/>
      <c r="BC22" s="285"/>
      <c r="BD22" s="288"/>
      <c r="BE22" s="285"/>
      <c r="BF22" s="288"/>
    </row>
    <row r="23" spans="1:58">
      <c r="A23" s="469" t="s">
        <v>97</v>
      </c>
      <c r="B23" s="470"/>
      <c r="C23" s="371"/>
      <c r="D23" s="295">
        <f>SUM(D5:D22)</f>
        <v>0</v>
      </c>
      <c r="E23" s="295">
        <f>SUM(E5:E22)</f>
        <v>0</v>
      </c>
      <c r="F23" s="295">
        <f>SUM(F5:F22)</f>
        <v>0</v>
      </c>
      <c r="G23" s="295">
        <f>SUM(G5:G22)</f>
        <v>0</v>
      </c>
      <c r="H23" s="295">
        <f t="shared" ref="H23:Q23" si="11">SUM(H5:H22)</f>
        <v>0</v>
      </c>
      <c r="I23" s="295">
        <f t="shared" si="11"/>
        <v>0</v>
      </c>
      <c r="J23" s="295">
        <f t="shared" si="11"/>
        <v>0</v>
      </c>
      <c r="K23" s="295">
        <f t="shared" si="11"/>
        <v>0</v>
      </c>
      <c r="L23" s="295">
        <f t="shared" si="11"/>
        <v>0</v>
      </c>
      <c r="M23" s="295">
        <f t="shared" si="11"/>
        <v>0</v>
      </c>
      <c r="N23" s="295">
        <f t="shared" si="11"/>
        <v>0</v>
      </c>
      <c r="O23" s="295">
        <f t="shared" si="11"/>
        <v>0</v>
      </c>
      <c r="P23" s="295">
        <f t="shared" si="11"/>
        <v>0</v>
      </c>
      <c r="Q23" s="295">
        <f t="shared" si="11"/>
        <v>0</v>
      </c>
      <c r="R23" s="296">
        <f>SUM(R4+SUM(N23:Q23)-SUM(J23:M23))</f>
        <v>0</v>
      </c>
      <c r="S23" s="297"/>
      <c r="T23" s="295"/>
      <c r="U23" s="298"/>
      <c r="V23" s="299">
        <f>SUM(V5:V22)</f>
        <v>0</v>
      </c>
      <c r="W23" s="299">
        <f>SUM(W5:W22)</f>
        <v>0</v>
      </c>
      <c r="X23" s="299">
        <f>SUM(X5:X22)</f>
        <v>0</v>
      </c>
      <c r="Y23" s="299">
        <f>SUM(Y5:Y22)</f>
        <v>0</v>
      </c>
      <c r="Z23" s="299">
        <f>SUM(Z5:Z22)</f>
        <v>0</v>
      </c>
      <c r="AA23" s="299"/>
      <c r="AB23" s="299">
        <f>SUM(AB5:AB22)</f>
        <v>0</v>
      </c>
      <c r="AC23" s="299">
        <f>SUM(AC5:AC22)</f>
        <v>0</v>
      </c>
      <c r="AD23" s="299">
        <f t="shared" ref="AD23:BF23" si="12">SUM(AD5:AD22)</f>
        <v>0</v>
      </c>
      <c r="AE23" s="299">
        <f t="shared" si="12"/>
        <v>0</v>
      </c>
      <c r="AF23" s="299">
        <f t="shared" si="12"/>
        <v>0</v>
      </c>
      <c r="AG23" s="299">
        <f t="shared" si="12"/>
        <v>0</v>
      </c>
      <c r="AH23" s="299">
        <f t="shared" si="12"/>
        <v>0</v>
      </c>
      <c r="AI23" s="299">
        <f t="shared" si="12"/>
        <v>0</v>
      </c>
      <c r="AJ23" s="299">
        <f t="shared" si="12"/>
        <v>0</v>
      </c>
      <c r="AK23" s="299">
        <f t="shared" si="12"/>
        <v>0</v>
      </c>
      <c r="AL23" s="299">
        <f t="shared" si="12"/>
        <v>0</v>
      </c>
      <c r="AM23" s="299">
        <f t="shared" si="12"/>
        <v>0</v>
      </c>
      <c r="AN23" s="299">
        <f t="shared" si="12"/>
        <v>0</v>
      </c>
      <c r="AO23" s="299">
        <f t="shared" si="12"/>
        <v>0</v>
      </c>
      <c r="AP23" s="299">
        <f t="shared" si="12"/>
        <v>0</v>
      </c>
      <c r="AQ23" s="299">
        <f t="shared" si="12"/>
        <v>0</v>
      </c>
      <c r="AR23" s="299">
        <f t="shared" si="12"/>
        <v>0</v>
      </c>
      <c r="AS23" s="299">
        <f t="shared" si="12"/>
        <v>0</v>
      </c>
      <c r="AT23" s="299">
        <f t="shared" si="12"/>
        <v>0</v>
      </c>
      <c r="AU23" s="299">
        <f t="shared" si="12"/>
        <v>0</v>
      </c>
      <c r="AV23" s="299">
        <f t="shared" si="12"/>
        <v>0</v>
      </c>
      <c r="AW23" s="299">
        <f t="shared" si="12"/>
        <v>0</v>
      </c>
      <c r="AX23" s="299">
        <f t="shared" si="12"/>
        <v>0</v>
      </c>
      <c r="AY23" s="299">
        <f t="shared" si="12"/>
        <v>0</v>
      </c>
      <c r="AZ23" s="299">
        <f t="shared" si="12"/>
        <v>0</v>
      </c>
      <c r="BA23" s="299">
        <f t="shared" si="12"/>
        <v>0</v>
      </c>
      <c r="BB23" s="299">
        <f t="shared" si="12"/>
        <v>0</v>
      </c>
      <c r="BC23" s="299">
        <f t="shared" si="12"/>
        <v>0</v>
      </c>
      <c r="BD23" s="299">
        <f t="shared" si="12"/>
        <v>0</v>
      </c>
      <c r="BE23" s="299">
        <f t="shared" si="12"/>
        <v>0</v>
      </c>
      <c r="BF23" s="300">
        <f t="shared" si="12"/>
        <v>0</v>
      </c>
    </row>
    <row r="24" spans="1:58" hidden="1">
      <c r="A24" s="301" t="s">
        <v>98</v>
      </c>
      <c r="B24" s="302"/>
      <c r="C24" s="303"/>
      <c r="D24" s="304"/>
      <c r="E24" s="305"/>
      <c r="F24" s="305"/>
      <c r="G24" s="305"/>
      <c r="H24" s="305"/>
      <c r="I24" s="305"/>
      <c r="J24" s="306">
        <f>SUM(D24:I24)</f>
        <v>0</v>
      </c>
      <c r="K24" s="307"/>
      <c r="L24" s="307"/>
      <c r="M24" s="308"/>
      <c r="N24" s="309"/>
      <c r="O24" s="310"/>
      <c r="P24" s="311"/>
      <c r="Q24" s="311"/>
      <c r="R24" s="312"/>
      <c r="S24" s="304"/>
      <c r="T24" s="305"/>
      <c r="U24" s="313"/>
      <c r="V24" s="314"/>
      <c r="W24" s="315"/>
      <c r="X24" s="315"/>
      <c r="Y24" s="315"/>
      <c r="Z24" s="315"/>
      <c r="AA24" s="316"/>
      <c r="AB24" s="317"/>
      <c r="AC24" s="318"/>
      <c r="AD24" s="314"/>
      <c r="AE24" s="315"/>
      <c r="AF24" s="319"/>
      <c r="AG24" s="319"/>
      <c r="AH24" s="319"/>
      <c r="AI24" s="319"/>
      <c r="AJ24" s="319"/>
      <c r="AK24" s="320"/>
      <c r="AL24" s="314"/>
      <c r="AM24" s="319"/>
      <c r="AN24" s="319"/>
      <c r="AO24" s="319"/>
      <c r="AP24" s="319"/>
      <c r="AQ24" s="319"/>
      <c r="AR24" s="319"/>
      <c r="AS24" s="319"/>
      <c r="AT24" s="320"/>
      <c r="AU24" s="314"/>
      <c r="AV24" s="321"/>
      <c r="AW24" s="320"/>
      <c r="AX24" s="314"/>
      <c r="AY24" s="319"/>
      <c r="AZ24" s="319"/>
      <c r="BA24" s="319"/>
      <c r="BB24" s="320"/>
      <c r="BC24" s="314"/>
      <c r="BD24" s="318"/>
      <c r="BE24" s="314"/>
      <c r="BF24" s="318"/>
    </row>
    <row r="25" spans="1:58" hidden="1">
      <c r="A25" s="322"/>
      <c r="B25" s="323"/>
      <c r="C25" s="324"/>
      <c r="D25" s="261">
        <f>SUM(AD25:AK25)</f>
        <v>0</v>
      </c>
      <c r="E25" s="262">
        <f>SUM(AL25:AT25)</f>
        <v>0</v>
      </c>
      <c r="F25" s="262">
        <f>SUM(AU25:AW25)</f>
        <v>0</v>
      </c>
      <c r="G25" s="262">
        <f>SUM(AX25:BB25)</f>
        <v>0</v>
      </c>
      <c r="H25" s="262">
        <f>SUM(BC25:BD25)</f>
        <v>0</v>
      </c>
      <c r="I25" s="262">
        <f>SUM(V25:AC25)</f>
        <v>0</v>
      </c>
      <c r="J25" s="325">
        <f>SUM(D25:I25)</f>
        <v>0</v>
      </c>
      <c r="K25" s="263"/>
      <c r="L25" s="326"/>
      <c r="M25" s="273"/>
      <c r="N25" s="265"/>
      <c r="O25" s="266"/>
      <c r="P25" s="265"/>
      <c r="Q25" s="265"/>
      <c r="R25" s="241">
        <f>R24+SUM(O25:Q25)-SUM(J25:N25)</f>
        <v>0</v>
      </c>
      <c r="S25" s="261"/>
      <c r="T25" s="262"/>
      <c r="U25" s="327"/>
      <c r="V25" s="328"/>
      <c r="W25" s="329"/>
      <c r="X25" s="329"/>
      <c r="Y25" s="329"/>
      <c r="Z25" s="329"/>
      <c r="AA25" s="330"/>
      <c r="AB25" s="331"/>
      <c r="AC25" s="332"/>
      <c r="AD25" s="328"/>
      <c r="AE25" s="329"/>
      <c r="AF25" s="333"/>
      <c r="AG25" s="333"/>
      <c r="AH25" s="333"/>
      <c r="AI25" s="333"/>
      <c r="AJ25" s="333"/>
      <c r="AK25" s="334"/>
      <c r="AL25" s="328"/>
      <c r="AM25" s="333"/>
      <c r="AN25" s="333"/>
      <c r="AO25" s="333"/>
      <c r="AP25" s="333"/>
      <c r="AQ25" s="333"/>
      <c r="AR25" s="333"/>
      <c r="AS25" s="333"/>
      <c r="AT25" s="334"/>
      <c r="AU25" s="328"/>
      <c r="AV25" s="335"/>
      <c r="AW25" s="334"/>
      <c r="AX25" s="328"/>
      <c r="AY25" s="333"/>
      <c r="AZ25" s="333"/>
      <c r="BA25" s="333"/>
      <c r="BB25" s="334"/>
      <c r="BC25" s="328"/>
      <c r="BD25" s="332"/>
      <c r="BE25" s="328"/>
      <c r="BF25" s="332"/>
    </row>
    <row r="26" spans="1:58" ht="17.399999999999999" hidden="1">
      <c r="A26" s="322"/>
      <c r="B26" s="323"/>
      <c r="C26" s="324"/>
      <c r="D26" s="261">
        <f>SUM(AD26:AK26)</f>
        <v>0</v>
      </c>
      <c r="E26" s="262">
        <f>SUM(AL26:AT26)</f>
        <v>0</v>
      </c>
      <c r="F26" s="262">
        <f>SUM(AU26:AW26)</f>
        <v>0</v>
      </c>
      <c r="G26" s="262">
        <f>SUM(AX26:BB26)</f>
        <v>0</v>
      </c>
      <c r="H26" s="262">
        <f>SUM(BC26:BD26)</f>
        <v>0</v>
      </c>
      <c r="I26" s="262">
        <f>SUM(V26:AC26)</f>
        <v>0</v>
      </c>
      <c r="J26" s="325">
        <f>SUM(D26:I26)</f>
        <v>0</v>
      </c>
      <c r="K26" s="263"/>
      <c r="L26" s="326"/>
      <c r="M26" s="273"/>
      <c r="N26" s="265"/>
      <c r="O26" s="266"/>
      <c r="P26" s="265"/>
      <c r="Q26" s="265"/>
      <c r="R26" s="241">
        <f>R25+SUM(O26:Q26)-SUM(J26:N26)</f>
        <v>0</v>
      </c>
      <c r="S26" s="261"/>
      <c r="T26" s="262"/>
      <c r="U26" s="336"/>
      <c r="V26" s="328"/>
      <c r="W26" s="329"/>
      <c r="X26" s="329"/>
      <c r="Y26" s="329"/>
      <c r="Z26" s="329"/>
      <c r="AA26" s="330"/>
      <c r="AB26" s="331"/>
      <c r="AC26" s="332"/>
      <c r="AD26" s="337"/>
      <c r="AE26" s="337"/>
      <c r="AF26" s="333"/>
      <c r="AG26" s="333"/>
      <c r="AH26" s="333"/>
      <c r="AI26" s="333"/>
      <c r="AJ26" s="333"/>
      <c r="AK26" s="334"/>
      <c r="AL26" s="328"/>
      <c r="AM26" s="333"/>
      <c r="AN26" s="333"/>
      <c r="AO26" s="333"/>
      <c r="AP26" s="333"/>
      <c r="AQ26" s="333"/>
      <c r="AR26" s="333"/>
      <c r="AS26" s="333"/>
      <c r="AT26" s="334"/>
      <c r="AU26" s="328"/>
      <c r="AV26" s="335"/>
      <c r="AW26" s="334"/>
      <c r="AX26" s="328"/>
      <c r="AY26" s="333"/>
      <c r="AZ26" s="333"/>
      <c r="BA26" s="333"/>
      <c r="BB26" s="334"/>
      <c r="BC26" s="328"/>
      <c r="BD26" s="332"/>
      <c r="BE26" s="328"/>
      <c r="BF26" s="332"/>
    </row>
    <row r="27" spans="1:58" hidden="1">
      <c r="A27" s="322"/>
      <c r="B27" s="323"/>
      <c r="C27" s="338"/>
      <c r="D27" s="276"/>
      <c r="E27" s="277"/>
      <c r="F27" s="277"/>
      <c r="G27" s="277"/>
      <c r="H27" s="277"/>
      <c r="I27" s="277"/>
      <c r="J27" s="339"/>
      <c r="K27" s="278"/>
      <c r="L27" s="340"/>
      <c r="M27" s="279"/>
      <c r="N27" s="280"/>
      <c r="O27" s="281"/>
      <c r="P27" s="280"/>
      <c r="Q27" s="280"/>
      <c r="R27" s="241">
        <f>R24+SUM(O27:Q27)-SUM(J27:N27)</f>
        <v>0</v>
      </c>
      <c r="S27" s="261"/>
      <c r="T27" s="262"/>
      <c r="U27" s="327"/>
      <c r="V27" s="341"/>
      <c r="W27" s="342"/>
      <c r="X27" s="342"/>
      <c r="Y27" s="342"/>
      <c r="Z27" s="342"/>
      <c r="AA27" s="343"/>
      <c r="AB27" s="344"/>
      <c r="AC27" s="345"/>
      <c r="AD27" s="341"/>
      <c r="AE27" s="342"/>
      <c r="AF27" s="346"/>
      <c r="AG27" s="346"/>
      <c r="AH27" s="346"/>
      <c r="AI27" s="346"/>
      <c r="AJ27" s="346"/>
      <c r="AK27" s="347"/>
      <c r="AL27" s="341"/>
      <c r="AM27" s="346"/>
      <c r="AN27" s="342"/>
      <c r="AO27" s="346"/>
      <c r="AP27" s="346"/>
      <c r="AQ27" s="346"/>
      <c r="AR27" s="346"/>
      <c r="AS27" s="346"/>
      <c r="AT27" s="347"/>
      <c r="AU27" s="341"/>
      <c r="AV27" s="348"/>
      <c r="AW27" s="347"/>
      <c r="AX27" s="341"/>
      <c r="AY27" s="346"/>
      <c r="AZ27" s="346"/>
      <c r="BA27" s="346"/>
      <c r="BB27" s="347"/>
      <c r="BC27" s="341"/>
      <c r="BD27" s="345"/>
      <c r="BE27" s="341"/>
      <c r="BF27" s="345"/>
    </row>
    <row r="28" spans="1:58" hidden="1">
      <c r="A28" s="349" t="s">
        <v>99</v>
      </c>
      <c r="B28" s="350"/>
      <c r="C28" s="351"/>
      <c r="D28" s="352">
        <f t="shared" ref="D28:O28" si="13">SUM(D25:D26)</f>
        <v>0</v>
      </c>
      <c r="E28" s="353">
        <f t="shared" si="13"/>
        <v>0</v>
      </c>
      <c r="F28" s="353">
        <f t="shared" si="13"/>
        <v>0</v>
      </c>
      <c r="G28" s="353">
        <f t="shared" si="13"/>
        <v>0</v>
      </c>
      <c r="H28" s="353">
        <f t="shared" si="13"/>
        <v>0</v>
      </c>
      <c r="I28" s="353">
        <f t="shared" si="13"/>
        <v>0</v>
      </c>
      <c r="J28" s="354">
        <f t="shared" si="13"/>
        <v>0</v>
      </c>
      <c r="K28" s="355">
        <f t="shared" si="13"/>
        <v>0</v>
      </c>
      <c r="L28" s="355">
        <f>SUM(L25:L27)</f>
        <v>0</v>
      </c>
      <c r="M28" s="356">
        <f>SUM(M25:M26)</f>
        <v>0</v>
      </c>
      <c r="N28" s="357">
        <f>SUM(N25:N26)</f>
        <v>0</v>
      </c>
      <c r="O28" s="358">
        <f t="shared" si="13"/>
        <v>0</v>
      </c>
      <c r="P28" s="359"/>
      <c r="Q28" s="359"/>
      <c r="R28" s="360">
        <f>R27+SUM(O28:Q28)-SUM(J28:N28)</f>
        <v>0</v>
      </c>
      <c r="S28" s="361"/>
      <c r="T28" s="353"/>
      <c r="U28" s="362"/>
      <c r="V28" s="363">
        <f>SUM(V25:V26)</f>
        <v>0</v>
      </c>
      <c r="W28" s="364"/>
      <c r="X28" s="364"/>
      <c r="Y28" s="364"/>
      <c r="Z28" s="364"/>
      <c r="AA28" s="365">
        <f>SUM(AA25:AA26)</f>
        <v>0</v>
      </c>
      <c r="AB28" s="366"/>
      <c r="AC28" s="367">
        <f>SUM(AC25:AC26)</f>
        <v>0</v>
      </c>
      <c r="AD28" s="363"/>
      <c r="AE28" s="364"/>
      <c r="AF28" s="368"/>
      <c r="AG28" s="368"/>
      <c r="AH28" s="368"/>
      <c r="AI28" s="368"/>
      <c r="AJ28" s="368"/>
      <c r="AK28" s="369"/>
      <c r="AL28" s="363"/>
      <c r="AM28" s="368"/>
      <c r="AN28" s="363"/>
      <c r="AO28" s="368"/>
      <c r="AP28" s="368"/>
      <c r="AQ28" s="368"/>
      <c r="AR28" s="368"/>
      <c r="AS28" s="368"/>
      <c r="AT28" s="369"/>
      <c r="AU28" s="363"/>
      <c r="AV28" s="370"/>
      <c r="AW28" s="369"/>
      <c r="AX28" s="363"/>
      <c r="AY28" s="368"/>
      <c r="AZ28" s="368"/>
      <c r="BA28" s="368"/>
      <c r="BB28" s="369"/>
      <c r="BC28" s="363"/>
      <c r="BD28" s="367"/>
      <c r="BE28" s="363"/>
      <c r="BF28" s="367"/>
    </row>
    <row r="29" spans="1:58" hidden="1">
      <c r="A29" s="469" t="s">
        <v>97</v>
      </c>
      <c r="B29" s="470"/>
      <c r="C29" s="371"/>
      <c r="D29" s="295">
        <f t="shared" ref="D29:AA29" si="14">D28+D23</f>
        <v>0</v>
      </c>
      <c r="E29" s="295">
        <f t="shared" si="14"/>
        <v>0</v>
      </c>
      <c r="F29" s="295">
        <f t="shared" si="14"/>
        <v>0</v>
      </c>
      <c r="G29" s="295">
        <f t="shared" si="14"/>
        <v>0</v>
      </c>
      <c r="H29" s="295">
        <f t="shared" si="14"/>
        <v>0</v>
      </c>
      <c r="I29" s="295">
        <f t="shared" si="14"/>
        <v>0</v>
      </c>
      <c r="J29" s="295">
        <f t="shared" si="14"/>
        <v>0</v>
      </c>
      <c r="K29" s="295">
        <f t="shared" si="14"/>
        <v>0</v>
      </c>
      <c r="L29" s="295">
        <f t="shared" si="14"/>
        <v>0</v>
      </c>
      <c r="M29" s="295">
        <f t="shared" si="14"/>
        <v>0</v>
      </c>
      <c r="N29" s="295">
        <f t="shared" si="14"/>
        <v>0</v>
      </c>
      <c r="O29" s="372">
        <f t="shared" si="14"/>
        <v>0</v>
      </c>
      <c r="P29" s="372">
        <f t="shared" si="14"/>
        <v>0</v>
      </c>
      <c r="Q29" s="372">
        <f t="shared" si="14"/>
        <v>0</v>
      </c>
      <c r="R29" s="295">
        <f t="shared" si="14"/>
        <v>0</v>
      </c>
      <c r="S29" s="295">
        <f t="shared" si="14"/>
        <v>0</v>
      </c>
      <c r="T29" s="295">
        <f t="shared" si="14"/>
        <v>0</v>
      </c>
      <c r="U29" s="295">
        <f t="shared" si="14"/>
        <v>0</v>
      </c>
      <c r="V29" s="295">
        <f t="shared" si="14"/>
        <v>0</v>
      </c>
      <c r="W29" s="295">
        <f t="shared" si="14"/>
        <v>0</v>
      </c>
      <c r="X29" s="295">
        <f t="shared" si="14"/>
        <v>0</v>
      </c>
      <c r="Y29" s="295">
        <f t="shared" si="14"/>
        <v>0</v>
      </c>
      <c r="Z29" s="295">
        <f t="shared" si="14"/>
        <v>0</v>
      </c>
      <c r="AA29" s="295">
        <f t="shared" si="14"/>
        <v>0</v>
      </c>
      <c r="AB29" s="295"/>
      <c r="AC29" s="295">
        <f t="shared" ref="AC29:BF29" si="15">AC28+AC23</f>
        <v>0</v>
      </c>
      <c r="AD29" s="295">
        <f t="shared" si="15"/>
        <v>0</v>
      </c>
      <c r="AE29" s="295">
        <f t="shared" si="15"/>
        <v>0</v>
      </c>
      <c r="AF29" s="295">
        <f t="shared" si="15"/>
        <v>0</v>
      </c>
      <c r="AG29" s="295">
        <f t="shared" si="15"/>
        <v>0</v>
      </c>
      <c r="AH29" s="295">
        <f t="shared" si="15"/>
        <v>0</v>
      </c>
      <c r="AI29" s="295">
        <f t="shared" si="15"/>
        <v>0</v>
      </c>
      <c r="AJ29" s="295">
        <f t="shared" si="15"/>
        <v>0</v>
      </c>
      <c r="AK29" s="295">
        <f t="shared" si="15"/>
        <v>0</v>
      </c>
      <c r="AL29" s="295">
        <f t="shared" si="15"/>
        <v>0</v>
      </c>
      <c r="AM29" s="295">
        <f t="shared" si="15"/>
        <v>0</v>
      </c>
      <c r="AN29" s="295">
        <f t="shared" si="15"/>
        <v>0</v>
      </c>
      <c r="AO29" s="295">
        <f t="shared" si="15"/>
        <v>0</v>
      </c>
      <c r="AP29" s="295">
        <f t="shared" si="15"/>
        <v>0</v>
      </c>
      <c r="AQ29" s="295">
        <f t="shared" si="15"/>
        <v>0</v>
      </c>
      <c r="AR29" s="295">
        <f t="shared" si="15"/>
        <v>0</v>
      </c>
      <c r="AS29" s="295">
        <f t="shared" si="15"/>
        <v>0</v>
      </c>
      <c r="AT29" s="295">
        <f t="shared" si="15"/>
        <v>0</v>
      </c>
      <c r="AU29" s="295">
        <f t="shared" si="15"/>
        <v>0</v>
      </c>
      <c r="AV29" s="295">
        <f t="shared" si="15"/>
        <v>0</v>
      </c>
      <c r="AW29" s="295">
        <f t="shared" si="15"/>
        <v>0</v>
      </c>
      <c r="AX29" s="295">
        <f t="shared" si="15"/>
        <v>0</v>
      </c>
      <c r="AY29" s="295">
        <f t="shared" si="15"/>
        <v>0</v>
      </c>
      <c r="AZ29" s="295">
        <f t="shared" si="15"/>
        <v>0</v>
      </c>
      <c r="BA29" s="295">
        <f t="shared" si="15"/>
        <v>0</v>
      </c>
      <c r="BB29" s="295">
        <f t="shared" si="15"/>
        <v>0</v>
      </c>
      <c r="BC29" s="295">
        <f t="shared" si="15"/>
        <v>0</v>
      </c>
      <c r="BD29" s="295">
        <f t="shared" si="15"/>
        <v>0</v>
      </c>
      <c r="BE29" s="295">
        <f t="shared" si="15"/>
        <v>0</v>
      </c>
      <c r="BF29" s="295">
        <f t="shared" si="15"/>
        <v>0</v>
      </c>
    </row>
  </sheetData>
  <autoFilter ref="A3:BE29" xr:uid="{00000000-0009-0000-0000-000002000000}"/>
  <mergeCells count="30">
    <mergeCell ref="O2:Q2"/>
    <mergeCell ref="V2:Y2"/>
    <mergeCell ref="Z2:AC2"/>
    <mergeCell ref="AD2:AK2"/>
    <mergeCell ref="AL2:AT2"/>
    <mergeCell ref="R2:R3"/>
    <mergeCell ref="S2:S3"/>
    <mergeCell ref="T2:T3"/>
    <mergeCell ref="U2:U3"/>
    <mergeCell ref="AU2:AW2"/>
    <mergeCell ref="AX2:BB2"/>
    <mergeCell ref="BC2:BD2"/>
    <mergeCell ref="BE2:BF2"/>
    <mergeCell ref="A4:B4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A23:B23"/>
    <mergeCell ref="A29:B29"/>
    <mergeCell ref="A2:A3"/>
    <mergeCell ref="B2:B3"/>
    <mergeCell ref="C2:C3"/>
  </mergeCells>
  <phoneticPr fontId="46" type="noConversion"/>
  <hyperlinks>
    <hyperlink ref="A1" location="汇总表!A1" display="←返回" xr:uid="{00000000-0004-0000-0200-000000000000}"/>
  </hyperlinks>
  <pageMargins left="0.7" right="0.7" top="0.75" bottom="0.75" header="0.3" footer="0.3"/>
  <pageSetup paperSize="9" orientation="landscape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F32"/>
  <sheetViews>
    <sheetView tabSelected="1" workbookViewId="0">
      <pane xSplit="2" ySplit="4" topLeftCell="W5" activePane="bottomRight" state="frozen"/>
      <selection pane="topRight"/>
      <selection pane="bottomLeft"/>
      <selection pane="bottomRight" activeCell="AA23" sqref="AA23"/>
    </sheetView>
  </sheetViews>
  <sheetFormatPr defaultColWidth="9" defaultRowHeight="15.6" outlineLevelCol="1"/>
  <cols>
    <col min="1" max="1" width="2.5" style="192" customWidth="1"/>
    <col min="2" max="2" width="11.19921875" style="193" customWidth="1"/>
    <col min="3" max="3" width="8.796875" style="193" customWidth="1"/>
    <col min="4" max="4" width="11.59765625" style="194" customWidth="1" outlineLevel="1"/>
    <col min="5" max="6" width="8" style="194" customWidth="1" outlineLevel="1"/>
    <col min="7" max="7" width="7.69921875" style="194" customWidth="1" outlineLevel="1"/>
    <col min="8" max="8" width="8" style="195" customWidth="1" outlineLevel="1"/>
    <col min="9" max="9" width="10.296875" style="195" customWidth="1" outlineLevel="1"/>
    <col min="10" max="10" width="10.09765625" style="195" customWidth="1"/>
    <col min="11" max="11" width="9.19921875" style="195" customWidth="1" outlineLevel="1"/>
    <col min="12" max="12" width="6" style="195" customWidth="1" outlineLevel="1"/>
    <col min="13" max="13" width="8.59765625" style="195" customWidth="1"/>
    <col min="14" max="14" width="9.59765625" style="195" customWidth="1"/>
    <col min="15" max="15" width="8.3984375" style="191" customWidth="1" outlineLevel="1"/>
    <col min="16" max="17" width="6.5" style="191" customWidth="1" outlineLevel="1"/>
    <col min="18" max="18" width="16.8984375" style="196" customWidth="1"/>
    <col min="19" max="19" width="15.296875" style="195" customWidth="1"/>
    <col min="20" max="20" width="11.296875" style="195" customWidth="1"/>
    <col min="21" max="21" width="15.3984375" style="197" customWidth="1"/>
    <col min="22" max="22" width="6.69921875" style="195" customWidth="1" outlineLevel="1"/>
    <col min="23" max="23" width="6.19921875" style="195" customWidth="1" outlineLevel="1"/>
    <col min="24" max="24" width="7.796875" style="195" customWidth="1" outlineLevel="1"/>
    <col min="25" max="25" width="8.09765625" style="195" customWidth="1" outlineLevel="1"/>
    <col min="26" max="26" width="6.19921875" style="195" customWidth="1" outlineLevel="1"/>
    <col min="27" max="28" width="5.796875" style="198" customWidth="1" outlineLevel="1"/>
    <col min="29" max="29" width="5.69921875" style="195" customWidth="1" outlineLevel="1"/>
    <col min="30" max="30" width="5.09765625" style="199" customWidth="1" outlineLevel="1"/>
    <col min="31" max="31" width="4.09765625" style="199" customWidth="1" outlineLevel="1"/>
    <col min="32" max="32" width="4.59765625" style="199" customWidth="1" outlineLevel="1"/>
    <col min="33" max="36" width="3.8984375" style="199" customWidth="1" outlineLevel="1"/>
    <col min="37" max="37" width="6.3984375" style="199" customWidth="1"/>
    <col min="38" max="39" width="4.5" style="195" customWidth="1" outlineLevel="1"/>
    <col min="40" max="40" width="7.3984375" style="195" customWidth="1" outlineLevel="1"/>
    <col min="41" max="41" width="5.69921875" style="195" customWidth="1" outlineLevel="1"/>
    <col min="42" max="42" width="5" style="195" customWidth="1" outlineLevel="1"/>
    <col min="43" max="44" width="5.5" style="195" customWidth="1" outlineLevel="1"/>
    <col min="45" max="45" width="4.5" style="195" customWidth="1" outlineLevel="1"/>
    <col min="46" max="46" width="4.5" style="195" customWidth="1"/>
    <col min="47" max="47" width="4.3984375" style="195" customWidth="1"/>
    <col min="48" max="49" width="4.8984375" style="195" customWidth="1"/>
    <col min="50" max="50" width="6.09765625" style="195" customWidth="1"/>
    <col min="51" max="51" width="5.3984375" style="195" customWidth="1"/>
    <col min="52" max="52" width="4.09765625" style="195" customWidth="1"/>
    <col min="53" max="53" width="4.796875" style="195" customWidth="1"/>
    <col min="54" max="54" width="4.8984375" style="195" customWidth="1"/>
    <col min="55" max="55" width="6.3984375" style="195" customWidth="1"/>
    <col min="56" max="56" width="7.19921875" style="195" customWidth="1"/>
    <col min="57" max="57" width="6.3984375" style="195" customWidth="1"/>
    <col min="58" max="58" width="7.19921875" style="195" customWidth="1"/>
    <col min="59" max="16384" width="9" style="195"/>
  </cols>
  <sheetData>
    <row r="1" spans="1:58" ht="22.05" customHeight="1">
      <c r="A1" s="200" t="s">
        <v>93</v>
      </c>
      <c r="F1" s="201" t="s">
        <v>94</v>
      </c>
      <c r="G1" s="202"/>
      <c r="H1" s="202"/>
      <c r="I1" s="201" t="s">
        <v>95</v>
      </c>
      <c r="J1" s="202"/>
      <c r="K1" s="201" t="s">
        <v>96</v>
      </c>
      <c r="L1" s="202"/>
      <c r="R1" s="203"/>
      <c r="S1" s="204"/>
    </row>
    <row r="2" spans="1:58" s="189" customFormat="1" ht="25.5" customHeight="1">
      <c r="A2" s="471" t="s">
        <v>65</v>
      </c>
      <c r="B2" s="473" t="s">
        <v>66</v>
      </c>
      <c r="C2" s="475" t="s">
        <v>67</v>
      </c>
      <c r="D2" s="489" t="s">
        <v>68</v>
      </c>
      <c r="E2" s="491" t="s">
        <v>69</v>
      </c>
      <c r="F2" s="493" t="s">
        <v>70</v>
      </c>
      <c r="G2" s="495" t="s">
        <v>71</v>
      </c>
      <c r="H2" s="497" t="s">
        <v>72</v>
      </c>
      <c r="I2" s="499" t="s">
        <v>73</v>
      </c>
      <c r="J2" s="501" t="s">
        <v>74</v>
      </c>
      <c r="K2" s="503" t="s">
        <v>75</v>
      </c>
      <c r="L2" s="505" t="s">
        <v>76</v>
      </c>
      <c r="M2" s="507" t="s">
        <v>77</v>
      </c>
      <c r="N2" s="507" t="s">
        <v>78</v>
      </c>
      <c r="O2" s="509" t="s">
        <v>79</v>
      </c>
      <c r="P2" s="509"/>
      <c r="Q2" s="509"/>
      <c r="R2" s="523" t="s">
        <v>80</v>
      </c>
      <c r="S2" s="525" t="s">
        <v>81</v>
      </c>
      <c r="T2" s="527" t="s">
        <v>82</v>
      </c>
      <c r="U2" s="529" t="s">
        <v>83</v>
      </c>
      <c r="V2" s="510" t="s">
        <v>73</v>
      </c>
      <c r="W2" s="511"/>
      <c r="X2" s="511"/>
      <c r="Y2" s="512"/>
      <c r="Z2" s="513" t="s">
        <v>67</v>
      </c>
      <c r="AA2" s="514"/>
      <c r="AB2" s="514"/>
      <c r="AC2" s="515"/>
      <c r="AD2" s="516" t="s">
        <v>68</v>
      </c>
      <c r="AE2" s="517"/>
      <c r="AF2" s="518"/>
      <c r="AG2" s="518"/>
      <c r="AH2" s="518"/>
      <c r="AI2" s="518"/>
      <c r="AJ2" s="518"/>
      <c r="AK2" s="519"/>
      <c r="AL2" s="520" t="s">
        <v>69</v>
      </c>
      <c r="AM2" s="521"/>
      <c r="AN2" s="521"/>
      <c r="AO2" s="521"/>
      <c r="AP2" s="521"/>
      <c r="AQ2" s="521"/>
      <c r="AR2" s="521"/>
      <c r="AS2" s="521"/>
      <c r="AT2" s="522"/>
      <c r="AU2" s="477" t="s">
        <v>70</v>
      </c>
      <c r="AV2" s="478"/>
      <c r="AW2" s="479"/>
      <c r="AX2" s="480" t="s">
        <v>71</v>
      </c>
      <c r="AY2" s="481"/>
      <c r="AZ2" s="481"/>
      <c r="BA2" s="481"/>
      <c r="BB2" s="482"/>
      <c r="BC2" s="483" t="s">
        <v>84</v>
      </c>
      <c r="BD2" s="484"/>
      <c r="BE2" s="485" t="s">
        <v>85</v>
      </c>
      <c r="BF2" s="486"/>
    </row>
    <row r="3" spans="1:58" s="190" customFormat="1" ht="30" customHeight="1">
      <c r="A3" s="472"/>
      <c r="B3" s="474"/>
      <c r="C3" s="476"/>
      <c r="D3" s="490"/>
      <c r="E3" s="492"/>
      <c r="F3" s="494"/>
      <c r="G3" s="496"/>
      <c r="H3" s="498"/>
      <c r="I3" s="500"/>
      <c r="J3" s="502"/>
      <c r="K3" s="504"/>
      <c r="L3" s="506"/>
      <c r="M3" s="508"/>
      <c r="N3" s="508"/>
      <c r="O3" s="205" t="s">
        <v>10</v>
      </c>
      <c r="P3" s="206" t="s">
        <v>11</v>
      </c>
      <c r="Q3" s="206" t="s">
        <v>12</v>
      </c>
      <c r="R3" s="524"/>
      <c r="S3" s="526"/>
      <c r="T3" s="528"/>
      <c r="U3" s="530"/>
      <c r="V3" s="207" t="s">
        <v>17</v>
      </c>
      <c r="W3" s="207" t="s">
        <v>18</v>
      </c>
      <c r="X3" s="207" t="s">
        <v>19</v>
      </c>
      <c r="Y3" s="207" t="s">
        <v>20</v>
      </c>
      <c r="Z3" s="208" t="s">
        <v>22</v>
      </c>
      <c r="AA3" s="208" t="s">
        <v>23</v>
      </c>
      <c r="AB3" s="208" t="s">
        <v>19</v>
      </c>
      <c r="AC3" s="208" t="s">
        <v>24</v>
      </c>
      <c r="AD3" s="209" t="s">
        <v>26</v>
      </c>
      <c r="AE3" s="209" t="s">
        <v>27</v>
      </c>
      <c r="AF3" s="209" t="s">
        <v>28</v>
      </c>
      <c r="AG3" s="209" t="s">
        <v>29</v>
      </c>
      <c r="AH3" s="209" t="s">
        <v>30</v>
      </c>
      <c r="AI3" s="209" t="s">
        <v>19</v>
      </c>
      <c r="AJ3" s="209" t="s">
        <v>31</v>
      </c>
      <c r="AK3" s="210" t="s">
        <v>32</v>
      </c>
      <c r="AL3" s="211" t="s">
        <v>34</v>
      </c>
      <c r="AM3" s="212" t="s">
        <v>35</v>
      </c>
      <c r="AN3" s="212" t="s">
        <v>29</v>
      </c>
      <c r="AO3" s="212" t="s">
        <v>30</v>
      </c>
      <c r="AP3" s="212" t="s">
        <v>26</v>
      </c>
      <c r="AQ3" s="212" t="s">
        <v>36</v>
      </c>
      <c r="AR3" s="212" t="s">
        <v>37</v>
      </c>
      <c r="AS3" s="212" t="s">
        <v>38</v>
      </c>
      <c r="AT3" s="213" t="s">
        <v>32</v>
      </c>
      <c r="AU3" s="214" t="s">
        <v>40</v>
      </c>
      <c r="AV3" s="215" t="s">
        <v>41</v>
      </c>
      <c r="AW3" s="216" t="s">
        <v>42</v>
      </c>
      <c r="AX3" s="217" t="s">
        <v>51</v>
      </c>
      <c r="AY3" s="218" t="s">
        <v>52</v>
      </c>
      <c r="AZ3" s="218" t="s">
        <v>53</v>
      </c>
      <c r="BA3" s="218" t="s">
        <v>86</v>
      </c>
      <c r="BB3" s="219" t="s">
        <v>87</v>
      </c>
      <c r="BC3" s="220" t="s">
        <v>44</v>
      </c>
      <c r="BD3" s="221" t="s">
        <v>45</v>
      </c>
      <c r="BE3" s="222" t="s">
        <v>88</v>
      </c>
      <c r="BF3" s="223" t="s">
        <v>89</v>
      </c>
    </row>
    <row r="4" spans="1:58" s="191" customFormat="1" ht="20.25" customHeight="1">
      <c r="A4" s="487" t="s">
        <v>90</v>
      </c>
      <c r="B4" s="488"/>
      <c r="C4" s="224"/>
      <c r="D4" s="225"/>
      <c r="E4" s="225"/>
      <c r="F4" s="225"/>
      <c r="G4" s="225"/>
      <c r="H4" s="226"/>
      <c r="I4" s="226"/>
      <c r="J4" s="225">
        <v>0</v>
      </c>
      <c r="K4" s="226"/>
      <c r="L4" s="226"/>
      <c r="M4" s="226"/>
      <c r="N4" s="226"/>
      <c r="O4" s="226"/>
      <c r="P4" s="226"/>
      <c r="Q4" s="226"/>
      <c r="R4" s="227">
        <f>'1.建行Q1'!R23</f>
        <v>0</v>
      </c>
      <c r="S4" s="226"/>
      <c r="T4" s="226"/>
      <c r="U4" s="228"/>
      <c r="V4" s="226"/>
      <c r="W4" s="226"/>
      <c r="X4" s="226"/>
      <c r="Y4" s="226"/>
      <c r="Z4" s="226"/>
      <c r="AA4" s="229"/>
      <c r="AB4" s="229"/>
      <c r="AC4" s="226"/>
      <c r="AD4" s="226"/>
      <c r="AE4" s="226"/>
      <c r="AF4" s="226"/>
      <c r="AG4" s="226"/>
      <c r="AH4" s="226"/>
      <c r="AI4" s="226"/>
      <c r="AJ4" s="226"/>
      <c r="AK4" s="226"/>
      <c r="AL4" s="226"/>
      <c r="AM4" s="226"/>
      <c r="AN4" s="226"/>
      <c r="AO4" s="226"/>
      <c r="AP4" s="226"/>
      <c r="AQ4" s="226"/>
      <c r="AR4" s="226"/>
      <c r="AS4" s="226"/>
      <c r="AT4" s="226"/>
      <c r="AU4" s="226"/>
      <c r="AV4" s="226"/>
      <c r="AW4" s="226"/>
      <c r="AX4" s="226"/>
      <c r="AY4" s="226"/>
      <c r="AZ4" s="226"/>
      <c r="BA4" s="226"/>
      <c r="BB4" s="226"/>
      <c r="BC4" s="226"/>
      <c r="BD4" s="230"/>
      <c r="BE4" s="226"/>
      <c r="BF4" s="230"/>
    </row>
    <row r="5" spans="1:58" s="191" customFormat="1" ht="15">
      <c r="A5" s="231"/>
      <c r="B5" s="232"/>
      <c r="C5" s="233">
        <f t="shared" ref="C5:C22" si="0">SUM(Z5:AC5)</f>
        <v>0</v>
      </c>
      <c r="D5" s="233">
        <f t="shared" ref="D5:D22" si="1">SUM(AD5:AK5)</f>
        <v>0</v>
      </c>
      <c r="E5" s="234">
        <f t="shared" ref="E5:E22" si="2">SUM(AL5:AT5)</f>
        <v>0</v>
      </c>
      <c r="F5" s="234">
        <f t="shared" ref="F5:F22" si="3">SUM(AU5:AW5)</f>
        <v>0</v>
      </c>
      <c r="G5" s="234">
        <f t="shared" ref="G5:G22" si="4">SUM(AX5:BB5)</f>
        <v>0</v>
      </c>
      <c r="H5" s="234">
        <f t="shared" ref="H5:H22" si="5">SUM(BC5:BD5)</f>
        <v>0</v>
      </c>
      <c r="I5" s="234">
        <f t="shared" ref="I5:I22" si="6">SUM(V5:Y5)</f>
        <v>0</v>
      </c>
      <c r="J5" s="235">
        <f>SUM(C5:I5)</f>
        <v>0</v>
      </c>
      <c r="K5" s="236"/>
      <c r="L5" s="237"/>
      <c r="M5" s="238"/>
      <c r="N5" s="239"/>
      <c r="O5" s="240"/>
      <c r="P5" s="239"/>
      <c r="Q5" s="239"/>
      <c r="R5" s="241">
        <f>R4+SUM(N5:Q5)-SUM(J5:M5)</f>
        <v>0</v>
      </c>
      <c r="S5" s="242"/>
      <c r="T5" s="243"/>
      <c r="U5" s="244"/>
      <c r="V5" s="245"/>
      <c r="W5" s="246"/>
      <c r="X5" s="246"/>
      <c r="Y5" s="246"/>
      <c r="Z5" s="246"/>
      <c r="AA5" s="247"/>
      <c r="AB5" s="248"/>
      <c r="AC5" s="249"/>
      <c r="AD5" s="250"/>
      <c r="AE5" s="251"/>
      <c r="AF5" s="252"/>
      <c r="AG5" s="252"/>
      <c r="AH5" s="252"/>
      <c r="AI5" s="252"/>
      <c r="AJ5" s="252"/>
      <c r="AK5" s="253"/>
      <c r="AL5" s="254"/>
      <c r="AM5" s="252"/>
      <c r="AN5" s="252"/>
      <c r="AO5" s="252"/>
      <c r="AP5" s="252"/>
      <c r="AQ5" s="252"/>
      <c r="AR5" s="252"/>
      <c r="AS5" s="252"/>
      <c r="AT5" s="255"/>
      <c r="AU5" s="251"/>
      <c r="AV5" s="253"/>
      <c r="AW5" s="256"/>
      <c r="AX5" s="257"/>
      <c r="AY5" s="258"/>
      <c r="AZ5" s="258"/>
      <c r="BA5" s="258"/>
      <c r="BB5" s="259"/>
      <c r="BC5" s="260"/>
      <c r="BD5" s="259"/>
      <c r="BE5" s="260"/>
      <c r="BF5" s="249"/>
    </row>
    <row r="6" spans="1:58" s="191" customFormat="1" ht="15">
      <c r="A6" s="231"/>
      <c r="B6" s="232"/>
      <c r="C6" s="233">
        <f t="shared" si="0"/>
        <v>0</v>
      </c>
      <c r="D6" s="261">
        <f t="shared" si="1"/>
        <v>0</v>
      </c>
      <c r="E6" s="262">
        <f t="shared" si="2"/>
        <v>0</v>
      </c>
      <c r="F6" s="262">
        <f t="shared" si="3"/>
        <v>0</v>
      </c>
      <c r="G6" s="234">
        <f t="shared" si="4"/>
        <v>0</v>
      </c>
      <c r="H6" s="262">
        <f t="shared" si="5"/>
        <v>0</v>
      </c>
      <c r="I6" s="234">
        <f t="shared" si="6"/>
        <v>0</v>
      </c>
      <c r="J6" s="235">
        <f t="shared" ref="J6:J10" si="7">SUM(C6:I6)</f>
        <v>0</v>
      </c>
      <c r="K6" s="236"/>
      <c r="L6" s="263"/>
      <c r="M6" s="264"/>
      <c r="N6" s="265"/>
      <c r="O6" s="266"/>
      <c r="P6" s="265"/>
      <c r="Q6" s="265"/>
      <c r="R6" s="241">
        <f t="shared" ref="R6:R21" si="8">R5+SUM(N6:Q6)-SUM(J6:M6)</f>
        <v>0</v>
      </c>
      <c r="S6" s="242"/>
      <c r="T6" s="243"/>
      <c r="U6" s="244"/>
      <c r="V6" s="267"/>
      <c r="W6" s="260"/>
      <c r="X6" s="260"/>
      <c r="Y6" s="260"/>
      <c r="Z6" s="260"/>
      <c r="AA6" s="268"/>
      <c r="AB6" s="248"/>
      <c r="AC6" s="259"/>
      <c r="AD6" s="250"/>
      <c r="AE6" s="251"/>
      <c r="AF6" s="252"/>
      <c r="AG6" s="252"/>
      <c r="AH6" s="252"/>
      <c r="AI6" s="252"/>
      <c r="AJ6" s="252"/>
      <c r="AK6" s="253"/>
      <c r="AL6" s="254"/>
      <c r="AM6" s="252"/>
      <c r="AN6" s="252"/>
      <c r="AO6" s="252"/>
      <c r="AP6" s="252"/>
      <c r="AQ6" s="252"/>
      <c r="AR6" s="252"/>
      <c r="AS6" s="252"/>
      <c r="AT6" s="255"/>
      <c r="AU6" s="251"/>
      <c r="AV6" s="253"/>
      <c r="AW6" s="256"/>
      <c r="AX6" s="257"/>
      <c r="AY6" s="258"/>
      <c r="AZ6" s="258"/>
      <c r="BA6" s="258"/>
      <c r="BB6" s="259"/>
      <c r="BC6" s="260"/>
      <c r="BD6" s="259"/>
      <c r="BE6" s="260"/>
      <c r="BF6" s="259"/>
    </row>
    <row r="7" spans="1:58" s="191" customFormat="1" ht="15">
      <c r="A7" s="231"/>
      <c r="B7" s="232"/>
      <c r="C7" s="233">
        <f t="shared" si="0"/>
        <v>0</v>
      </c>
      <c r="D7" s="261">
        <f t="shared" si="1"/>
        <v>0</v>
      </c>
      <c r="E7" s="262">
        <f t="shared" si="2"/>
        <v>0</v>
      </c>
      <c r="F7" s="262">
        <f t="shared" si="3"/>
        <v>0</v>
      </c>
      <c r="G7" s="234">
        <f t="shared" si="4"/>
        <v>0</v>
      </c>
      <c r="H7" s="262">
        <f t="shared" si="5"/>
        <v>0</v>
      </c>
      <c r="I7" s="234">
        <f t="shared" si="6"/>
        <v>0</v>
      </c>
      <c r="J7" s="235">
        <f t="shared" si="7"/>
        <v>0</v>
      </c>
      <c r="K7" s="236"/>
      <c r="L7" s="263"/>
      <c r="M7" s="236"/>
      <c r="N7" s="265"/>
      <c r="O7" s="266"/>
      <c r="P7" s="265"/>
      <c r="Q7" s="265"/>
      <c r="R7" s="241">
        <f t="shared" si="8"/>
        <v>0</v>
      </c>
      <c r="S7" s="242"/>
      <c r="T7" s="243"/>
      <c r="U7" s="244"/>
      <c r="V7" s="267"/>
      <c r="W7" s="260"/>
      <c r="X7" s="260"/>
      <c r="Y7" s="260"/>
      <c r="Z7" s="260"/>
      <c r="AA7" s="268"/>
      <c r="AB7" s="248"/>
      <c r="AC7" s="259"/>
      <c r="AD7" s="250"/>
      <c r="AE7" s="251"/>
      <c r="AF7" s="252"/>
      <c r="AG7" s="252"/>
      <c r="AH7" s="252"/>
      <c r="AI7" s="252"/>
      <c r="AJ7" s="252"/>
      <c r="AK7" s="253"/>
      <c r="AL7" s="254"/>
      <c r="AM7" s="252"/>
      <c r="AN7" s="252"/>
      <c r="AO7" s="252"/>
      <c r="AP7" s="252"/>
      <c r="AQ7" s="252"/>
      <c r="AR7" s="252"/>
      <c r="AS7" s="252"/>
      <c r="AT7" s="255"/>
      <c r="AU7" s="251"/>
      <c r="AV7" s="253"/>
      <c r="AW7" s="256"/>
      <c r="AX7" s="257"/>
      <c r="AY7" s="258"/>
      <c r="AZ7" s="258"/>
      <c r="BA7" s="258"/>
      <c r="BB7" s="259"/>
      <c r="BC7" s="260"/>
      <c r="BD7" s="259"/>
      <c r="BE7" s="260"/>
      <c r="BF7" s="259"/>
    </row>
    <row r="8" spans="1:58" s="191" customFormat="1" ht="15">
      <c r="A8" s="231"/>
      <c r="B8" s="232"/>
      <c r="C8" s="233">
        <f t="shared" si="0"/>
        <v>0</v>
      </c>
      <c r="D8" s="261">
        <f t="shared" si="1"/>
        <v>0</v>
      </c>
      <c r="E8" s="234">
        <f t="shared" si="2"/>
        <v>0</v>
      </c>
      <c r="F8" s="262">
        <f t="shared" si="3"/>
        <v>0</v>
      </c>
      <c r="G8" s="234">
        <f t="shared" si="4"/>
        <v>0</v>
      </c>
      <c r="H8" s="262">
        <f t="shared" si="5"/>
        <v>0</v>
      </c>
      <c r="I8" s="234">
        <f t="shared" si="6"/>
        <v>0</v>
      </c>
      <c r="J8" s="235">
        <f t="shared" si="7"/>
        <v>0</v>
      </c>
      <c r="K8" s="263"/>
      <c r="L8" s="263"/>
      <c r="M8" s="236"/>
      <c r="N8" s="265"/>
      <c r="O8" s="266"/>
      <c r="P8" s="265"/>
      <c r="Q8" s="265"/>
      <c r="R8" s="241">
        <f t="shared" si="8"/>
        <v>0</v>
      </c>
      <c r="S8" s="242"/>
      <c r="T8" s="243"/>
      <c r="U8" s="244"/>
      <c r="V8" s="267"/>
      <c r="W8" s="260"/>
      <c r="X8" s="260"/>
      <c r="Y8" s="260"/>
      <c r="Z8" s="260"/>
      <c r="AA8" s="268"/>
      <c r="AB8" s="248"/>
      <c r="AC8" s="259"/>
      <c r="AD8" s="250"/>
      <c r="AE8" s="251"/>
      <c r="AF8" s="252"/>
      <c r="AG8" s="252"/>
      <c r="AH8" s="252"/>
      <c r="AI8" s="252"/>
      <c r="AJ8" s="252"/>
      <c r="AK8" s="253"/>
      <c r="AL8" s="254"/>
      <c r="AM8" s="252"/>
      <c r="AN8" s="252"/>
      <c r="AO8" s="252"/>
      <c r="AP8" s="252"/>
      <c r="AQ8" s="252"/>
      <c r="AR8" s="252"/>
      <c r="AS8" s="252"/>
      <c r="AT8" s="255"/>
      <c r="AU8" s="251"/>
      <c r="AV8" s="253"/>
      <c r="AW8" s="256"/>
      <c r="AX8" s="257"/>
      <c r="AY8" s="258"/>
      <c r="AZ8" s="258"/>
      <c r="BA8" s="258"/>
      <c r="BB8" s="259"/>
      <c r="BC8" s="260"/>
      <c r="BD8" s="259"/>
      <c r="BE8" s="260"/>
      <c r="BF8" s="259"/>
    </row>
    <row r="9" spans="1:58" s="191" customFormat="1" ht="15">
      <c r="A9" s="231"/>
      <c r="B9" s="232"/>
      <c r="C9" s="233">
        <f t="shared" si="0"/>
        <v>0</v>
      </c>
      <c r="D9" s="261">
        <f t="shared" si="1"/>
        <v>0</v>
      </c>
      <c r="E9" s="262">
        <f t="shared" si="2"/>
        <v>0</v>
      </c>
      <c r="F9" s="262">
        <f t="shared" si="3"/>
        <v>0</v>
      </c>
      <c r="G9" s="234">
        <f t="shared" si="4"/>
        <v>0</v>
      </c>
      <c r="H9" s="262">
        <f t="shared" si="5"/>
        <v>0</v>
      </c>
      <c r="I9" s="234">
        <f t="shared" si="6"/>
        <v>0</v>
      </c>
      <c r="J9" s="235">
        <f t="shared" si="7"/>
        <v>0</v>
      </c>
      <c r="K9" s="263"/>
      <c r="L9" s="263"/>
      <c r="M9" s="236"/>
      <c r="N9" s="265"/>
      <c r="O9" s="266"/>
      <c r="P9" s="265"/>
      <c r="Q9" s="265"/>
      <c r="R9" s="241">
        <f t="shared" si="8"/>
        <v>0</v>
      </c>
      <c r="S9" s="242"/>
      <c r="T9" s="243"/>
      <c r="U9" s="244"/>
      <c r="V9" s="267"/>
      <c r="W9" s="260"/>
      <c r="X9" s="260"/>
      <c r="Y9" s="260"/>
      <c r="Z9" s="260"/>
      <c r="AA9" s="268"/>
      <c r="AB9" s="248"/>
      <c r="AC9" s="259"/>
      <c r="AD9" s="250"/>
      <c r="AE9" s="251"/>
      <c r="AF9" s="252"/>
      <c r="AG9" s="252"/>
      <c r="AH9" s="252"/>
      <c r="AI9" s="252"/>
      <c r="AJ9" s="252"/>
      <c r="AK9" s="253"/>
      <c r="AL9" s="254"/>
      <c r="AM9" s="252"/>
      <c r="AN9" s="252"/>
      <c r="AO9" s="252"/>
      <c r="AP9" s="252"/>
      <c r="AQ9" s="252"/>
      <c r="AR9" s="252"/>
      <c r="AS9" s="252"/>
      <c r="AT9" s="255"/>
      <c r="AU9" s="251"/>
      <c r="AV9" s="253"/>
      <c r="AW9" s="256"/>
      <c r="AX9" s="257"/>
      <c r="AY9" s="258"/>
      <c r="AZ9" s="258"/>
      <c r="BA9" s="258"/>
      <c r="BB9" s="259"/>
      <c r="BC9" s="260"/>
      <c r="BD9" s="259"/>
      <c r="BE9" s="260"/>
      <c r="BF9" s="259"/>
    </row>
    <row r="10" spans="1:58" s="191" customFormat="1" ht="15">
      <c r="A10" s="231"/>
      <c r="B10" s="232"/>
      <c r="C10" s="233">
        <f t="shared" si="0"/>
        <v>0</v>
      </c>
      <c r="D10" s="261">
        <f t="shared" si="1"/>
        <v>0</v>
      </c>
      <c r="E10" s="262">
        <f t="shared" si="2"/>
        <v>0</v>
      </c>
      <c r="F10" s="262">
        <f t="shared" si="3"/>
        <v>0</v>
      </c>
      <c r="G10" s="234">
        <f t="shared" si="4"/>
        <v>0</v>
      </c>
      <c r="H10" s="262">
        <f t="shared" si="5"/>
        <v>0</v>
      </c>
      <c r="I10" s="234">
        <f t="shared" si="6"/>
        <v>0</v>
      </c>
      <c r="J10" s="235">
        <f t="shared" si="7"/>
        <v>0</v>
      </c>
      <c r="K10" s="263"/>
      <c r="L10" s="263"/>
      <c r="M10" s="236"/>
      <c r="N10" s="265"/>
      <c r="O10" s="266"/>
      <c r="P10" s="265"/>
      <c r="Q10" s="265"/>
      <c r="R10" s="241">
        <f t="shared" si="8"/>
        <v>0</v>
      </c>
      <c r="S10" s="242"/>
      <c r="T10" s="243"/>
      <c r="U10" s="244"/>
      <c r="V10" s="267"/>
      <c r="W10" s="260"/>
      <c r="X10" s="260"/>
      <c r="Y10" s="260"/>
      <c r="Z10" s="260"/>
      <c r="AA10" s="268"/>
      <c r="AB10" s="248"/>
      <c r="AC10" s="259"/>
      <c r="AD10" s="250"/>
      <c r="AE10" s="251"/>
      <c r="AF10" s="252"/>
      <c r="AG10" s="252"/>
      <c r="AH10" s="252"/>
      <c r="AI10" s="252"/>
      <c r="AJ10" s="252"/>
      <c r="AK10" s="253"/>
      <c r="AL10" s="254"/>
      <c r="AM10" s="252"/>
      <c r="AN10" s="252"/>
      <c r="AO10" s="252"/>
      <c r="AP10" s="252"/>
      <c r="AQ10" s="252"/>
      <c r="AR10" s="252"/>
      <c r="AS10" s="252"/>
      <c r="AT10" s="255"/>
      <c r="AU10" s="251"/>
      <c r="AV10" s="253"/>
      <c r="AW10" s="256"/>
      <c r="AX10" s="257"/>
      <c r="AY10" s="258"/>
      <c r="AZ10" s="258"/>
      <c r="BA10" s="258"/>
      <c r="BB10" s="259"/>
      <c r="BC10" s="260"/>
      <c r="BD10" s="259"/>
      <c r="BE10" s="260"/>
      <c r="BF10" s="259"/>
    </row>
    <row r="11" spans="1:58" s="191" customFormat="1" ht="15">
      <c r="A11" s="231"/>
      <c r="B11" s="232"/>
      <c r="C11" s="233">
        <f t="shared" si="0"/>
        <v>0</v>
      </c>
      <c r="D11" s="261">
        <f t="shared" si="1"/>
        <v>0</v>
      </c>
      <c r="E11" s="262">
        <f t="shared" si="2"/>
        <v>0</v>
      </c>
      <c r="F11" s="262">
        <f t="shared" si="3"/>
        <v>0</v>
      </c>
      <c r="G11" s="234">
        <f t="shared" si="4"/>
        <v>0</v>
      </c>
      <c r="H11" s="262">
        <f t="shared" si="5"/>
        <v>0</v>
      </c>
      <c r="I11" s="234">
        <f t="shared" si="6"/>
        <v>0</v>
      </c>
      <c r="J11" s="235">
        <f t="shared" ref="J11:J22" si="9">SUM(C11:I11)</f>
        <v>0</v>
      </c>
      <c r="K11" s="263"/>
      <c r="L11" s="263"/>
      <c r="M11" s="236"/>
      <c r="N11" s="265"/>
      <c r="O11" s="266"/>
      <c r="P11" s="265"/>
      <c r="Q11" s="265"/>
      <c r="R11" s="241">
        <f t="shared" si="8"/>
        <v>0</v>
      </c>
      <c r="S11" s="242"/>
      <c r="T11" s="243"/>
      <c r="U11" s="244"/>
      <c r="V11" s="267"/>
      <c r="W11" s="260"/>
      <c r="X11" s="260"/>
      <c r="Y11" s="260"/>
      <c r="Z11" s="260"/>
      <c r="AA11" s="268"/>
      <c r="AB11" s="248"/>
      <c r="AC11" s="259"/>
      <c r="AD11" s="250"/>
      <c r="AE11" s="251"/>
      <c r="AF11" s="252"/>
      <c r="AG11" s="252"/>
      <c r="AH11" s="252"/>
      <c r="AI11" s="252"/>
      <c r="AJ11" s="252"/>
      <c r="AK11" s="253"/>
      <c r="AL11" s="254"/>
      <c r="AM11" s="252"/>
      <c r="AN11" s="252"/>
      <c r="AO11" s="252"/>
      <c r="AP11" s="252"/>
      <c r="AQ11" s="252"/>
      <c r="AR11" s="252"/>
      <c r="AS11" s="252"/>
      <c r="AT11" s="255"/>
      <c r="AU11" s="251"/>
      <c r="AV11" s="253"/>
      <c r="AW11" s="256"/>
      <c r="AX11" s="257"/>
      <c r="AY11" s="258"/>
      <c r="AZ11" s="258"/>
      <c r="BA11" s="258"/>
      <c r="BB11" s="259"/>
      <c r="BC11" s="260"/>
      <c r="BD11" s="259"/>
      <c r="BE11" s="260"/>
      <c r="BF11" s="259"/>
    </row>
    <row r="12" spans="1:58" s="191" customFormat="1" ht="15">
      <c r="A12" s="231"/>
      <c r="B12" s="232"/>
      <c r="C12" s="233">
        <f t="shared" si="0"/>
        <v>0</v>
      </c>
      <c r="D12" s="261">
        <f t="shared" si="1"/>
        <v>0</v>
      </c>
      <c r="E12" s="262">
        <f t="shared" si="2"/>
        <v>0</v>
      </c>
      <c r="F12" s="262">
        <f t="shared" si="3"/>
        <v>0</v>
      </c>
      <c r="G12" s="234">
        <f t="shared" si="4"/>
        <v>0</v>
      </c>
      <c r="H12" s="262">
        <f t="shared" si="5"/>
        <v>0</v>
      </c>
      <c r="I12" s="234">
        <f t="shared" si="6"/>
        <v>0</v>
      </c>
      <c r="J12" s="235">
        <f t="shared" si="9"/>
        <v>0</v>
      </c>
      <c r="K12" s="263"/>
      <c r="L12" s="263"/>
      <c r="M12" s="236"/>
      <c r="N12" s="265"/>
      <c r="O12" s="266"/>
      <c r="P12" s="265"/>
      <c r="Q12" s="265"/>
      <c r="R12" s="241">
        <f t="shared" si="8"/>
        <v>0</v>
      </c>
      <c r="S12" s="242"/>
      <c r="T12" s="243"/>
      <c r="U12" s="244"/>
      <c r="V12" s="267"/>
      <c r="W12" s="260"/>
      <c r="X12" s="260"/>
      <c r="Y12" s="260"/>
      <c r="Z12" s="260"/>
      <c r="AA12" s="268"/>
      <c r="AB12" s="248"/>
      <c r="AC12" s="259"/>
      <c r="AD12" s="250"/>
      <c r="AE12" s="251"/>
      <c r="AF12" s="252"/>
      <c r="AG12" s="252"/>
      <c r="AH12" s="252"/>
      <c r="AI12" s="252"/>
      <c r="AJ12" s="252"/>
      <c r="AK12" s="253"/>
      <c r="AL12" s="254"/>
      <c r="AM12" s="252"/>
      <c r="AN12" s="252"/>
      <c r="AO12" s="252"/>
      <c r="AP12" s="252"/>
      <c r="AQ12" s="252"/>
      <c r="AR12" s="252"/>
      <c r="AS12" s="252"/>
      <c r="AT12" s="255"/>
      <c r="AU12" s="251"/>
      <c r="AV12" s="253"/>
      <c r="AW12" s="256"/>
      <c r="AX12" s="257"/>
      <c r="AY12" s="258"/>
      <c r="AZ12" s="258"/>
      <c r="BA12" s="258"/>
      <c r="BB12" s="259"/>
      <c r="BC12" s="260"/>
      <c r="BD12" s="259"/>
      <c r="BE12" s="260"/>
      <c r="BF12" s="259"/>
    </row>
    <row r="13" spans="1:58" s="191" customFormat="1" ht="15">
      <c r="A13" s="231"/>
      <c r="B13" s="232"/>
      <c r="C13" s="233">
        <f t="shared" si="0"/>
        <v>0</v>
      </c>
      <c r="D13" s="261">
        <f t="shared" si="1"/>
        <v>0</v>
      </c>
      <c r="E13" s="262">
        <f t="shared" si="2"/>
        <v>0</v>
      </c>
      <c r="F13" s="262">
        <f t="shared" si="3"/>
        <v>0</v>
      </c>
      <c r="G13" s="234">
        <f t="shared" si="4"/>
        <v>0</v>
      </c>
      <c r="H13" s="262">
        <f t="shared" si="5"/>
        <v>0</v>
      </c>
      <c r="I13" s="234">
        <f t="shared" si="6"/>
        <v>0</v>
      </c>
      <c r="J13" s="235">
        <f t="shared" si="9"/>
        <v>0</v>
      </c>
      <c r="K13" s="263"/>
      <c r="L13" s="263"/>
      <c r="M13" s="236"/>
      <c r="N13" s="265"/>
      <c r="O13" s="266"/>
      <c r="P13" s="265"/>
      <c r="Q13" s="265"/>
      <c r="R13" s="241">
        <f t="shared" si="8"/>
        <v>0</v>
      </c>
      <c r="S13" s="242"/>
      <c r="T13" s="243"/>
      <c r="U13" s="244"/>
      <c r="V13" s="267"/>
      <c r="W13" s="260"/>
      <c r="X13" s="260"/>
      <c r="Y13" s="260"/>
      <c r="Z13" s="260"/>
      <c r="AA13" s="268"/>
      <c r="AB13" s="248"/>
      <c r="AC13" s="259"/>
      <c r="AD13" s="250"/>
      <c r="AE13" s="251"/>
      <c r="AF13" s="252"/>
      <c r="AG13" s="252"/>
      <c r="AH13" s="252"/>
      <c r="AI13" s="252"/>
      <c r="AJ13" s="252"/>
      <c r="AK13" s="253"/>
      <c r="AL13" s="254"/>
      <c r="AM13" s="252"/>
      <c r="AN13" s="252"/>
      <c r="AO13" s="252"/>
      <c r="AP13" s="252"/>
      <c r="AQ13" s="252"/>
      <c r="AR13" s="252"/>
      <c r="AS13" s="252"/>
      <c r="AT13" s="255"/>
      <c r="AU13" s="251"/>
      <c r="AV13" s="253"/>
      <c r="AW13" s="256"/>
      <c r="AX13" s="257"/>
      <c r="AY13" s="258"/>
      <c r="AZ13" s="258"/>
      <c r="BA13" s="258"/>
      <c r="BB13" s="259"/>
      <c r="BC13" s="260"/>
      <c r="BD13" s="259"/>
      <c r="BE13" s="260"/>
      <c r="BF13" s="259"/>
    </row>
    <row r="14" spans="1:58" s="191" customFormat="1" ht="15">
      <c r="A14" s="231"/>
      <c r="B14" s="232"/>
      <c r="C14" s="233">
        <f t="shared" si="0"/>
        <v>0</v>
      </c>
      <c r="D14" s="261">
        <f t="shared" si="1"/>
        <v>0</v>
      </c>
      <c r="E14" s="262">
        <f t="shared" si="2"/>
        <v>0</v>
      </c>
      <c r="F14" s="262">
        <f t="shared" si="3"/>
        <v>0</v>
      </c>
      <c r="G14" s="234">
        <f t="shared" si="4"/>
        <v>0</v>
      </c>
      <c r="H14" s="262">
        <f t="shared" si="5"/>
        <v>0</v>
      </c>
      <c r="I14" s="234">
        <f t="shared" si="6"/>
        <v>0</v>
      </c>
      <c r="J14" s="235">
        <f t="shared" si="9"/>
        <v>0</v>
      </c>
      <c r="K14" s="263"/>
      <c r="L14" s="263"/>
      <c r="M14" s="236"/>
      <c r="N14" s="265"/>
      <c r="O14" s="266"/>
      <c r="P14" s="265"/>
      <c r="Q14" s="265"/>
      <c r="R14" s="241">
        <f t="shared" si="8"/>
        <v>0</v>
      </c>
      <c r="S14" s="242"/>
      <c r="T14" s="269"/>
      <c r="U14" s="244"/>
      <c r="V14" s="267"/>
      <c r="W14" s="260"/>
      <c r="X14" s="260"/>
      <c r="Y14" s="260"/>
      <c r="Z14" s="260"/>
      <c r="AA14" s="268"/>
      <c r="AB14" s="248"/>
      <c r="AC14" s="259"/>
      <c r="AD14" s="267"/>
      <c r="AE14" s="260"/>
      <c r="AF14" s="258"/>
      <c r="AG14" s="258"/>
      <c r="AH14" s="258"/>
      <c r="AI14" s="258"/>
      <c r="AJ14" s="258"/>
      <c r="AK14" s="258"/>
      <c r="AL14" s="257"/>
      <c r="AM14" s="258"/>
      <c r="AN14" s="258"/>
      <c r="AO14" s="258"/>
      <c r="AP14" s="258"/>
      <c r="AQ14" s="258"/>
      <c r="AR14" s="270"/>
      <c r="AS14" s="270"/>
      <c r="AT14" s="256"/>
      <c r="AU14" s="251"/>
      <c r="AV14" s="253"/>
      <c r="AW14" s="256"/>
      <c r="AX14" s="257"/>
      <c r="AY14" s="258"/>
      <c r="AZ14" s="258"/>
      <c r="BA14" s="258"/>
      <c r="BB14" s="259"/>
      <c r="BC14" s="260"/>
      <c r="BD14" s="259"/>
      <c r="BE14" s="260"/>
      <c r="BF14" s="259"/>
    </row>
    <row r="15" spans="1:58" s="191" customFormat="1" ht="15">
      <c r="A15" s="231"/>
      <c r="B15" s="232"/>
      <c r="C15" s="233">
        <f t="shared" si="0"/>
        <v>0</v>
      </c>
      <c r="D15" s="261">
        <f t="shared" si="1"/>
        <v>0</v>
      </c>
      <c r="E15" s="262">
        <f t="shared" si="2"/>
        <v>0</v>
      </c>
      <c r="F15" s="262">
        <f t="shared" si="3"/>
        <v>0</v>
      </c>
      <c r="G15" s="234">
        <f t="shared" si="4"/>
        <v>0</v>
      </c>
      <c r="H15" s="262">
        <f t="shared" si="5"/>
        <v>0</v>
      </c>
      <c r="I15" s="234">
        <f t="shared" si="6"/>
        <v>0</v>
      </c>
      <c r="J15" s="235">
        <f t="shared" si="9"/>
        <v>0</v>
      </c>
      <c r="K15" s="263"/>
      <c r="L15" s="263"/>
      <c r="M15" s="236"/>
      <c r="N15" s="265"/>
      <c r="O15" s="266"/>
      <c r="P15" s="265"/>
      <c r="Q15" s="265"/>
      <c r="R15" s="241">
        <f t="shared" si="8"/>
        <v>0</v>
      </c>
      <c r="S15" s="242"/>
      <c r="T15" s="269"/>
      <c r="U15" s="244"/>
      <c r="V15" s="267"/>
      <c r="W15" s="260"/>
      <c r="X15" s="260"/>
      <c r="Y15" s="260"/>
      <c r="Z15" s="260"/>
      <c r="AA15" s="268"/>
      <c r="AB15" s="248"/>
      <c r="AC15" s="259"/>
      <c r="AD15" s="267"/>
      <c r="AE15" s="260"/>
      <c r="AF15" s="258"/>
      <c r="AG15" s="258"/>
      <c r="AH15" s="258"/>
      <c r="AI15" s="258"/>
      <c r="AJ15" s="258"/>
      <c r="AK15" s="258"/>
      <c r="AL15" s="257"/>
      <c r="AM15" s="258"/>
      <c r="AN15" s="258"/>
      <c r="AO15" s="258"/>
      <c r="AP15" s="258"/>
      <c r="AQ15" s="258"/>
      <c r="AR15" s="270"/>
      <c r="AS15" s="270"/>
      <c r="AT15" s="256"/>
      <c r="AU15" s="251"/>
      <c r="AV15" s="253"/>
      <c r="AW15" s="256"/>
      <c r="AX15" s="257"/>
      <c r="AY15" s="258"/>
      <c r="AZ15" s="258"/>
      <c r="BA15" s="258"/>
      <c r="BB15" s="259"/>
      <c r="BC15" s="260"/>
      <c r="BD15" s="259"/>
      <c r="BE15" s="260"/>
      <c r="BF15" s="259"/>
    </row>
    <row r="16" spans="1:58" s="191" customFormat="1" ht="15">
      <c r="A16" s="231"/>
      <c r="B16" s="232"/>
      <c r="C16" s="233">
        <f t="shared" si="0"/>
        <v>0</v>
      </c>
      <c r="D16" s="261">
        <f t="shared" si="1"/>
        <v>0</v>
      </c>
      <c r="E16" s="262">
        <f t="shared" si="2"/>
        <v>0</v>
      </c>
      <c r="F16" s="262">
        <f t="shared" si="3"/>
        <v>0</v>
      </c>
      <c r="G16" s="234">
        <f t="shared" si="4"/>
        <v>0</v>
      </c>
      <c r="H16" s="262">
        <f t="shared" si="5"/>
        <v>0</v>
      </c>
      <c r="I16" s="234">
        <f t="shared" si="6"/>
        <v>0</v>
      </c>
      <c r="J16" s="235">
        <f t="shared" si="9"/>
        <v>0</v>
      </c>
      <c r="K16" s="263"/>
      <c r="L16" s="263"/>
      <c r="M16" s="236"/>
      <c r="N16" s="265"/>
      <c r="O16" s="266"/>
      <c r="P16" s="265"/>
      <c r="Q16" s="265"/>
      <c r="R16" s="241">
        <f t="shared" si="8"/>
        <v>0</v>
      </c>
      <c r="S16" s="242"/>
      <c r="T16" s="269"/>
      <c r="U16" s="244"/>
      <c r="V16" s="267"/>
      <c r="W16" s="260"/>
      <c r="X16" s="260"/>
      <c r="Y16" s="260"/>
      <c r="Z16" s="260"/>
      <c r="AA16" s="268"/>
      <c r="AB16" s="248"/>
      <c r="AC16" s="259"/>
      <c r="AD16" s="267"/>
      <c r="AE16" s="260"/>
      <c r="AF16" s="258"/>
      <c r="AG16" s="258"/>
      <c r="AH16" s="258"/>
      <c r="AI16" s="258"/>
      <c r="AJ16" s="258"/>
      <c r="AK16" s="258"/>
      <c r="AL16" s="257"/>
      <c r="AM16" s="258"/>
      <c r="AN16" s="258"/>
      <c r="AO16" s="258"/>
      <c r="AP16" s="258"/>
      <c r="AQ16" s="258"/>
      <c r="AR16" s="270"/>
      <c r="AS16" s="270"/>
      <c r="AT16" s="256"/>
      <c r="AU16" s="251"/>
      <c r="AV16" s="253"/>
      <c r="AW16" s="256"/>
      <c r="AX16" s="257"/>
      <c r="AY16" s="258"/>
      <c r="AZ16" s="258"/>
      <c r="BA16" s="258"/>
      <c r="BB16" s="259"/>
      <c r="BC16" s="260"/>
      <c r="BD16" s="259"/>
      <c r="BE16" s="260"/>
      <c r="BF16" s="259"/>
    </row>
    <row r="17" spans="1:58" s="191" customFormat="1" ht="15">
      <c r="A17" s="231"/>
      <c r="B17" s="232"/>
      <c r="C17" s="233">
        <f t="shared" si="0"/>
        <v>0</v>
      </c>
      <c r="D17" s="261">
        <f t="shared" si="1"/>
        <v>0</v>
      </c>
      <c r="E17" s="262">
        <f t="shared" si="2"/>
        <v>0</v>
      </c>
      <c r="F17" s="262">
        <f t="shared" si="3"/>
        <v>0</v>
      </c>
      <c r="G17" s="234">
        <f t="shared" si="4"/>
        <v>0</v>
      </c>
      <c r="H17" s="262">
        <f t="shared" si="5"/>
        <v>0</v>
      </c>
      <c r="I17" s="234">
        <f t="shared" si="6"/>
        <v>0</v>
      </c>
      <c r="J17" s="235">
        <f t="shared" si="9"/>
        <v>0</v>
      </c>
      <c r="K17" s="263"/>
      <c r="L17" s="263"/>
      <c r="M17" s="236"/>
      <c r="N17" s="265"/>
      <c r="O17" s="266"/>
      <c r="P17" s="265"/>
      <c r="Q17" s="265"/>
      <c r="R17" s="241">
        <f t="shared" si="8"/>
        <v>0</v>
      </c>
      <c r="S17" s="242"/>
      <c r="T17" s="269"/>
      <c r="U17" s="244"/>
      <c r="V17" s="267"/>
      <c r="W17" s="260"/>
      <c r="X17" s="260"/>
      <c r="Y17" s="260"/>
      <c r="Z17" s="260"/>
      <c r="AA17" s="268"/>
      <c r="AB17" s="248"/>
      <c r="AC17" s="259"/>
      <c r="AD17" s="267"/>
      <c r="AE17" s="260"/>
      <c r="AF17" s="258"/>
      <c r="AG17" s="258"/>
      <c r="AH17" s="258"/>
      <c r="AI17" s="258"/>
      <c r="AJ17" s="258"/>
      <c r="AK17" s="258"/>
      <c r="AL17" s="257"/>
      <c r="AM17" s="258"/>
      <c r="AN17" s="258"/>
      <c r="AO17" s="258"/>
      <c r="AP17" s="258"/>
      <c r="AQ17" s="258"/>
      <c r="AR17" s="270"/>
      <c r="AS17" s="270"/>
      <c r="AT17" s="256"/>
      <c r="AU17" s="251"/>
      <c r="AV17" s="253"/>
      <c r="AW17" s="256"/>
      <c r="AX17" s="257"/>
      <c r="AY17" s="258"/>
      <c r="AZ17" s="258"/>
      <c r="BA17" s="258"/>
      <c r="BB17" s="259"/>
      <c r="BC17" s="260"/>
      <c r="BD17" s="259"/>
      <c r="BE17" s="260"/>
      <c r="BF17" s="259"/>
    </row>
    <row r="18" spans="1:58" s="191" customFormat="1" ht="15">
      <c r="A18" s="231"/>
      <c r="B18" s="232"/>
      <c r="C18" s="233">
        <f t="shared" si="0"/>
        <v>0</v>
      </c>
      <c r="D18" s="261">
        <f t="shared" si="1"/>
        <v>0</v>
      </c>
      <c r="E18" s="262">
        <f t="shared" si="2"/>
        <v>0</v>
      </c>
      <c r="F18" s="262">
        <f t="shared" si="3"/>
        <v>0</v>
      </c>
      <c r="G18" s="234">
        <f t="shared" si="4"/>
        <v>0</v>
      </c>
      <c r="H18" s="262">
        <f t="shared" si="5"/>
        <v>0</v>
      </c>
      <c r="I18" s="234">
        <f t="shared" si="6"/>
        <v>0</v>
      </c>
      <c r="J18" s="235">
        <f t="shared" si="9"/>
        <v>0</v>
      </c>
      <c r="K18" s="263"/>
      <c r="L18" s="263"/>
      <c r="M18" s="236"/>
      <c r="N18" s="265"/>
      <c r="O18" s="266"/>
      <c r="P18" s="265"/>
      <c r="Q18" s="265"/>
      <c r="R18" s="241">
        <f t="shared" si="8"/>
        <v>0</v>
      </c>
      <c r="S18" s="242"/>
      <c r="T18" s="269"/>
      <c r="U18" s="244"/>
      <c r="V18" s="267"/>
      <c r="W18" s="260"/>
      <c r="X18" s="260"/>
      <c r="Y18" s="260"/>
      <c r="Z18" s="260"/>
      <c r="AA18" s="268"/>
      <c r="AB18" s="248"/>
      <c r="AC18" s="259"/>
      <c r="AD18" s="267"/>
      <c r="AE18" s="260"/>
      <c r="AF18" s="258"/>
      <c r="AG18" s="258"/>
      <c r="AH18" s="258"/>
      <c r="AI18" s="258"/>
      <c r="AJ18" s="258"/>
      <c r="AK18" s="258"/>
      <c r="AL18" s="257"/>
      <c r="AM18" s="258"/>
      <c r="AN18" s="258"/>
      <c r="AO18" s="258"/>
      <c r="AP18" s="258"/>
      <c r="AQ18" s="258"/>
      <c r="AR18" s="270"/>
      <c r="AS18" s="270"/>
      <c r="AT18" s="256"/>
      <c r="AU18" s="251"/>
      <c r="AV18" s="253"/>
      <c r="AW18" s="256"/>
      <c r="AX18" s="257"/>
      <c r="AY18" s="258"/>
      <c r="AZ18" s="258"/>
      <c r="BA18" s="258"/>
      <c r="BB18" s="259"/>
      <c r="BC18" s="260"/>
      <c r="BD18" s="259"/>
      <c r="BE18" s="260"/>
      <c r="BF18" s="259"/>
    </row>
    <row r="19" spans="1:58" s="191" customFormat="1" ht="15">
      <c r="A19" s="231"/>
      <c r="B19" s="232"/>
      <c r="C19" s="233">
        <f t="shared" si="0"/>
        <v>0</v>
      </c>
      <c r="D19" s="261">
        <f t="shared" si="1"/>
        <v>0</v>
      </c>
      <c r="E19" s="262">
        <f t="shared" si="2"/>
        <v>0</v>
      </c>
      <c r="F19" s="262">
        <f t="shared" si="3"/>
        <v>0</v>
      </c>
      <c r="G19" s="234">
        <f t="shared" si="4"/>
        <v>0</v>
      </c>
      <c r="H19" s="262">
        <f t="shared" si="5"/>
        <v>0</v>
      </c>
      <c r="I19" s="234">
        <f t="shared" si="6"/>
        <v>0</v>
      </c>
      <c r="J19" s="235">
        <f t="shared" si="9"/>
        <v>0</v>
      </c>
      <c r="K19" s="263"/>
      <c r="L19" s="263"/>
      <c r="M19" s="236"/>
      <c r="N19" s="265"/>
      <c r="O19" s="266"/>
      <c r="P19" s="265"/>
      <c r="Q19" s="265"/>
      <c r="R19" s="241">
        <f t="shared" si="8"/>
        <v>0</v>
      </c>
      <c r="S19" s="242"/>
      <c r="T19" s="269"/>
      <c r="U19" s="244"/>
      <c r="V19" s="267"/>
      <c r="W19" s="260"/>
      <c r="X19" s="260"/>
      <c r="Y19" s="260"/>
      <c r="Z19" s="260"/>
      <c r="AA19" s="268"/>
      <c r="AB19" s="248"/>
      <c r="AC19" s="259"/>
      <c r="AD19" s="267"/>
      <c r="AE19" s="260"/>
      <c r="AF19" s="258"/>
      <c r="AG19" s="258"/>
      <c r="AH19" s="258"/>
      <c r="AI19" s="258"/>
      <c r="AJ19" s="258"/>
      <c r="AK19" s="258"/>
      <c r="AL19" s="257"/>
      <c r="AM19" s="258"/>
      <c r="AN19" s="258"/>
      <c r="AO19" s="258"/>
      <c r="AP19" s="258"/>
      <c r="AQ19" s="258"/>
      <c r="AR19" s="270"/>
      <c r="AS19" s="270"/>
      <c r="AT19" s="256"/>
      <c r="AU19" s="251"/>
      <c r="AV19" s="253"/>
      <c r="AW19" s="256"/>
      <c r="AX19" s="257"/>
      <c r="AY19" s="258"/>
      <c r="AZ19" s="258"/>
      <c r="BA19" s="258"/>
      <c r="BB19" s="259"/>
      <c r="BC19" s="260"/>
      <c r="BD19" s="259"/>
      <c r="BE19" s="260"/>
      <c r="BF19" s="259"/>
    </row>
    <row r="20" spans="1:58" s="191" customFormat="1" ht="15">
      <c r="A20" s="231"/>
      <c r="B20" s="232"/>
      <c r="C20" s="233">
        <f t="shared" si="0"/>
        <v>0</v>
      </c>
      <c r="D20" s="261">
        <f t="shared" si="1"/>
        <v>0</v>
      </c>
      <c r="E20" s="262">
        <f t="shared" si="2"/>
        <v>0</v>
      </c>
      <c r="F20" s="262">
        <f t="shared" si="3"/>
        <v>0</v>
      </c>
      <c r="G20" s="234">
        <f t="shared" si="4"/>
        <v>0</v>
      </c>
      <c r="H20" s="262">
        <f t="shared" si="5"/>
        <v>0</v>
      </c>
      <c r="I20" s="234">
        <f t="shared" si="6"/>
        <v>0</v>
      </c>
      <c r="J20" s="235">
        <f t="shared" si="9"/>
        <v>0</v>
      </c>
      <c r="K20" s="263"/>
      <c r="L20" s="263"/>
      <c r="M20" s="236"/>
      <c r="N20" s="265"/>
      <c r="O20" s="266"/>
      <c r="P20" s="265"/>
      <c r="Q20" s="265"/>
      <c r="R20" s="241">
        <f t="shared" si="8"/>
        <v>0</v>
      </c>
      <c r="S20" s="242"/>
      <c r="T20" s="271"/>
      <c r="U20" s="244"/>
      <c r="V20" s="267"/>
      <c r="W20" s="260"/>
      <c r="X20" s="260"/>
      <c r="Y20" s="260"/>
      <c r="Z20" s="260"/>
      <c r="AA20" s="268"/>
      <c r="AB20" s="248"/>
      <c r="AC20" s="259"/>
      <c r="AD20" s="267"/>
      <c r="AE20" s="260"/>
      <c r="AF20" s="258"/>
      <c r="AG20" s="258"/>
      <c r="AH20" s="258"/>
      <c r="AI20" s="258"/>
      <c r="AJ20" s="258"/>
      <c r="AK20" s="258"/>
      <c r="AL20" s="257"/>
      <c r="AM20" s="258"/>
      <c r="AN20" s="258"/>
      <c r="AO20" s="258"/>
      <c r="AP20" s="258"/>
      <c r="AQ20" s="258"/>
      <c r="AR20" s="270"/>
      <c r="AS20" s="270"/>
      <c r="AT20" s="256"/>
      <c r="AU20" s="257"/>
      <c r="AV20" s="272"/>
      <c r="AW20" s="256"/>
      <c r="AX20" s="257"/>
      <c r="AY20" s="258"/>
      <c r="AZ20" s="258"/>
      <c r="BA20" s="258"/>
      <c r="BB20" s="259"/>
      <c r="BC20" s="260"/>
      <c r="BD20" s="259"/>
      <c r="BE20" s="260"/>
      <c r="BF20" s="259"/>
    </row>
    <row r="21" spans="1:58" s="191" customFormat="1" ht="15">
      <c r="A21" s="231"/>
      <c r="B21" s="232"/>
      <c r="C21" s="233">
        <f t="shared" si="0"/>
        <v>0</v>
      </c>
      <c r="D21" s="261">
        <f t="shared" si="1"/>
        <v>0</v>
      </c>
      <c r="E21" s="262">
        <f t="shared" si="2"/>
        <v>0</v>
      </c>
      <c r="F21" s="262">
        <f t="shared" si="3"/>
        <v>0</v>
      </c>
      <c r="G21" s="262">
        <f t="shared" si="4"/>
        <v>0</v>
      </c>
      <c r="H21" s="262">
        <f t="shared" si="5"/>
        <v>0</v>
      </c>
      <c r="I21" s="234">
        <f t="shared" si="6"/>
        <v>0</v>
      </c>
      <c r="J21" s="235">
        <f t="shared" si="9"/>
        <v>0</v>
      </c>
      <c r="K21" s="263"/>
      <c r="L21" s="263"/>
      <c r="M21" s="273"/>
      <c r="N21" s="265"/>
      <c r="O21" s="266"/>
      <c r="P21" s="265"/>
      <c r="Q21" s="265"/>
      <c r="R21" s="241">
        <f t="shared" si="8"/>
        <v>0</v>
      </c>
      <c r="S21" s="242"/>
      <c r="T21" s="274"/>
      <c r="U21" s="244"/>
      <c r="V21" s="267"/>
      <c r="W21" s="260"/>
      <c r="X21" s="260"/>
      <c r="Y21" s="260"/>
      <c r="Z21" s="260"/>
      <c r="AA21" s="268"/>
      <c r="AB21" s="248"/>
      <c r="AC21" s="259"/>
      <c r="AD21" s="267"/>
      <c r="AE21" s="260"/>
      <c r="AF21" s="258"/>
      <c r="AG21" s="258"/>
      <c r="AH21" s="258"/>
      <c r="AI21" s="258"/>
      <c r="AJ21" s="258"/>
      <c r="AK21" s="258"/>
      <c r="AL21" s="257"/>
      <c r="AM21" s="258"/>
      <c r="AN21" s="258"/>
      <c r="AO21" s="258"/>
      <c r="AP21" s="258"/>
      <c r="AQ21" s="258"/>
      <c r="AR21" s="270"/>
      <c r="AS21" s="270"/>
      <c r="AT21" s="256"/>
      <c r="AU21" s="257"/>
      <c r="AV21" s="272"/>
      <c r="AW21" s="256"/>
      <c r="AX21" s="257"/>
      <c r="AY21" s="258"/>
      <c r="AZ21" s="258"/>
      <c r="BA21" s="258"/>
      <c r="BB21" s="259"/>
      <c r="BC21" s="260"/>
      <c r="BD21" s="259"/>
      <c r="BE21" s="260"/>
      <c r="BF21" s="259"/>
    </row>
    <row r="22" spans="1:58" s="191" customFormat="1" ht="15">
      <c r="A22" s="275"/>
      <c r="B22" s="232"/>
      <c r="C22" s="233">
        <f t="shared" si="0"/>
        <v>0</v>
      </c>
      <c r="D22" s="276">
        <f t="shared" si="1"/>
        <v>0</v>
      </c>
      <c r="E22" s="277">
        <f t="shared" si="2"/>
        <v>0</v>
      </c>
      <c r="F22" s="277">
        <f t="shared" si="3"/>
        <v>0</v>
      </c>
      <c r="G22" s="277">
        <f t="shared" si="4"/>
        <v>0</v>
      </c>
      <c r="H22" s="277">
        <f t="shared" si="5"/>
        <v>0</v>
      </c>
      <c r="I22" s="234">
        <f t="shared" si="6"/>
        <v>0</v>
      </c>
      <c r="J22" s="235">
        <f t="shared" si="9"/>
        <v>0</v>
      </c>
      <c r="K22" s="278"/>
      <c r="L22" s="278"/>
      <c r="M22" s="279"/>
      <c r="N22" s="280"/>
      <c r="O22" s="281"/>
      <c r="P22" s="280"/>
      <c r="Q22" s="280"/>
      <c r="R22" s="282">
        <f t="shared" ref="R22:R26" si="10">R21+SUM(O22:Q22)-SUM(J22:N22)</f>
        <v>0</v>
      </c>
      <c r="S22" s="242"/>
      <c r="T22" s="283"/>
      <c r="U22" s="244"/>
      <c r="V22" s="284"/>
      <c r="W22" s="285"/>
      <c r="X22" s="285"/>
      <c r="Y22" s="285"/>
      <c r="Z22" s="285"/>
      <c r="AA22" s="286"/>
      <c r="AB22" s="287"/>
      <c r="AC22" s="288"/>
      <c r="AD22" s="284"/>
      <c r="AE22" s="285"/>
      <c r="AF22" s="289"/>
      <c r="AG22" s="289"/>
      <c r="AH22" s="289"/>
      <c r="AI22" s="289"/>
      <c r="AJ22" s="289"/>
      <c r="AK22" s="289"/>
      <c r="AL22" s="290"/>
      <c r="AM22" s="289"/>
      <c r="AN22" s="289"/>
      <c r="AO22" s="289"/>
      <c r="AP22" s="289"/>
      <c r="AQ22" s="291"/>
      <c r="AR22" s="292"/>
      <c r="AS22" s="292"/>
      <c r="AT22" s="293"/>
      <c r="AU22" s="290"/>
      <c r="AV22" s="294"/>
      <c r="AW22" s="293"/>
      <c r="AX22" s="290"/>
      <c r="AY22" s="289"/>
      <c r="AZ22" s="289"/>
      <c r="BA22" s="289"/>
      <c r="BB22" s="288"/>
      <c r="BC22" s="285"/>
      <c r="BD22" s="288"/>
      <c r="BE22" s="285"/>
      <c r="BF22" s="288"/>
    </row>
    <row r="23" spans="1:58">
      <c r="A23" s="469" t="s">
        <v>97</v>
      </c>
      <c r="B23" s="470"/>
      <c r="C23" s="295">
        <f>SUM(C5:C22)</f>
        <v>0</v>
      </c>
      <c r="D23" s="295">
        <f t="shared" ref="D23:Q23" si="11">SUM(D5:D22)</f>
        <v>0</v>
      </c>
      <c r="E23" s="295">
        <f t="shared" si="11"/>
        <v>0</v>
      </c>
      <c r="F23" s="295">
        <f t="shared" si="11"/>
        <v>0</v>
      </c>
      <c r="G23" s="295">
        <f t="shared" si="11"/>
        <v>0</v>
      </c>
      <c r="H23" s="295">
        <f t="shared" si="11"/>
        <v>0</v>
      </c>
      <c r="I23" s="295">
        <f t="shared" si="11"/>
        <v>0</v>
      </c>
      <c r="J23" s="295">
        <f t="shared" si="11"/>
        <v>0</v>
      </c>
      <c r="K23" s="295">
        <f t="shared" si="11"/>
        <v>0</v>
      </c>
      <c r="L23" s="295">
        <f t="shared" si="11"/>
        <v>0</v>
      </c>
      <c r="M23" s="295">
        <f t="shared" si="11"/>
        <v>0</v>
      </c>
      <c r="N23" s="295">
        <f t="shared" si="11"/>
        <v>0</v>
      </c>
      <c r="O23" s="295">
        <f t="shared" si="11"/>
        <v>0</v>
      </c>
      <c r="P23" s="295">
        <f t="shared" si="11"/>
        <v>0</v>
      </c>
      <c r="Q23" s="295">
        <f t="shared" si="11"/>
        <v>0</v>
      </c>
      <c r="R23" s="296">
        <f>SUM(R4+SUM(N23:Q23)-SUM(J23:M23))</f>
        <v>0</v>
      </c>
      <c r="S23" s="297"/>
      <c r="T23" s="295"/>
      <c r="U23" s="298"/>
      <c r="V23" s="299">
        <f t="shared" ref="V23:AA23" si="12">SUM(V5:V22)</f>
        <v>0</v>
      </c>
      <c r="W23" s="299">
        <f t="shared" si="12"/>
        <v>0</v>
      </c>
      <c r="X23" s="299">
        <f t="shared" si="12"/>
        <v>0</v>
      </c>
      <c r="Y23" s="299">
        <f t="shared" si="12"/>
        <v>0</v>
      </c>
      <c r="Z23" s="299">
        <f t="shared" si="12"/>
        <v>0</v>
      </c>
      <c r="AA23" s="299">
        <f>SUM(AA5:AA22)</f>
        <v>0</v>
      </c>
      <c r="AB23" s="299">
        <f t="shared" ref="AB23:BF23" si="13">SUM(AB5:AB22)</f>
        <v>0</v>
      </c>
      <c r="AC23" s="299">
        <f t="shared" si="13"/>
        <v>0</v>
      </c>
      <c r="AD23" s="299">
        <f t="shared" si="13"/>
        <v>0</v>
      </c>
      <c r="AE23" s="299">
        <f t="shared" si="13"/>
        <v>0</v>
      </c>
      <c r="AF23" s="299">
        <f t="shared" si="13"/>
        <v>0</v>
      </c>
      <c r="AG23" s="299">
        <f t="shared" si="13"/>
        <v>0</v>
      </c>
      <c r="AH23" s="299">
        <f t="shared" si="13"/>
        <v>0</v>
      </c>
      <c r="AI23" s="299">
        <f t="shared" si="13"/>
        <v>0</v>
      </c>
      <c r="AJ23" s="299">
        <f t="shared" si="13"/>
        <v>0</v>
      </c>
      <c r="AK23" s="299">
        <f t="shared" si="13"/>
        <v>0</v>
      </c>
      <c r="AL23" s="299">
        <f t="shared" si="13"/>
        <v>0</v>
      </c>
      <c r="AM23" s="299">
        <f t="shared" si="13"/>
        <v>0</v>
      </c>
      <c r="AN23" s="299">
        <f t="shared" si="13"/>
        <v>0</v>
      </c>
      <c r="AO23" s="299">
        <f t="shared" si="13"/>
        <v>0</v>
      </c>
      <c r="AP23" s="299">
        <f t="shared" si="13"/>
        <v>0</v>
      </c>
      <c r="AQ23" s="299">
        <f t="shared" si="13"/>
        <v>0</v>
      </c>
      <c r="AR23" s="299">
        <f t="shared" si="13"/>
        <v>0</v>
      </c>
      <c r="AS23" s="299">
        <f t="shared" si="13"/>
        <v>0</v>
      </c>
      <c r="AT23" s="299">
        <f t="shared" si="13"/>
        <v>0</v>
      </c>
      <c r="AU23" s="299">
        <f t="shared" si="13"/>
        <v>0</v>
      </c>
      <c r="AV23" s="299">
        <f t="shared" si="13"/>
        <v>0</v>
      </c>
      <c r="AW23" s="299">
        <f t="shared" si="13"/>
        <v>0</v>
      </c>
      <c r="AX23" s="299">
        <f t="shared" si="13"/>
        <v>0</v>
      </c>
      <c r="AY23" s="299">
        <f t="shared" si="13"/>
        <v>0</v>
      </c>
      <c r="AZ23" s="299">
        <f t="shared" si="13"/>
        <v>0</v>
      </c>
      <c r="BA23" s="299">
        <f t="shared" si="13"/>
        <v>0</v>
      </c>
      <c r="BB23" s="299">
        <f t="shared" si="13"/>
        <v>0</v>
      </c>
      <c r="BC23" s="299">
        <f t="shared" si="13"/>
        <v>0</v>
      </c>
      <c r="BD23" s="299">
        <f t="shared" si="13"/>
        <v>0</v>
      </c>
      <c r="BE23" s="299">
        <f t="shared" si="13"/>
        <v>0</v>
      </c>
      <c r="BF23" s="300">
        <f t="shared" si="13"/>
        <v>0</v>
      </c>
    </row>
    <row r="24" spans="1:58">
      <c r="A24" s="301" t="s">
        <v>98</v>
      </c>
      <c r="B24" s="302"/>
      <c r="C24" s="303"/>
      <c r="D24" s="304"/>
      <c r="E24" s="305"/>
      <c r="F24" s="305"/>
      <c r="G24" s="305"/>
      <c r="H24" s="305"/>
      <c r="I24" s="305"/>
      <c r="J24" s="306">
        <f t="shared" ref="J24:J26" si="14">SUM(D24:I24)</f>
        <v>0</v>
      </c>
      <c r="K24" s="307"/>
      <c r="L24" s="307"/>
      <c r="M24" s="308"/>
      <c r="N24" s="309"/>
      <c r="O24" s="310"/>
      <c r="P24" s="311"/>
      <c r="Q24" s="311"/>
      <c r="R24" s="312"/>
      <c r="S24" s="304"/>
      <c r="T24" s="305"/>
      <c r="U24" s="313"/>
      <c r="V24" s="314"/>
      <c r="W24" s="315"/>
      <c r="X24" s="315"/>
      <c r="Y24" s="315"/>
      <c r="Z24" s="315"/>
      <c r="AA24" s="316"/>
      <c r="AB24" s="317"/>
      <c r="AC24" s="318"/>
      <c r="AD24" s="314"/>
      <c r="AE24" s="315"/>
      <c r="AF24" s="319"/>
      <c r="AG24" s="319"/>
      <c r="AH24" s="319"/>
      <c r="AI24" s="319"/>
      <c r="AJ24" s="319"/>
      <c r="AK24" s="320"/>
      <c r="AL24" s="314"/>
      <c r="AM24" s="319"/>
      <c r="AN24" s="319"/>
      <c r="AO24" s="319"/>
      <c r="AP24" s="319"/>
      <c r="AQ24" s="319"/>
      <c r="AR24" s="319"/>
      <c r="AS24" s="319"/>
      <c r="AT24" s="320"/>
      <c r="AU24" s="314"/>
      <c r="AV24" s="321"/>
      <c r="AW24" s="320"/>
      <c r="AX24" s="314"/>
      <c r="AY24" s="319"/>
      <c r="AZ24" s="319"/>
      <c r="BA24" s="319"/>
      <c r="BB24" s="320"/>
      <c r="BC24" s="314"/>
      <c r="BD24" s="318"/>
      <c r="BE24" s="314"/>
      <c r="BF24" s="318"/>
    </row>
    <row r="25" spans="1:58">
      <c r="A25" s="322"/>
      <c r="B25" s="323"/>
      <c r="C25" s="324"/>
      <c r="D25" s="261">
        <f>SUM(AD25:AK25)</f>
        <v>0</v>
      </c>
      <c r="E25" s="262">
        <f>SUM(AL25:AT25)</f>
        <v>0</v>
      </c>
      <c r="F25" s="262">
        <f>SUM(AU25:AW25)</f>
        <v>0</v>
      </c>
      <c r="G25" s="262">
        <f>SUM(AX25:BB25)</f>
        <v>0</v>
      </c>
      <c r="H25" s="262">
        <f>SUM(BC25:BD25)</f>
        <v>0</v>
      </c>
      <c r="I25" s="262">
        <f>SUM(V25:AC25)</f>
        <v>0</v>
      </c>
      <c r="J25" s="325">
        <f t="shared" si="14"/>
        <v>0</v>
      </c>
      <c r="K25" s="263"/>
      <c r="L25" s="326"/>
      <c r="M25" s="273"/>
      <c r="N25" s="265"/>
      <c r="O25" s="266"/>
      <c r="P25" s="265"/>
      <c r="Q25" s="265"/>
      <c r="R25" s="241">
        <f t="shared" si="10"/>
        <v>0</v>
      </c>
      <c r="S25" s="261"/>
      <c r="T25" s="262"/>
      <c r="U25" s="327"/>
      <c r="V25" s="328"/>
      <c r="W25" s="329"/>
      <c r="X25" s="329"/>
      <c r="Y25" s="329"/>
      <c r="Z25" s="329"/>
      <c r="AA25" s="330"/>
      <c r="AB25" s="331"/>
      <c r="AC25" s="332"/>
      <c r="AD25" s="328"/>
      <c r="AE25" s="329"/>
      <c r="AF25" s="333"/>
      <c r="AG25" s="333"/>
      <c r="AH25" s="333"/>
      <c r="AI25" s="333"/>
      <c r="AJ25" s="333"/>
      <c r="AK25" s="334"/>
      <c r="AL25" s="328"/>
      <c r="AM25" s="333"/>
      <c r="AN25" s="333"/>
      <c r="AO25" s="333"/>
      <c r="AP25" s="333"/>
      <c r="AQ25" s="333"/>
      <c r="AR25" s="333"/>
      <c r="AS25" s="333"/>
      <c r="AT25" s="334"/>
      <c r="AU25" s="328"/>
      <c r="AV25" s="335"/>
      <c r="AW25" s="334"/>
      <c r="AX25" s="328"/>
      <c r="AY25" s="333"/>
      <c r="AZ25" s="333"/>
      <c r="BA25" s="333"/>
      <c r="BB25" s="334"/>
      <c r="BC25" s="328"/>
      <c r="BD25" s="332"/>
      <c r="BE25" s="328"/>
      <c r="BF25" s="332"/>
    </row>
    <row r="26" spans="1:58" ht="17.399999999999999">
      <c r="A26" s="322"/>
      <c r="B26" s="323"/>
      <c r="C26" s="324"/>
      <c r="D26" s="261">
        <f>SUM(AD26:AK26)</f>
        <v>0</v>
      </c>
      <c r="E26" s="262">
        <f>SUM(AL26:AT26)</f>
        <v>0</v>
      </c>
      <c r="F26" s="262">
        <f>SUM(AU26:AW26)</f>
        <v>0</v>
      </c>
      <c r="G26" s="262">
        <f>SUM(AX26:BB26)</f>
        <v>0</v>
      </c>
      <c r="H26" s="262">
        <f>SUM(BC26:BD26)</f>
        <v>0</v>
      </c>
      <c r="I26" s="262">
        <f>SUM(V26:AC26)</f>
        <v>0</v>
      </c>
      <c r="J26" s="325">
        <f t="shared" si="14"/>
        <v>0</v>
      </c>
      <c r="K26" s="263"/>
      <c r="L26" s="326"/>
      <c r="M26" s="273"/>
      <c r="N26" s="265"/>
      <c r="O26" s="266"/>
      <c r="P26" s="265"/>
      <c r="Q26" s="265"/>
      <c r="R26" s="241">
        <f t="shared" si="10"/>
        <v>0</v>
      </c>
      <c r="S26" s="261"/>
      <c r="T26" s="262"/>
      <c r="U26" s="336"/>
      <c r="V26" s="328"/>
      <c r="W26" s="329"/>
      <c r="X26" s="329"/>
      <c r="Y26" s="329"/>
      <c r="Z26" s="329"/>
      <c r="AA26" s="330"/>
      <c r="AB26" s="331"/>
      <c r="AC26" s="332"/>
      <c r="AD26" s="337"/>
      <c r="AE26" s="337"/>
      <c r="AF26" s="333"/>
      <c r="AG26" s="333"/>
      <c r="AH26" s="333"/>
      <c r="AI26" s="333"/>
      <c r="AJ26" s="333"/>
      <c r="AK26" s="334"/>
      <c r="AL26" s="328"/>
      <c r="AM26" s="333"/>
      <c r="AN26" s="333"/>
      <c r="AO26" s="333"/>
      <c r="AP26" s="333"/>
      <c r="AQ26" s="333"/>
      <c r="AR26" s="333"/>
      <c r="AS26" s="333"/>
      <c r="AT26" s="334"/>
      <c r="AU26" s="328"/>
      <c r="AV26" s="335"/>
      <c r="AW26" s="334"/>
      <c r="AX26" s="328"/>
      <c r="AY26" s="333"/>
      <c r="AZ26" s="333"/>
      <c r="BA26" s="333"/>
      <c r="BB26" s="334"/>
      <c r="BC26" s="328"/>
      <c r="BD26" s="332"/>
      <c r="BE26" s="328"/>
      <c r="BF26" s="332"/>
    </row>
    <row r="27" spans="1:58">
      <c r="A27" s="322"/>
      <c r="B27" s="323"/>
      <c r="C27" s="338"/>
      <c r="D27" s="276"/>
      <c r="E27" s="277"/>
      <c r="F27" s="277"/>
      <c r="G27" s="277"/>
      <c r="H27" s="277"/>
      <c r="I27" s="277"/>
      <c r="J27" s="339"/>
      <c r="K27" s="278"/>
      <c r="L27" s="340"/>
      <c r="M27" s="279"/>
      <c r="N27" s="280"/>
      <c r="O27" s="281"/>
      <c r="P27" s="280"/>
      <c r="Q27" s="280"/>
      <c r="R27" s="241">
        <f>R24+SUM(O27:Q27)-SUM(J27:N27)</f>
        <v>0</v>
      </c>
      <c r="S27" s="261"/>
      <c r="T27" s="262"/>
      <c r="U27" s="327"/>
      <c r="V27" s="341"/>
      <c r="W27" s="342"/>
      <c r="X27" s="342"/>
      <c r="Y27" s="342"/>
      <c r="Z27" s="342"/>
      <c r="AA27" s="343"/>
      <c r="AB27" s="344"/>
      <c r="AC27" s="345"/>
      <c r="AD27" s="341"/>
      <c r="AE27" s="342"/>
      <c r="AF27" s="346"/>
      <c r="AG27" s="346"/>
      <c r="AH27" s="346"/>
      <c r="AI27" s="346"/>
      <c r="AJ27" s="346"/>
      <c r="AK27" s="347"/>
      <c r="AL27" s="341"/>
      <c r="AM27" s="346"/>
      <c r="AN27" s="342"/>
      <c r="AO27" s="346"/>
      <c r="AP27" s="346"/>
      <c r="AQ27" s="346"/>
      <c r="AR27" s="346"/>
      <c r="AS27" s="346"/>
      <c r="AT27" s="347"/>
      <c r="AU27" s="341"/>
      <c r="AV27" s="348"/>
      <c r="AW27" s="347"/>
      <c r="AX27" s="341"/>
      <c r="AY27" s="346"/>
      <c r="AZ27" s="346"/>
      <c r="BA27" s="346"/>
      <c r="BB27" s="347"/>
      <c r="BC27" s="341"/>
      <c r="BD27" s="345"/>
      <c r="BE27" s="341"/>
      <c r="BF27" s="345"/>
    </row>
    <row r="28" spans="1:58">
      <c r="A28" s="349" t="s">
        <v>99</v>
      </c>
      <c r="B28" s="350"/>
      <c r="C28" s="351"/>
      <c r="D28" s="352">
        <f t="shared" ref="D28:K28" si="15">SUM(D25:D26)</f>
        <v>0</v>
      </c>
      <c r="E28" s="353">
        <f t="shared" si="15"/>
        <v>0</v>
      </c>
      <c r="F28" s="353">
        <f t="shared" si="15"/>
        <v>0</v>
      </c>
      <c r="G28" s="353">
        <f t="shared" si="15"/>
        <v>0</v>
      </c>
      <c r="H28" s="353">
        <f t="shared" si="15"/>
        <v>0</v>
      </c>
      <c r="I28" s="353">
        <f t="shared" si="15"/>
        <v>0</v>
      </c>
      <c r="J28" s="354">
        <f t="shared" si="15"/>
        <v>0</v>
      </c>
      <c r="K28" s="355">
        <f t="shared" si="15"/>
        <v>0</v>
      </c>
      <c r="L28" s="355">
        <f>SUM(L25:L27)</f>
        <v>0</v>
      </c>
      <c r="M28" s="356">
        <f t="shared" ref="M28:O28" si="16">SUM(M25:M26)</f>
        <v>0</v>
      </c>
      <c r="N28" s="357">
        <f t="shared" si="16"/>
        <v>0</v>
      </c>
      <c r="O28" s="358">
        <f t="shared" si="16"/>
        <v>0</v>
      </c>
      <c r="P28" s="359"/>
      <c r="Q28" s="359"/>
      <c r="R28" s="360">
        <f>R27+SUM(O28:Q28)-SUM(J28:N28)</f>
        <v>0</v>
      </c>
      <c r="S28" s="361"/>
      <c r="T28" s="353"/>
      <c r="U28" s="362"/>
      <c r="V28" s="363">
        <f>SUM(V25:V26)</f>
        <v>0</v>
      </c>
      <c r="W28" s="364"/>
      <c r="X28" s="364"/>
      <c r="Y28" s="364"/>
      <c r="Z28" s="364"/>
      <c r="AA28" s="365">
        <f>SUM(AA25:AA26)</f>
        <v>0</v>
      </c>
      <c r="AB28" s="366"/>
      <c r="AC28" s="367">
        <f>SUM(AC25:AC26)</f>
        <v>0</v>
      </c>
      <c r="AD28" s="363"/>
      <c r="AE28" s="364"/>
      <c r="AF28" s="368"/>
      <c r="AG28" s="368"/>
      <c r="AH28" s="368"/>
      <c r="AI28" s="368"/>
      <c r="AJ28" s="368"/>
      <c r="AK28" s="369"/>
      <c r="AL28" s="363"/>
      <c r="AM28" s="368"/>
      <c r="AN28" s="363"/>
      <c r="AO28" s="368"/>
      <c r="AP28" s="368"/>
      <c r="AQ28" s="368"/>
      <c r="AR28" s="368"/>
      <c r="AS28" s="368"/>
      <c r="AT28" s="369"/>
      <c r="AU28" s="363"/>
      <c r="AV28" s="370"/>
      <c r="AW28" s="369"/>
      <c r="AX28" s="363"/>
      <c r="AY28" s="368"/>
      <c r="AZ28" s="368"/>
      <c r="BA28" s="368"/>
      <c r="BB28" s="369"/>
      <c r="BC28" s="363"/>
      <c r="BD28" s="367"/>
      <c r="BE28" s="363"/>
      <c r="BF28" s="367"/>
    </row>
    <row r="29" spans="1:58">
      <c r="A29" s="469" t="s">
        <v>97</v>
      </c>
      <c r="B29" s="470"/>
      <c r="C29" s="371"/>
      <c r="D29" s="295">
        <f t="shared" ref="D29:AA29" si="17">D28+D23</f>
        <v>0</v>
      </c>
      <c r="E29" s="295">
        <f t="shared" si="17"/>
        <v>0</v>
      </c>
      <c r="F29" s="295">
        <f t="shared" si="17"/>
        <v>0</v>
      </c>
      <c r="G29" s="295">
        <f t="shared" si="17"/>
        <v>0</v>
      </c>
      <c r="H29" s="295">
        <f t="shared" si="17"/>
        <v>0</v>
      </c>
      <c r="I29" s="295">
        <f t="shared" si="17"/>
        <v>0</v>
      </c>
      <c r="J29" s="295">
        <f t="shared" si="17"/>
        <v>0</v>
      </c>
      <c r="K29" s="295">
        <f t="shared" si="17"/>
        <v>0</v>
      </c>
      <c r="L29" s="295">
        <f t="shared" si="17"/>
        <v>0</v>
      </c>
      <c r="M29" s="295">
        <f t="shared" si="17"/>
        <v>0</v>
      </c>
      <c r="N29" s="295">
        <f t="shared" si="17"/>
        <v>0</v>
      </c>
      <c r="O29" s="372">
        <f t="shared" si="17"/>
        <v>0</v>
      </c>
      <c r="P29" s="372">
        <f t="shared" si="17"/>
        <v>0</v>
      </c>
      <c r="Q29" s="372">
        <f t="shared" si="17"/>
        <v>0</v>
      </c>
      <c r="R29" s="295">
        <f t="shared" si="17"/>
        <v>0</v>
      </c>
      <c r="S29" s="295">
        <f t="shared" si="17"/>
        <v>0</v>
      </c>
      <c r="T29" s="295">
        <f t="shared" si="17"/>
        <v>0</v>
      </c>
      <c r="U29" s="295">
        <f t="shared" si="17"/>
        <v>0</v>
      </c>
      <c r="V29" s="295">
        <f t="shared" si="17"/>
        <v>0</v>
      </c>
      <c r="W29" s="295">
        <f t="shared" si="17"/>
        <v>0</v>
      </c>
      <c r="X29" s="295">
        <f t="shared" si="17"/>
        <v>0</v>
      </c>
      <c r="Y29" s="295">
        <f t="shared" si="17"/>
        <v>0</v>
      </c>
      <c r="Z29" s="295">
        <f t="shared" si="17"/>
        <v>0</v>
      </c>
      <c r="AA29" s="295">
        <f t="shared" si="17"/>
        <v>0</v>
      </c>
      <c r="AB29" s="295"/>
      <c r="AC29" s="295">
        <f t="shared" ref="AC29:BF29" si="18">AC28+AC23</f>
        <v>0</v>
      </c>
      <c r="AD29" s="295">
        <f t="shared" si="18"/>
        <v>0</v>
      </c>
      <c r="AE29" s="295">
        <f t="shared" si="18"/>
        <v>0</v>
      </c>
      <c r="AF29" s="295">
        <f t="shared" si="18"/>
        <v>0</v>
      </c>
      <c r="AG29" s="295">
        <f t="shared" si="18"/>
        <v>0</v>
      </c>
      <c r="AH29" s="295">
        <f t="shared" si="18"/>
        <v>0</v>
      </c>
      <c r="AI29" s="295">
        <f t="shared" si="18"/>
        <v>0</v>
      </c>
      <c r="AJ29" s="295">
        <f t="shared" si="18"/>
        <v>0</v>
      </c>
      <c r="AK29" s="295">
        <f t="shared" si="18"/>
        <v>0</v>
      </c>
      <c r="AL29" s="295">
        <f t="shared" si="18"/>
        <v>0</v>
      </c>
      <c r="AM29" s="295">
        <f t="shared" si="18"/>
        <v>0</v>
      </c>
      <c r="AN29" s="295">
        <f t="shared" si="18"/>
        <v>0</v>
      </c>
      <c r="AO29" s="295">
        <f t="shared" si="18"/>
        <v>0</v>
      </c>
      <c r="AP29" s="295">
        <f t="shared" si="18"/>
        <v>0</v>
      </c>
      <c r="AQ29" s="295">
        <f t="shared" si="18"/>
        <v>0</v>
      </c>
      <c r="AR29" s="295">
        <f t="shared" si="18"/>
        <v>0</v>
      </c>
      <c r="AS29" s="295">
        <f t="shared" si="18"/>
        <v>0</v>
      </c>
      <c r="AT29" s="295">
        <f t="shared" si="18"/>
        <v>0</v>
      </c>
      <c r="AU29" s="295">
        <f t="shared" si="18"/>
        <v>0</v>
      </c>
      <c r="AV29" s="295">
        <f t="shared" si="18"/>
        <v>0</v>
      </c>
      <c r="AW29" s="295">
        <f t="shared" si="18"/>
        <v>0</v>
      </c>
      <c r="AX29" s="295">
        <f t="shared" si="18"/>
        <v>0</v>
      </c>
      <c r="AY29" s="295">
        <f t="shared" si="18"/>
        <v>0</v>
      </c>
      <c r="AZ29" s="295">
        <f t="shared" si="18"/>
        <v>0</v>
      </c>
      <c r="BA29" s="295">
        <f t="shared" si="18"/>
        <v>0</v>
      </c>
      <c r="BB29" s="295">
        <f t="shared" si="18"/>
        <v>0</v>
      </c>
      <c r="BC29" s="295">
        <f t="shared" si="18"/>
        <v>0</v>
      </c>
      <c r="BD29" s="295">
        <f t="shared" si="18"/>
        <v>0</v>
      </c>
      <c r="BE29" s="295">
        <f t="shared" si="18"/>
        <v>0</v>
      </c>
      <c r="BF29" s="295">
        <f t="shared" si="18"/>
        <v>0</v>
      </c>
    </row>
    <row r="32" spans="1:58" ht="19.8" customHeight="1"/>
  </sheetData>
  <autoFilter ref="A3:BE29" xr:uid="{00000000-0009-0000-0000-000003000000}"/>
  <mergeCells count="30">
    <mergeCell ref="O2:Q2"/>
    <mergeCell ref="V2:Y2"/>
    <mergeCell ref="Z2:AC2"/>
    <mergeCell ref="AD2:AK2"/>
    <mergeCell ref="AL2:AT2"/>
    <mergeCell ref="R2:R3"/>
    <mergeCell ref="S2:S3"/>
    <mergeCell ref="T2:T3"/>
    <mergeCell ref="U2:U3"/>
    <mergeCell ref="AU2:AW2"/>
    <mergeCell ref="AX2:BB2"/>
    <mergeCell ref="BC2:BD2"/>
    <mergeCell ref="BE2:BF2"/>
    <mergeCell ref="A4:B4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A23:B23"/>
    <mergeCell ref="A29:B29"/>
    <mergeCell ref="A2:A3"/>
    <mergeCell ref="B2:B3"/>
    <mergeCell ref="C2:C3"/>
  </mergeCells>
  <phoneticPr fontId="46" type="noConversion"/>
  <hyperlinks>
    <hyperlink ref="A1" location="汇总表!A1" display="←返回" xr:uid="{00000000-0004-0000-0300-000000000000}"/>
  </hyperlinks>
  <pageMargins left="0.7" right="0.7" top="0.75" bottom="0.75" header="0.3" footer="0.3"/>
  <pageSetup paperSize="9" orientation="landscape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E126"/>
  <sheetViews>
    <sheetView zoomScale="115" zoomScaleNormal="115" workbookViewId="0">
      <pane xSplit="2" ySplit="4" topLeftCell="C107" activePane="bottomRight" state="frozen"/>
      <selection pane="topRight"/>
      <selection pane="bottomLeft"/>
      <selection pane="bottomRight" activeCell="A31" sqref="A31:XFD40"/>
    </sheetView>
  </sheetViews>
  <sheetFormatPr defaultColWidth="9" defaultRowHeight="17.399999999999999" outlineLevelCol="1"/>
  <cols>
    <col min="1" max="1" width="6.69921875" style="4" customWidth="1"/>
    <col min="2" max="2" width="7" style="5" customWidth="1"/>
    <col min="3" max="6" width="4.8984375" style="6" customWidth="1" outlineLevel="1"/>
    <col min="7" max="7" width="4.8984375" style="7" customWidth="1" outlineLevel="1"/>
    <col min="8" max="8" width="8.296875" style="7" customWidth="1" outlineLevel="1"/>
    <col min="9" max="9" width="7.796875" style="7" customWidth="1"/>
    <col min="10" max="10" width="4.09765625" style="7" customWidth="1" outlineLevel="1"/>
    <col min="11" max="11" width="4.19921875" style="7" customWidth="1" outlineLevel="1"/>
    <col min="12" max="13" width="4.8984375" style="7" customWidth="1"/>
    <col min="14" max="15" width="4.8984375" style="7" customWidth="1" outlineLevel="1"/>
    <col min="16" max="16" width="4.8984375" style="8" customWidth="1" outlineLevel="1"/>
    <col min="17" max="17" width="4.8984375" style="7" customWidth="1" outlineLevel="1"/>
    <col min="18" max="18" width="13.19921875" style="7" customWidth="1"/>
    <col min="19" max="19" width="4.69921875" style="7" customWidth="1"/>
    <col min="20" max="20" width="4.09765625" style="8" customWidth="1"/>
    <col min="21" max="21" width="13.59765625" style="8" customWidth="1"/>
    <col min="22" max="25" width="5.3984375" style="7" customWidth="1" outlineLevel="1"/>
    <col min="26" max="26" width="4.8984375" style="8" customWidth="1" outlineLevel="1"/>
    <col min="27" max="27" width="5.69921875" style="7" customWidth="1" outlineLevel="1"/>
    <col min="28" max="28" width="5.09765625" style="9" customWidth="1" outlineLevel="1"/>
    <col min="29" max="29" width="4.09765625" style="9" customWidth="1" outlineLevel="1"/>
    <col min="30" max="30" width="4.59765625" style="9" customWidth="1" outlineLevel="1"/>
    <col min="31" max="35" width="3.8984375" style="9" customWidth="1" outlineLevel="1"/>
    <col min="36" max="36" width="3.8984375" style="9" customWidth="1"/>
    <col min="37" max="44" width="4.5" style="7" customWidth="1" outlineLevel="1"/>
    <col min="45" max="45" width="4.5" style="7" customWidth="1"/>
    <col min="46" max="47" width="4.8984375" style="7" customWidth="1"/>
    <col min="48" max="48" width="5" style="7" customWidth="1"/>
    <col min="49" max="50" width="4.09765625" style="7" customWidth="1"/>
    <col min="51" max="51" width="4.19921875" style="7" customWidth="1"/>
    <col min="52" max="52" width="4.8984375" style="7" customWidth="1"/>
    <col min="53" max="53" width="6.3984375" style="7" customWidth="1"/>
    <col min="54" max="54" width="6.59765625" style="7" customWidth="1"/>
    <col min="55" max="56" width="4.19921875" style="7" customWidth="1"/>
    <col min="57" max="57" width="2.3984375" style="6" customWidth="1"/>
    <col min="58" max="16384" width="9" style="7"/>
  </cols>
  <sheetData>
    <row r="1" spans="1:57">
      <c r="A1" s="188" t="s">
        <v>93</v>
      </c>
      <c r="R1" s="11"/>
      <c r="S1" s="11"/>
    </row>
    <row r="2" spans="1:57" s="1" customFormat="1" ht="25.5" customHeight="1">
      <c r="A2" s="556" t="s">
        <v>65</v>
      </c>
      <c r="B2" s="558" t="s">
        <v>66</v>
      </c>
      <c r="C2" s="560" t="s">
        <v>68</v>
      </c>
      <c r="D2" s="562" t="s">
        <v>69</v>
      </c>
      <c r="E2" s="564" t="s">
        <v>70</v>
      </c>
      <c r="F2" s="566" t="s">
        <v>71</v>
      </c>
      <c r="G2" s="550" t="s">
        <v>72</v>
      </c>
      <c r="H2" s="569" t="s">
        <v>73</v>
      </c>
      <c r="I2" s="571" t="s">
        <v>74</v>
      </c>
      <c r="J2" s="573" t="s">
        <v>75</v>
      </c>
      <c r="K2" s="575" t="s">
        <v>76</v>
      </c>
      <c r="L2" s="536" t="s">
        <v>100</v>
      </c>
      <c r="M2" s="536" t="s">
        <v>101</v>
      </c>
      <c r="N2" s="577" t="s">
        <v>79</v>
      </c>
      <c r="O2" s="577"/>
      <c r="P2" s="577"/>
      <c r="Q2" s="577"/>
      <c r="R2" s="538" t="s">
        <v>80</v>
      </c>
      <c r="S2" s="540" t="s">
        <v>81</v>
      </c>
      <c r="T2" s="542" t="s">
        <v>82</v>
      </c>
      <c r="U2" s="544" t="s">
        <v>83</v>
      </c>
      <c r="V2" s="578" t="s">
        <v>73</v>
      </c>
      <c r="W2" s="579"/>
      <c r="X2" s="569"/>
      <c r="Y2" s="569"/>
      <c r="Z2" s="569"/>
      <c r="AA2" s="580"/>
      <c r="AB2" s="581" t="s">
        <v>68</v>
      </c>
      <c r="AC2" s="582"/>
      <c r="AD2" s="583"/>
      <c r="AE2" s="583"/>
      <c r="AF2" s="583"/>
      <c r="AG2" s="583"/>
      <c r="AH2" s="583"/>
      <c r="AI2" s="583"/>
      <c r="AJ2" s="584"/>
      <c r="AK2" s="585" t="s">
        <v>69</v>
      </c>
      <c r="AL2" s="586"/>
      <c r="AM2" s="586"/>
      <c r="AN2" s="586"/>
      <c r="AO2" s="586"/>
      <c r="AP2" s="586"/>
      <c r="AQ2" s="586"/>
      <c r="AR2" s="586"/>
      <c r="AS2" s="587"/>
      <c r="AT2" s="588" t="s">
        <v>70</v>
      </c>
      <c r="AU2" s="589"/>
      <c r="AV2" s="546" t="s">
        <v>71</v>
      </c>
      <c r="AW2" s="547"/>
      <c r="AX2" s="547"/>
      <c r="AY2" s="547"/>
      <c r="AZ2" s="548"/>
      <c r="BA2" s="549" t="s">
        <v>84</v>
      </c>
      <c r="BB2" s="550"/>
      <c r="BC2" s="550"/>
      <c r="BD2" s="551"/>
      <c r="BE2" s="12"/>
    </row>
    <row r="3" spans="1:57" s="2" customFormat="1" ht="30" customHeight="1">
      <c r="A3" s="557"/>
      <c r="B3" s="559"/>
      <c r="C3" s="561"/>
      <c r="D3" s="563"/>
      <c r="E3" s="565"/>
      <c r="F3" s="567"/>
      <c r="G3" s="568"/>
      <c r="H3" s="570"/>
      <c r="I3" s="572"/>
      <c r="J3" s="574"/>
      <c r="K3" s="576"/>
      <c r="L3" s="537"/>
      <c r="M3" s="537"/>
      <c r="N3" s="13" t="s">
        <v>102</v>
      </c>
      <c r="O3" s="13" t="s">
        <v>103</v>
      </c>
      <c r="P3" s="13" t="s">
        <v>104</v>
      </c>
      <c r="Q3" s="14" t="s">
        <v>105</v>
      </c>
      <c r="R3" s="539"/>
      <c r="S3" s="541"/>
      <c r="T3" s="543"/>
      <c r="U3" s="545"/>
      <c r="V3" s="15" t="s">
        <v>19</v>
      </c>
      <c r="W3" s="16" t="s">
        <v>106</v>
      </c>
      <c r="X3" s="17" t="s">
        <v>107</v>
      </c>
      <c r="Y3" s="17" t="s">
        <v>108</v>
      </c>
      <c r="Z3" s="17" t="s">
        <v>109</v>
      </c>
      <c r="AA3" s="18" t="s">
        <v>32</v>
      </c>
      <c r="AB3" s="19" t="s">
        <v>110</v>
      </c>
      <c r="AC3" s="19" t="s">
        <v>111</v>
      </c>
      <c r="AD3" s="19" t="s">
        <v>26</v>
      </c>
      <c r="AE3" s="19" t="s">
        <v>27</v>
      </c>
      <c r="AF3" s="19" t="s">
        <v>28</v>
      </c>
      <c r="AG3" s="19" t="s">
        <v>29</v>
      </c>
      <c r="AH3" s="19" t="s">
        <v>30</v>
      </c>
      <c r="AI3" s="19" t="s">
        <v>19</v>
      </c>
      <c r="AJ3" s="20" t="s">
        <v>32</v>
      </c>
      <c r="AK3" s="21" t="s">
        <v>112</v>
      </c>
      <c r="AL3" s="22" t="s">
        <v>113</v>
      </c>
      <c r="AM3" s="22" t="s">
        <v>114</v>
      </c>
      <c r="AN3" s="22" t="s">
        <v>115</v>
      </c>
      <c r="AO3" s="22" t="s">
        <v>19</v>
      </c>
      <c r="AP3" s="22" t="s">
        <v>36</v>
      </c>
      <c r="AQ3" s="22" t="s">
        <v>37</v>
      </c>
      <c r="AR3" s="22" t="s">
        <v>38</v>
      </c>
      <c r="AS3" s="23" t="s">
        <v>32</v>
      </c>
      <c r="AT3" s="24" t="s">
        <v>40</v>
      </c>
      <c r="AU3" s="25" t="s">
        <v>116</v>
      </c>
      <c r="AV3" s="26" t="s">
        <v>51</v>
      </c>
      <c r="AW3" s="27" t="s">
        <v>52</v>
      </c>
      <c r="AX3" s="27" t="s">
        <v>53</v>
      </c>
      <c r="AY3" s="27" t="s">
        <v>86</v>
      </c>
      <c r="AZ3" s="28" t="s">
        <v>87</v>
      </c>
      <c r="BA3" s="29" t="s">
        <v>44</v>
      </c>
      <c r="BB3" s="30" t="s">
        <v>45</v>
      </c>
      <c r="BC3" s="30"/>
      <c r="BD3" s="31"/>
      <c r="BE3" s="32"/>
    </row>
    <row r="4" spans="1:57" s="3" customFormat="1" ht="20.25" customHeight="1">
      <c r="A4" s="552" t="s">
        <v>117</v>
      </c>
      <c r="B4" s="553"/>
      <c r="C4" s="33"/>
      <c r="D4" s="33"/>
      <c r="E4" s="33"/>
      <c r="F4" s="33"/>
      <c r="G4" s="34"/>
      <c r="H4" s="35"/>
      <c r="I4" s="33"/>
      <c r="J4" s="34"/>
      <c r="K4" s="34"/>
      <c r="L4" s="34"/>
      <c r="M4" s="34"/>
      <c r="N4" s="34"/>
      <c r="O4" s="34"/>
      <c r="P4" s="36"/>
      <c r="Q4" s="34"/>
      <c r="R4" s="33">
        <v>0</v>
      </c>
      <c r="S4" s="34"/>
      <c r="T4" s="36"/>
      <c r="U4" s="36"/>
      <c r="V4" s="34"/>
      <c r="W4" s="34"/>
      <c r="X4" s="34"/>
      <c r="Y4" s="34"/>
      <c r="Z4" s="36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34"/>
      <c r="BA4" s="34"/>
      <c r="BB4" s="34"/>
      <c r="BC4" s="34"/>
      <c r="BD4" s="37"/>
      <c r="BE4" s="38"/>
    </row>
    <row r="5" spans="1:57">
      <c r="A5" s="39"/>
      <c r="B5" s="40"/>
      <c r="C5" s="41">
        <f t="shared" ref="C5:C36" si="0">SUM(AB5:AJ5)</f>
        <v>0</v>
      </c>
      <c r="D5" s="42">
        <f t="shared" ref="D5:D36" si="1">SUM(AK5:AS5)</f>
        <v>0</v>
      </c>
      <c r="E5" s="42">
        <f t="shared" ref="E5:E36" si="2">SUM(AT5:AU5)</f>
        <v>0</v>
      </c>
      <c r="F5" s="42">
        <f t="shared" ref="F5:F36" si="3">SUM(AV5:AZ5)</f>
        <v>0</v>
      </c>
      <c r="G5" s="42">
        <f>SUM(BA5:BD5)</f>
        <v>0</v>
      </c>
      <c r="H5" s="42">
        <f t="shared" ref="H5:H36" si="4">SUM(V5:AA5)</f>
        <v>0</v>
      </c>
      <c r="I5" s="43">
        <f>SUM(C5:H5)</f>
        <v>0</v>
      </c>
      <c r="J5" s="44"/>
      <c r="K5" s="44"/>
      <c r="L5" s="45"/>
      <c r="M5" s="46"/>
      <c r="N5" s="47"/>
      <c r="O5" s="41"/>
      <c r="P5" s="48"/>
      <c r="Q5" s="49"/>
      <c r="R5" s="50">
        <f>R4+SUM(N5:Q5)-SUM(I5:M5)</f>
        <v>0</v>
      </c>
      <c r="S5" s="51"/>
      <c r="T5" s="52"/>
      <c r="U5" s="53"/>
      <c r="V5" s="54"/>
      <c r="W5" s="55"/>
      <c r="X5" s="56"/>
      <c r="Y5" s="56"/>
      <c r="Z5" s="57"/>
      <c r="AA5" s="58"/>
      <c r="AB5" s="54"/>
      <c r="AC5" s="55"/>
      <c r="AD5" s="56"/>
      <c r="AE5" s="56"/>
      <c r="AF5" s="56"/>
      <c r="AG5" s="56"/>
      <c r="AH5" s="56"/>
      <c r="AI5" s="56"/>
      <c r="AJ5" s="59"/>
      <c r="AK5" s="60"/>
      <c r="AL5" s="56"/>
      <c r="AM5" s="56"/>
      <c r="AN5" s="56"/>
      <c r="AO5" s="56"/>
      <c r="AP5" s="56"/>
      <c r="AQ5" s="56"/>
      <c r="AR5" s="56"/>
      <c r="AS5" s="58"/>
      <c r="AT5" s="55"/>
      <c r="AU5" s="59"/>
      <c r="AV5" s="60"/>
      <c r="AW5" s="56"/>
      <c r="AX5" s="56"/>
      <c r="AY5" s="56"/>
      <c r="AZ5" s="58"/>
      <c r="BA5" s="55"/>
      <c r="BB5" s="56"/>
      <c r="BC5" s="56"/>
      <c r="BD5" s="58"/>
      <c r="BE5" s="6">
        <f t="shared" ref="BE5:BE45" si="5">I5-SUM(AB5:BD5)</f>
        <v>0</v>
      </c>
    </row>
    <row r="6" spans="1:57">
      <c r="A6" s="61"/>
      <c r="B6" s="40"/>
      <c r="C6" s="62">
        <f t="shared" si="0"/>
        <v>0</v>
      </c>
      <c r="D6" s="63">
        <f t="shared" si="1"/>
        <v>0</v>
      </c>
      <c r="E6" s="63">
        <f t="shared" si="2"/>
        <v>0</v>
      </c>
      <c r="F6" s="63">
        <f t="shared" si="3"/>
        <v>0</v>
      </c>
      <c r="G6" s="63">
        <f t="shared" ref="G6:G69" si="6">SUM(BA6:BD6)</f>
        <v>0</v>
      </c>
      <c r="H6" s="63">
        <f t="shared" si="4"/>
        <v>0</v>
      </c>
      <c r="I6" s="64">
        <f t="shared" ref="I6:I69" si="7">SUM(C6:H6)</f>
        <v>0</v>
      </c>
      <c r="J6" s="65"/>
      <c r="K6" s="65"/>
      <c r="L6" s="66"/>
      <c r="M6" s="67"/>
      <c r="N6" s="68"/>
      <c r="O6" s="62"/>
      <c r="P6" s="69"/>
      <c r="Q6" s="70"/>
      <c r="R6" s="50">
        <f t="shared" ref="R6:R69" si="8">R5+SUM(N6:Q6)-SUM(I6:M6)</f>
        <v>0</v>
      </c>
      <c r="S6" s="71"/>
      <c r="T6" s="69"/>
      <c r="U6" s="72"/>
      <c r="V6" s="73"/>
      <c r="W6" s="74"/>
      <c r="X6" s="75"/>
      <c r="Y6" s="75"/>
      <c r="Z6" s="76"/>
      <c r="AA6" s="77"/>
      <c r="AB6" s="73"/>
      <c r="AC6" s="74"/>
      <c r="AD6" s="75"/>
      <c r="AE6" s="75"/>
      <c r="AF6" s="75"/>
      <c r="AG6" s="75"/>
      <c r="AI6" s="75"/>
      <c r="AJ6" s="78"/>
      <c r="AK6" s="79"/>
      <c r="AL6" s="75"/>
      <c r="AM6" s="75"/>
      <c r="AN6" s="75"/>
      <c r="AO6" s="75"/>
      <c r="AP6" s="75"/>
      <c r="AQ6" s="75"/>
      <c r="AR6" s="75"/>
      <c r="AS6" s="77"/>
      <c r="AT6" s="74"/>
      <c r="AU6" s="78"/>
      <c r="AV6" s="79"/>
      <c r="AW6" s="75"/>
      <c r="AX6" s="75"/>
      <c r="AY6" s="75"/>
      <c r="AZ6" s="77"/>
      <c r="BA6" s="74"/>
      <c r="BB6" s="75"/>
      <c r="BC6" s="75"/>
      <c r="BD6" s="77"/>
      <c r="BE6" s="6">
        <f t="shared" si="5"/>
        <v>0</v>
      </c>
    </row>
    <row r="7" spans="1:57">
      <c r="A7" s="61"/>
      <c r="B7" s="40"/>
      <c r="C7" s="62">
        <f t="shared" si="0"/>
        <v>0</v>
      </c>
      <c r="D7" s="63">
        <f t="shared" si="1"/>
        <v>0</v>
      </c>
      <c r="E7" s="63">
        <f t="shared" si="2"/>
        <v>0</v>
      </c>
      <c r="F7" s="63">
        <f t="shared" si="3"/>
        <v>0</v>
      </c>
      <c r="G7" s="63">
        <f t="shared" si="6"/>
        <v>0</v>
      </c>
      <c r="H7" s="63">
        <f t="shared" si="4"/>
        <v>0</v>
      </c>
      <c r="I7" s="64">
        <f t="shared" si="7"/>
        <v>0</v>
      </c>
      <c r="J7" s="65"/>
      <c r="K7" s="65"/>
      <c r="L7" s="80"/>
      <c r="M7" s="67"/>
      <c r="N7" s="68"/>
      <c r="O7" s="62"/>
      <c r="P7" s="69"/>
      <c r="Q7" s="70"/>
      <c r="R7" s="50">
        <f t="shared" si="8"/>
        <v>0</v>
      </c>
      <c r="S7" s="71"/>
      <c r="T7" s="69"/>
      <c r="U7" s="72"/>
      <c r="V7" s="73"/>
      <c r="W7" s="74"/>
      <c r="X7" s="75"/>
      <c r="Y7" s="75"/>
      <c r="Z7" s="76"/>
      <c r="AA7" s="77"/>
      <c r="AB7" s="73"/>
      <c r="AC7" s="74"/>
      <c r="AD7" s="75"/>
      <c r="AE7" s="75"/>
      <c r="AF7" s="75"/>
      <c r="AG7" s="75"/>
      <c r="AH7" s="75"/>
      <c r="AI7" s="75"/>
      <c r="AJ7" s="78"/>
      <c r="AK7" s="79"/>
      <c r="AL7" s="75"/>
      <c r="AM7" s="75"/>
      <c r="AN7" s="75"/>
      <c r="AO7" s="75"/>
      <c r="AP7" s="75"/>
      <c r="AQ7" s="75"/>
      <c r="AR7" s="75"/>
      <c r="AS7" s="77"/>
      <c r="AT7" s="74"/>
      <c r="AU7" s="78"/>
      <c r="AV7" s="79"/>
      <c r="AW7" s="75"/>
      <c r="AX7" s="75"/>
      <c r="AY7" s="75"/>
      <c r="AZ7" s="77"/>
      <c r="BA7" s="74"/>
      <c r="BB7" s="75"/>
      <c r="BC7" s="75"/>
      <c r="BD7" s="77"/>
      <c r="BE7" s="6">
        <f t="shared" si="5"/>
        <v>0</v>
      </c>
    </row>
    <row r="8" spans="1:57">
      <c r="A8" s="61"/>
      <c r="B8" s="40"/>
      <c r="C8" s="62">
        <f t="shared" si="0"/>
        <v>0</v>
      </c>
      <c r="D8" s="42">
        <f t="shared" si="1"/>
        <v>0</v>
      </c>
      <c r="E8" s="63">
        <f t="shared" si="2"/>
        <v>0</v>
      </c>
      <c r="F8" s="63">
        <f t="shared" si="3"/>
        <v>0</v>
      </c>
      <c r="G8" s="63">
        <f t="shared" si="6"/>
        <v>0</v>
      </c>
      <c r="H8" s="63">
        <f t="shared" si="4"/>
        <v>0</v>
      </c>
      <c r="I8" s="64">
        <f t="shared" si="7"/>
        <v>0</v>
      </c>
      <c r="J8" s="65"/>
      <c r="K8" s="65"/>
      <c r="L8" s="80"/>
      <c r="M8" s="67"/>
      <c r="N8" s="68"/>
      <c r="O8" s="41"/>
      <c r="P8" s="48"/>
      <c r="Q8" s="70"/>
      <c r="R8" s="50">
        <f t="shared" si="8"/>
        <v>0</v>
      </c>
      <c r="S8" s="71"/>
      <c r="T8" s="69"/>
      <c r="U8" s="81"/>
      <c r="V8" s="73"/>
      <c r="W8" s="74"/>
      <c r="X8" s="75"/>
      <c r="Y8" s="75"/>
      <c r="Z8" s="76"/>
      <c r="AA8" s="77"/>
      <c r="AB8" s="73"/>
      <c r="AC8" s="74"/>
      <c r="AD8" s="75"/>
      <c r="AE8" s="75"/>
      <c r="AF8" s="75"/>
      <c r="AG8" s="75"/>
      <c r="AH8" s="75"/>
      <c r="AI8" s="75"/>
      <c r="AJ8" s="78"/>
      <c r="AK8" s="79"/>
      <c r="AL8" s="75"/>
      <c r="AM8" s="75"/>
      <c r="AN8" s="75"/>
      <c r="AO8" s="75"/>
      <c r="AP8" s="75"/>
      <c r="AQ8" s="75"/>
      <c r="AR8" s="75"/>
      <c r="AS8" s="77"/>
      <c r="AT8" s="74"/>
      <c r="AU8" s="78"/>
      <c r="AV8" s="79"/>
      <c r="AW8" s="75"/>
      <c r="AX8" s="75"/>
      <c r="AY8" s="75"/>
      <c r="AZ8" s="77"/>
      <c r="BA8" s="74"/>
      <c r="BB8" s="75"/>
      <c r="BC8" s="75"/>
      <c r="BD8" s="77"/>
      <c r="BE8" s="6">
        <f t="shared" si="5"/>
        <v>0</v>
      </c>
    </row>
    <row r="9" spans="1:57">
      <c r="A9" s="61"/>
      <c r="B9" s="40"/>
      <c r="C9" s="62">
        <f t="shared" si="0"/>
        <v>0</v>
      </c>
      <c r="D9" s="63">
        <f t="shared" si="1"/>
        <v>0</v>
      </c>
      <c r="E9" s="63">
        <f t="shared" si="2"/>
        <v>0</v>
      </c>
      <c r="F9" s="63">
        <f t="shared" si="3"/>
        <v>0</v>
      </c>
      <c r="G9" s="63">
        <f t="shared" si="6"/>
        <v>0</v>
      </c>
      <c r="H9" s="63">
        <f t="shared" si="4"/>
        <v>0</v>
      </c>
      <c r="I9" s="64">
        <f t="shared" si="7"/>
        <v>0</v>
      </c>
      <c r="J9" s="65"/>
      <c r="K9" s="65"/>
      <c r="L9" s="80"/>
      <c r="M9" s="67"/>
      <c r="N9" s="68"/>
      <c r="O9" s="41"/>
      <c r="P9" s="48"/>
      <c r="Q9" s="70"/>
      <c r="R9" s="50">
        <f t="shared" si="8"/>
        <v>0</v>
      </c>
      <c r="S9" s="71"/>
      <c r="T9" s="69"/>
      <c r="U9" s="81"/>
      <c r="V9" s="73"/>
      <c r="W9" s="74"/>
      <c r="X9" s="75"/>
      <c r="Y9" s="75"/>
      <c r="Z9" s="76"/>
      <c r="AA9" s="77"/>
      <c r="AB9" s="73"/>
      <c r="AC9" s="74"/>
      <c r="AD9" s="75"/>
      <c r="AE9" s="75"/>
      <c r="AF9" s="75"/>
      <c r="AG9" s="75"/>
      <c r="AH9" s="75"/>
      <c r="AI9" s="75"/>
      <c r="AJ9" s="78"/>
      <c r="AK9" s="79"/>
      <c r="AL9" s="75"/>
      <c r="AM9" s="75"/>
      <c r="AN9" s="75"/>
      <c r="AO9" s="75"/>
      <c r="AP9" s="75"/>
      <c r="AQ9" s="75"/>
      <c r="AR9" s="75"/>
      <c r="AS9" s="77"/>
      <c r="AT9" s="74"/>
      <c r="AU9" s="78"/>
      <c r="AV9" s="79"/>
      <c r="AW9" s="75"/>
      <c r="AX9" s="75"/>
      <c r="AY9" s="75"/>
      <c r="AZ9" s="77"/>
      <c r="BA9" s="74"/>
      <c r="BB9" s="75"/>
      <c r="BC9" s="75"/>
      <c r="BD9" s="77"/>
      <c r="BE9" s="6">
        <f t="shared" si="5"/>
        <v>0</v>
      </c>
    </row>
    <row r="10" spans="1:57">
      <c r="A10" s="61"/>
      <c r="B10" s="40"/>
      <c r="C10" s="62">
        <f t="shared" si="0"/>
        <v>0</v>
      </c>
      <c r="D10" s="63">
        <f t="shared" si="1"/>
        <v>0</v>
      </c>
      <c r="E10" s="63">
        <f t="shared" si="2"/>
        <v>0</v>
      </c>
      <c r="F10" s="63">
        <f t="shared" si="3"/>
        <v>0</v>
      </c>
      <c r="G10" s="63">
        <f t="shared" si="6"/>
        <v>0</v>
      </c>
      <c r="H10" s="63">
        <f t="shared" si="4"/>
        <v>0</v>
      </c>
      <c r="I10" s="64">
        <f t="shared" si="7"/>
        <v>0</v>
      </c>
      <c r="J10" s="65"/>
      <c r="K10" s="65"/>
      <c r="L10" s="80"/>
      <c r="M10" s="67"/>
      <c r="N10" s="68"/>
      <c r="O10" s="41"/>
      <c r="P10" s="48"/>
      <c r="Q10" s="70"/>
      <c r="R10" s="50">
        <f t="shared" si="8"/>
        <v>0</v>
      </c>
      <c r="S10" s="71"/>
      <c r="T10" s="69"/>
      <c r="U10" s="81"/>
      <c r="V10" s="73"/>
      <c r="W10" s="74"/>
      <c r="X10" s="75"/>
      <c r="Y10" s="75"/>
      <c r="Z10" s="76"/>
      <c r="AA10" s="77"/>
      <c r="AB10" s="73"/>
      <c r="AC10" s="74"/>
      <c r="AD10" s="75"/>
      <c r="AE10" s="75"/>
      <c r="AF10" s="75"/>
      <c r="AG10" s="75"/>
      <c r="AH10" s="75"/>
      <c r="AI10" s="75"/>
      <c r="AJ10" s="78"/>
      <c r="AK10" s="79"/>
      <c r="AL10" s="75"/>
      <c r="AM10" s="75"/>
      <c r="AN10" s="75"/>
      <c r="AO10" s="75"/>
      <c r="AP10" s="75"/>
      <c r="AQ10" s="75"/>
      <c r="AR10" s="75"/>
      <c r="AS10" s="77"/>
      <c r="AT10" s="74"/>
      <c r="AU10" s="78"/>
      <c r="AV10" s="79"/>
      <c r="AW10" s="75"/>
      <c r="AX10" s="75"/>
      <c r="AY10" s="75"/>
      <c r="AZ10" s="77"/>
      <c r="BA10" s="74"/>
      <c r="BB10" s="75"/>
      <c r="BC10" s="75"/>
      <c r="BD10" s="77"/>
      <c r="BE10" s="6">
        <f t="shared" si="5"/>
        <v>0</v>
      </c>
    </row>
    <row r="11" spans="1:57">
      <c r="A11" s="61"/>
      <c r="B11" s="40"/>
      <c r="C11" s="62">
        <f t="shared" si="0"/>
        <v>0</v>
      </c>
      <c r="D11" s="63">
        <f t="shared" si="1"/>
        <v>0</v>
      </c>
      <c r="E11" s="63">
        <f t="shared" si="2"/>
        <v>0</v>
      </c>
      <c r="F11" s="63">
        <f t="shared" si="3"/>
        <v>0</v>
      </c>
      <c r="G11" s="63">
        <f t="shared" si="6"/>
        <v>0</v>
      </c>
      <c r="H11" s="63">
        <f t="shared" si="4"/>
        <v>0</v>
      </c>
      <c r="I11" s="64">
        <f t="shared" si="7"/>
        <v>0</v>
      </c>
      <c r="J11" s="65"/>
      <c r="K11" s="65"/>
      <c r="L11" s="80"/>
      <c r="M11" s="67"/>
      <c r="N11" s="68"/>
      <c r="O11" s="41"/>
      <c r="P11" s="48"/>
      <c r="Q11" s="70"/>
      <c r="R11" s="50">
        <f t="shared" si="8"/>
        <v>0</v>
      </c>
      <c r="S11" s="82"/>
      <c r="T11" s="69"/>
      <c r="U11" s="81"/>
      <c r="V11" s="73"/>
      <c r="W11" s="74"/>
      <c r="X11" s="75"/>
      <c r="Y11" s="75"/>
      <c r="Z11" s="76"/>
      <c r="AA11" s="77"/>
      <c r="AB11" s="73"/>
      <c r="AC11" s="74"/>
      <c r="AD11" s="75"/>
      <c r="AE11" s="75"/>
      <c r="AF11" s="75"/>
      <c r="AG11" s="75"/>
      <c r="AH11" s="75"/>
      <c r="AI11" s="75"/>
      <c r="AJ11" s="78"/>
      <c r="AK11" s="79"/>
      <c r="AL11" s="75"/>
      <c r="AM11" s="75"/>
      <c r="AN11" s="75"/>
      <c r="AO11" s="75"/>
      <c r="AP11" s="75"/>
      <c r="AQ11" s="75"/>
      <c r="AR11" s="75"/>
      <c r="AS11" s="77"/>
      <c r="AT11" s="74"/>
      <c r="AU11" s="78"/>
      <c r="AV11" s="79"/>
      <c r="AW11" s="75"/>
      <c r="AX11" s="75"/>
      <c r="AY11" s="75"/>
      <c r="AZ11" s="77"/>
      <c r="BA11" s="74"/>
      <c r="BB11" s="75"/>
      <c r="BC11" s="75"/>
      <c r="BD11" s="77"/>
      <c r="BE11" s="6">
        <f t="shared" si="5"/>
        <v>0</v>
      </c>
    </row>
    <row r="12" spans="1:57">
      <c r="A12" s="61"/>
      <c r="B12" s="40"/>
      <c r="C12" s="62">
        <f t="shared" si="0"/>
        <v>0</v>
      </c>
      <c r="D12" s="63">
        <f t="shared" si="1"/>
        <v>0</v>
      </c>
      <c r="E12" s="63">
        <f t="shared" si="2"/>
        <v>0</v>
      </c>
      <c r="F12" s="63">
        <f t="shared" si="3"/>
        <v>0</v>
      </c>
      <c r="G12" s="63">
        <f t="shared" si="6"/>
        <v>0</v>
      </c>
      <c r="H12" s="63">
        <f t="shared" si="4"/>
        <v>0</v>
      </c>
      <c r="I12" s="64">
        <f t="shared" si="7"/>
        <v>0</v>
      </c>
      <c r="J12" s="65"/>
      <c r="K12" s="65"/>
      <c r="L12" s="83"/>
      <c r="M12" s="67"/>
      <c r="N12" s="68"/>
      <c r="O12" s="62"/>
      <c r="P12" s="69"/>
      <c r="Q12" s="70"/>
      <c r="R12" s="50">
        <f t="shared" si="8"/>
        <v>0</v>
      </c>
      <c r="S12" s="71"/>
      <c r="T12" s="69"/>
      <c r="U12" s="81"/>
      <c r="V12" s="73"/>
      <c r="W12" s="74"/>
      <c r="X12" s="75"/>
      <c r="Y12" s="75"/>
      <c r="Z12" s="76"/>
      <c r="AA12" s="77"/>
      <c r="AB12" s="73"/>
      <c r="AC12" s="74"/>
      <c r="AD12" s="75"/>
      <c r="AE12" s="75"/>
      <c r="AF12" s="75"/>
      <c r="AG12" s="75"/>
      <c r="AH12" s="75"/>
      <c r="AI12" s="75"/>
      <c r="AJ12" s="78"/>
      <c r="AK12" s="79"/>
      <c r="AL12" s="75"/>
      <c r="AM12" s="75"/>
      <c r="AN12" s="75"/>
      <c r="AO12" s="75"/>
      <c r="AP12" s="75"/>
      <c r="AQ12" s="75"/>
      <c r="AR12" s="75"/>
      <c r="AS12" s="77"/>
      <c r="AT12" s="74"/>
      <c r="AU12" s="78"/>
      <c r="AV12" s="79"/>
      <c r="AW12" s="75"/>
      <c r="AX12" s="75"/>
      <c r="AY12" s="75"/>
      <c r="AZ12" s="77"/>
      <c r="BA12" s="74"/>
      <c r="BB12" s="75"/>
      <c r="BC12" s="75"/>
      <c r="BD12" s="77"/>
      <c r="BE12" s="6">
        <f t="shared" si="5"/>
        <v>0</v>
      </c>
    </row>
    <row r="13" spans="1:57">
      <c r="A13" s="61"/>
      <c r="B13" s="40"/>
      <c r="C13" s="62">
        <f t="shared" si="0"/>
        <v>0</v>
      </c>
      <c r="D13" s="63">
        <f t="shared" si="1"/>
        <v>0</v>
      </c>
      <c r="E13" s="63">
        <f t="shared" si="2"/>
        <v>0</v>
      </c>
      <c r="F13" s="63">
        <f t="shared" si="3"/>
        <v>0</v>
      </c>
      <c r="G13" s="63">
        <f t="shared" si="6"/>
        <v>0</v>
      </c>
      <c r="H13" s="63">
        <f t="shared" si="4"/>
        <v>0</v>
      </c>
      <c r="I13" s="64">
        <f t="shared" si="7"/>
        <v>0</v>
      </c>
      <c r="J13" s="65"/>
      <c r="K13" s="65"/>
      <c r="L13" s="83"/>
      <c r="M13" s="67"/>
      <c r="N13" s="68"/>
      <c r="O13" s="41"/>
      <c r="P13" s="48"/>
      <c r="Q13" s="70"/>
      <c r="R13" s="50">
        <f t="shared" si="8"/>
        <v>0</v>
      </c>
      <c r="S13" s="71"/>
      <c r="T13" s="69"/>
      <c r="U13" s="81"/>
      <c r="V13" s="73"/>
      <c r="W13" s="74"/>
      <c r="X13" s="75"/>
      <c r="Y13" s="75"/>
      <c r="Z13" s="76"/>
      <c r="AA13" s="77"/>
      <c r="AB13" s="73"/>
      <c r="AC13" s="74"/>
      <c r="AD13" s="75"/>
      <c r="AE13" s="75"/>
      <c r="AF13" s="75"/>
      <c r="AG13" s="75"/>
      <c r="AH13" s="75"/>
      <c r="AI13" s="75"/>
      <c r="AJ13" s="78"/>
      <c r="AK13" s="79"/>
      <c r="AL13" s="75"/>
      <c r="AM13" s="75"/>
      <c r="AN13" s="75"/>
      <c r="AO13" s="75"/>
      <c r="AP13" s="75"/>
      <c r="AQ13" s="75"/>
      <c r="AR13" s="75"/>
      <c r="AS13" s="77"/>
      <c r="AT13" s="74"/>
      <c r="AU13" s="78"/>
      <c r="AV13" s="79"/>
      <c r="AW13" s="75"/>
      <c r="AX13" s="75"/>
      <c r="AY13" s="75"/>
      <c r="AZ13" s="77"/>
      <c r="BA13" s="74"/>
      <c r="BB13" s="75"/>
      <c r="BC13" s="75"/>
      <c r="BD13" s="77"/>
      <c r="BE13" s="6">
        <f t="shared" si="5"/>
        <v>0</v>
      </c>
    </row>
    <row r="14" spans="1:57">
      <c r="A14" s="61"/>
      <c r="B14" s="40"/>
      <c r="C14" s="62">
        <f t="shared" si="0"/>
        <v>0</v>
      </c>
      <c r="D14" s="63">
        <f t="shared" si="1"/>
        <v>0</v>
      </c>
      <c r="E14" s="63">
        <f t="shared" si="2"/>
        <v>0</v>
      </c>
      <c r="F14" s="63">
        <f t="shared" si="3"/>
        <v>0</v>
      </c>
      <c r="G14" s="63">
        <f t="shared" si="6"/>
        <v>0</v>
      </c>
      <c r="H14" s="63">
        <f t="shared" si="4"/>
        <v>0</v>
      </c>
      <c r="I14" s="64">
        <f t="shared" si="7"/>
        <v>0</v>
      </c>
      <c r="J14" s="65"/>
      <c r="K14" s="65"/>
      <c r="L14" s="83"/>
      <c r="M14" s="67"/>
      <c r="N14" s="68"/>
      <c r="O14" s="41"/>
      <c r="P14" s="48"/>
      <c r="Q14" s="70"/>
      <c r="R14" s="50">
        <f t="shared" si="8"/>
        <v>0</v>
      </c>
      <c r="S14" s="71"/>
      <c r="T14" s="69"/>
      <c r="U14" s="81"/>
      <c r="V14" s="73"/>
      <c r="W14" s="74"/>
      <c r="X14" s="75"/>
      <c r="Y14" s="75"/>
      <c r="Z14" s="76"/>
      <c r="AA14" s="77"/>
      <c r="AB14" s="73"/>
      <c r="AC14" s="74"/>
      <c r="AD14" s="75"/>
      <c r="AE14" s="75"/>
      <c r="AF14" s="75"/>
      <c r="AG14" s="75"/>
      <c r="AH14" s="75"/>
      <c r="AI14" s="75"/>
      <c r="AJ14" s="78"/>
      <c r="AK14" s="79"/>
      <c r="AL14" s="75"/>
      <c r="AM14" s="75"/>
      <c r="AN14" s="75"/>
      <c r="AO14" s="75"/>
      <c r="AP14" s="75"/>
      <c r="AQ14" s="75"/>
      <c r="AR14" s="75"/>
      <c r="AS14" s="77"/>
      <c r="AT14" s="74"/>
      <c r="AU14" s="78"/>
      <c r="AV14" s="79"/>
      <c r="AW14" s="75"/>
      <c r="AX14" s="75"/>
      <c r="AY14" s="75"/>
      <c r="AZ14" s="77"/>
      <c r="BA14" s="74"/>
      <c r="BB14" s="75"/>
      <c r="BC14" s="75"/>
      <c r="BD14" s="77"/>
      <c r="BE14" s="6">
        <f t="shared" si="5"/>
        <v>0</v>
      </c>
    </row>
    <row r="15" spans="1:57">
      <c r="A15" s="61"/>
      <c r="B15" s="40"/>
      <c r="C15" s="62">
        <f t="shared" si="0"/>
        <v>0</v>
      </c>
      <c r="D15" s="63">
        <f t="shared" si="1"/>
        <v>0</v>
      </c>
      <c r="E15" s="63">
        <f t="shared" si="2"/>
        <v>0</v>
      </c>
      <c r="F15" s="63">
        <f t="shared" si="3"/>
        <v>0</v>
      </c>
      <c r="G15" s="63">
        <f t="shared" si="6"/>
        <v>0</v>
      </c>
      <c r="H15" s="63">
        <f t="shared" si="4"/>
        <v>0</v>
      </c>
      <c r="I15" s="64">
        <f t="shared" si="7"/>
        <v>0</v>
      </c>
      <c r="J15" s="65"/>
      <c r="K15" s="65"/>
      <c r="L15" s="83"/>
      <c r="M15" s="67"/>
      <c r="N15" s="68"/>
      <c r="O15" s="41"/>
      <c r="P15" s="48"/>
      <c r="Q15" s="70"/>
      <c r="R15" s="50">
        <f t="shared" si="8"/>
        <v>0</v>
      </c>
      <c r="S15" s="71"/>
      <c r="T15" s="69"/>
      <c r="U15" s="81"/>
      <c r="V15" s="73"/>
      <c r="W15" s="74"/>
      <c r="X15" s="75"/>
      <c r="Y15" s="75"/>
      <c r="Z15" s="76"/>
      <c r="AA15" s="77"/>
      <c r="AB15" s="73"/>
      <c r="AC15" s="74"/>
      <c r="AD15" s="75"/>
      <c r="AE15" s="75"/>
      <c r="AF15" s="75"/>
      <c r="AG15" s="75"/>
      <c r="AH15" s="75"/>
      <c r="AI15" s="75"/>
      <c r="AJ15" s="78"/>
      <c r="AK15" s="79"/>
      <c r="AL15" s="75"/>
      <c r="AM15" s="75"/>
      <c r="AN15" s="75"/>
      <c r="AO15" s="75"/>
      <c r="AP15" s="75"/>
      <c r="AQ15" s="75"/>
      <c r="AR15" s="75"/>
      <c r="AS15" s="77"/>
      <c r="AT15" s="74"/>
      <c r="AU15" s="78"/>
      <c r="AV15" s="79"/>
      <c r="AW15" s="75"/>
      <c r="AX15" s="75"/>
      <c r="AY15" s="75"/>
      <c r="AZ15" s="77"/>
      <c r="BA15" s="74"/>
      <c r="BB15" s="75"/>
      <c r="BC15" s="75"/>
      <c r="BD15" s="77"/>
      <c r="BE15" s="6">
        <f t="shared" si="5"/>
        <v>0</v>
      </c>
    </row>
    <row r="16" spans="1:57">
      <c r="A16" s="61"/>
      <c r="B16" s="40"/>
      <c r="C16" s="62">
        <f t="shared" si="0"/>
        <v>0</v>
      </c>
      <c r="D16" s="63">
        <f t="shared" si="1"/>
        <v>0</v>
      </c>
      <c r="E16" s="63">
        <f t="shared" si="2"/>
        <v>0</v>
      </c>
      <c r="F16" s="63">
        <f t="shared" si="3"/>
        <v>0</v>
      </c>
      <c r="G16" s="63">
        <f t="shared" si="6"/>
        <v>0</v>
      </c>
      <c r="H16" s="63">
        <f t="shared" si="4"/>
        <v>0</v>
      </c>
      <c r="I16" s="64">
        <f t="shared" si="7"/>
        <v>0</v>
      </c>
      <c r="J16" s="65"/>
      <c r="K16" s="65"/>
      <c r="L16" s="83"/>
      <c r="M16" s="67"/>
      <c r="N16" s="68"/>
      <c r="O16" s="41"/>
      <c r="P16" s="48"/>
      <c r="Q16" s="70"/>
      <c r="R16" s="50">
        <f t="shared" si="8"/>
        <v>0</v>
      </c>
      <c r="S16" s="71"/>
      <c r="T16" s="69"/>
      <c r="U16" s="81"/>
      <c r="V16" s="73"/>
      <c r="W16" s="74"/>
      <c r="X16" s="75"/>
      <c r="Y16" s="75"/>
      <c r="Z16" s="76"/>
      <c r="AA16" s="77"/>
      <c r="AB16" s="73"/>
      <c r="AC16" s="74"/>
      <c r="AD16" s="75"/>
      <c r="AE16" s="75"/>
      <c r="AF16" s="75"/>
      <c r="AG16" s="75"/>
      <c r="AH16" s="75"/>
      <c r="AI16" s="75"/>
      <c r="AJ16" s="78"/>
      <c r="AK16" s="79"/>
      <c r="AL16" s="75"/>
      <c r="AM16" s="75"/>
      <c r="AN16" s="75"/>
      <c r="AO16" s="75"/>
      <c r="AP16" s="75"/>
      <c r="AQ16" s="75"/>
      <c r="AR16" s="75"/>
      <c r="AS16" s="77"/>
      <c r="AT16" s="74"/>
      <c r="AU16" s="78"/>
      <c r="AV16" s="79"/>
      <c r="AW16" s="75"/>
      <c r="AX16" s="75"/>
      <c r="AY16" s="75"/>
      <c r="AZ16" s="77"/>
      <c r="BA16" s="74"/>
      <c r="BB16" s="75"/>
      <c r="BC16" s="75"/>
      <c r="BD16" s="77"/>
      <c r="BE16" s="6">
        <f t="shared" si="5"/>
        <v>0</v>
      </c>
    </row>
    <row r="17" spans="1:57">
      <c r="A17" s="61"/>
      <c r="B17" s="40"/>
      <c r="C17" s="62">
        <f t="shared" si="0"/>
        <v>0</v>
      </c>
      <c r="D17" s="63">
        <f t="shared" si="1"/>
        <v>0</v>
      </c>
      <c r="E17" s="63">
        <f t="shared" si="2"/>
        <v>0</v>
      </c>
      <c r="F17" s="63">
        <f t="shared" si="3"/>
        <v>0</v>
      </c>
      <c r="G17" s="63">
        <f t="shared" si="6"/>
        <v>0</v>
      </c>
      <c r="H17" s="63">
        <f t="shared" si="4"/>
        <v>0</v>
      </c>
      <c r="I17" s="64">
        <f t="shared" si="7"/>
        <v>0</v>
      </c>
      <c r="J17" s="65"/>
      <c r="K17" s="65"/>
      <c r="L17" s="83"/>
      <c r="M17" s="67"/>
      <c r="N17" s="68"/>
      <c r="O17" s="62"/>
      <c r="P17" s="69"/>
      <c r="Q17" s="70"/>
      <c r="R17" s="50">
        <f t="shared" si="8"/>
        <v>0</v>
      </c>
      <c r="S17" s="71"/>
      <c r="T17" s="69"/>
      <c r="U17" s="81"/>
      <c r="V17" s="73"/>
      <c r="W17" s="74"/>
      <c r="X17" s="75"/>
      <c r="Y17" s="75"/>
      <c r="Z17" s="76"/>
      <c r="AA17" s="77"/>
      <c r="AB17" s="73"/>
      <c r="AC17" s="74"/>
      <c r="AD17" s="75"/>
      <c r="AE17" s="75"/>
      <c r="AF17" s="75"/>
      <c r="AG17" s="75"/>
      <c r="AH17" s="75"/>
      <c r="AI17" s="75"/>
      <c r="AJ17" s="78"/>
      <c r="AK17" s="79"/>
      <c r="AL17" s="75"/>
      <c r="AM17" s="75"/>
      <c r="AN17" s="75"/>
      <c r="AO17" s="75"/>
      <c r="AP17" s="75"/>
      <c r="AQ17" s="75"/>
      <c r="AR17" s="75"/>
      <c r="AS17" s="77"/>
      <c r="AT17" s="74"/>
      <c r="AU17" s="78"/>
      <c r="AV17" s="79"/>
      <c r="AW17" s="75"/>
      <c r="AX17" s="75"/>
      <c r="AY17" s="75"/>
      <c r="AZ17" s="77"/>
      <c r="BA17" s="74"/>
      <c r="BB17" s="75"/>
      <c r="BC17" s="75"/>
      <c r="BD17" s="77"/>
      <c r="BE17" s="6">
        <f t="shared" si="5"/>
        <v>0</v>
      </c>
    </row>
    <row r="18" spans="1:57">
      <c r="A18" s="61"/>
      <c r="B18" s="40"/>
      <c r="C18" s="62">
        <f t="shared" si="0"/>
        <v>0</v>
      </c>
      <c r="D18" s="63">
        <f t="shared" si="1"/>
        <v>0</v>
      </c>
      <c r="E18" s="63">
        <f t="shared" si="2"/>
        <v>0</v>
      </c>
      <c r="F18" s="63">
        <f t="shared" si="3"/>
        <v>0</v>
      </c>
      <c r="G18" s="63">
        <f t="shared" si="6"/>
        <v>0</v>
      </c>
      <c r="H18" s="63">
        <f t="shared" si="4"/>
        <v>0</v>
      </c>
      <c r="I18" s="64">
        <f t="shared" si="7"/>
        <v>0</v>
      </c>
      <c r="J18" s="65"/>
      <c r="K18" s="65"/>
      <c r="L18" s="83"/>
      <c r="M18" s="67"/>
      <c r="N18" s="68"/>
      <c r="O18" s="62"/>
      <c r="P18" s="69"/>
      <c r="Q18" s="70"/>
      <c r="R18" s="50">
        <f t="shared" si="8"/>
        <v>0</v>
      </c>
      <c r="S18" s="71"/>
      <c r="T18" s="69"/>
      <c r="U18" s="81"/>
      <c r="V18" s="73"/>
      <c r="W18" s="74"/>
      <c r="X18" s="75"/>
      <c r="Y18" s="75"/>
      <c r="Z18" s="76"/>
      <c r="AA18" s="77"/>
      <c r="AB18" s="73"/>
      <c r="AC18" s="74"/>
      <c r="AD18" s="75"/>
      <c r="AE18" s="75"/>
      <c r="AF18" s="75"/>
      <c r="AG18" s="75"/>
      <c r="AH18" s="75"/>
      <c r="AI18" s="75"/>
      <c r="AJ18" s="78"/>
      <c r="AK18" s="79"/>
      <c r="AL18" s="75"/>
      <c r="AM18" s="75"/>
      <c r="AN18" s="75"/>
      <c r="AO18" s="75"/>
      <c r="AP18" s="75"/>
      <c r="AQ18" s="75"/>
      <c r="AR18" s="75"/>
      <c r="AS18" s="77"/>
      <c r="AT18" s="74"/>
      <c r="AU18" s="78"/>
      <c r="AV18" s="79"/>
      <c r="AW18" s="75"/>
      <c r="AX18" s="75"/>
      <c r="AY18" s="75"/>
      <c r="AZ18" s="77"/>
      <c r="BA18" s="74"/>
      <c r="BB18" s="75"/>
      <c r="BC18" s="75"/>
      <c r="BD18" s="77"/>
      <c r="BE18" s="6">
        <f t="shared" si="5"/>
        <v>0</v>
      </c>
    </row>
    <row r="19" spans="1:57">
      <c r="A19" s="61"/>
      <c r="B19" s="40"/>
      <c r="C19" s="62">
        <f t="shared" si="0"/>
        <v>0</v>
      </c>
      <c r="D19" s="63">
        <f t="shared" si="1"/>
        <v>0</v>
      </c>
      <c r="E19" s="63">
        <f t="shared" si="2"/>
        <v>0</v>
      </c>
      <c r="F19" s="63">
        <f t="shared" si="3"/>
        <v>0</v>
      </c>
      <c r="G19" s="63">
        <f t="shared" si="6"/>
        <v>0</v>
      </c>
      <c r="H19" s="63">
        <f t="shared" si="4"/>
        <v>0</v>
      </c>
      <c r="I19" s="64">
        <f t="shared" si="7"/>
        <v>0</v>
      </c>
      <c r="J19" s="65"/>
      <c r="K19" s="65"/>
      <c r="L19" s="83"/>
      <c r="M19" s="67"/>
      <c r="N19" s="68"/>
      <c r="O19" s="62"/>
      <c r="P19" s="69"/>
      <c r="Q19" s="70"/>
      <c r="R19" s="50">
        <f t="shared" si="8"/>
        <v>0</v>
      </c>
      <c r="S19" s="71"/>
      <c r="T19" s="69"/>
      <c r="U19" s="81"/>
      <c r="V19" s="73"/>
      <c r="W19" s="74"/>
      <c r="X19" s="75"/>
      <c r="Y19" s="75"/>
      <c r="Z19" s="76"/>
      <c r="AA19" s="77"/>
      <c r="AB19" s="73"/>
      <c r="AC19" s="74"/>
      <c r="AD19" s="75"/>
      <c r="AE19" s="75"/>
      <c r="AF19" s="75"/>
      <c r="AG19" s="75"/>
      <c r="AH19" s="75"/>
      <c r="AI19" s="75"/>
      <c r="AJ19" s="78"/>
      <c r="AK19" s="79"/>
      <c r="AL19" s="75"/>
      <c r="AM19" s="75"/>
      <c r="AN19" s="75"/>
      <c r="AO19" s="75"/>
      <c r="AP19" s="75"/>
      <c r="AQ19" s="75"/>
      <c r="AR19" s="75"/>
      <c r="AS19" s="77"/>
      <c r="AT19" s="74"/>
      <c r="AU19" s="78"/>
      <c r="AV19" s="79"/>
      <c r="AW19" s="75"/>
      <c r="AX19" s="75"/>
      <c r="AY19" s="75"/>
      <c r="AZ19" s="77"/>
      <c r="BA19" s="74"/>
      <c r="BB19" s="75"/>
      <c r="BC19" s="75"/>
      <c r="BD19" s="77"/>
      <c r="BE19" s="6">
        <f t="shared" si="5"/>
        <v>0</v>
      </c>
    </row>
    <row r="20" spans="1:57">
      <c r="A20" s="61"/>
      <c r="B20" s="40"/>
      <c r="C20" s="62">
        <f t="shared" si="0"/>
        <v>0</v>
      </c>
      <c r="D20" s="63">
        <f t="shared" si="1"/>
        <v>0</v>
      </c>
      <c r="E20" s="63">
        <f t="shared" si="2"/>
        <v>0</v>
      </c>
      <c r="F20" s="63">
        <f t="shared" si="3"/>
        <v>0</v>
      </c>
      <c r="G20" s="63">
        <f t="shared" si="6"/>
        <v>0</v>
      </c>
      <c r="H20" s="63">
        <f t="shared" si="4"/>
        <v>0</v>
      </c>
      <c r="I20" s="64">
        <f t="shared" si="7"/>
        <v>0</v>
      </c>
      <c r="J20" s="65"/>
      <c r="K20" s="65"/>
      <c r="L20" s="83"/>
      <c r="M20" s="67"/>
      <c r="N20" s="68"/>
      <c r="O20" s="62"/>
      <c r="P20" s="69"/>
      <c r="Q20" s="70"/>
      <c r="R20" s="50">
        <f t="shared" si="8"/>
        <v>0</v>
      </c>
      <c r="S20" s="71"/>
      <c r="T20" s="69"/>
      <c r="U20" s="81"/>
      <c r="V20" s="73"/>
      <c r="W20" s="74"/>
      <c r="X20" s="75"/>
      <c r="Y20" s="75"/>
      <c r="Z20" s="76"/>
      <c r="AA20" s="77"/>
      <c r="AB20" s="73"/>
      <c r="AC20" s="74"/>
      <c r="AD20" s="75"/>
      <c r="AE20" s="75"/>
      <c r="AF20" s="75"/>
      <c r="AG20" s="75"/>
      <c r="AH20" s="75"/>
      <c r="AI20" s="75"/>
      <c r="AJ20" s="78"/>
      <c r="AK20" s="79"/>
      <c r="AL20" s="75"/>
      <c r="AM20" s="75"/>
      <c r="AN20" s="75"/>
      <c r="AO20" s="75"/>
      <c r="AP20" s="75"/>
      <c r="AQ20" s="75"/>
      <c r="AR20" s="75"/>
      <c r="AS20" s="77"/>
      <c r="AT20" s="74"/>
      <c r="AU20" s="78"/>
      <c r="AV20" s="79"/>
      <c r="AW20" s="75"/>
      <c r="AX20" s="75"/>
      <c r="AY20" s="75"/>
      <c r="AZ20" s="77"/>
      <c r="BA20" s="74"/>
      <c r="BB20" s="75"/>
      <c r="BC20" s="75"/>
      <c r="BD20" s="77"/>
      <c r="BE20" s="6">
        <f t="shared" si="5"/>
        <v>0</v>
      </c>
    </row>
    <row r="21" spans="1:57">
      <c r="A21" s="61"/>
      <c r="B21" s="40"/>
      <c r="C21" s="62">
        <f t="shared" si="0"/>
        <v>0</v>
      </c>
      <c r="D21" s="63">
        <f t="shared" si="1"/>
        <v>0</v>
      </c>
      <c r="E21" s="63">
        <f t="shared" si="2"/>
        <v>0</v>
      </c>
      <c r="F21" s="63">
        <f t="shared" si="3"/>
        <v>0</v>
      </c>
      <c r="G21" s="63">
        <f t="shared" si="6"/>
        <v>0</v>
      </c>
      <c r="H21" s="63">
        <f t="shared" si="4"/>
        <v>0</v>
      </c>
      <c r="I21" s="64">
        <f t="shared" si="7"/>
        <v>0</v>
      </c>
      <c r="J21" s="65"/>
      <c r="K21" s="65"/>
      <c r="L21" s="83"/>
      <c r="M21" s="67"/>
      <c r="N21" s="68"/>
      <c r="O21" s="62"/>
      <c r="P21" s="69"/>
      <c r="Q21" s="70"/>
      <c r="R21" s="50">
        <f t="shared" si="8"/>
        <v>0</v>
      </c>
      <c r="S21" s="71"/>
      <c r="T21" s="69"/>
      <c r="U21" s="81"/>
      <c r="V21" s="73"/>
      <c r="W21" s="74"/>
      <c r="X21" s="75"/>
      <c r="Y21" s="75"/>
      <c r="Z21" s="76"/>
      <c r="AA21" s="77"/>
      <c r="AB21" s="73"/>
      <c r="AC21" s="74"/>
      <c r="AD21" s="75"/>
      <c r="AE21" s="75"/>
      <c r="AF21" s="75"/>
      <c r="AG21" s="75"/>
      <c r="AH21" s="75"/>
      <c r="AI21" s="75"/>
      <c r="AJ21" s="78"/>
      <c r="AK21" s="79"/>
      <c r="AL21" s="75"/>
      <c r="AM21" s="75"/>
      <c r="AN21" s="75"/>
      <c r="AO21" s="75"/>
      <c r="AP21" s="75"/>
      <c r="AQ21" s="75"/>
      <c r="AR21" s="75"/>
      <c r="AS21" s="77"/>
      <c r="AT21" s="74"/>
      <c r="AU21" s="78"/>
      <c r="AV21" s="79"/>
      <c r="AW21" s="75"/>
      <c r="AX21" s="75"/>
      <c r="AY21" s="75"/>
      <c r="AZ21" s="77"/>
      <c r="BA21" s="74"/>
      <c r="BB21" s="75"/>
      <c r="BC21" s="75"/>
      <c r="BD21" s="77"/>
      <c r="BE21" s="6">
        <f t="shared" si="5"/>
        <v>0</v>
      </c>
    </row>
    <row r="22" spans="1:57">
      <c r="A22" s="61"/>
      <c r="B22" s="40"/>
      <c r="C22" s="62">
        <f t="shared" si="0"/>
        <v>0</v>
      </c>
      <c r="D22" s="63">
        <f t="shared" si="1"/>
        <v>0</v>
      </c>
      <c r="E22" s="63">
        <f t="shared" si="2"/>
        <v>0</v>
      </c>
      <c r="F22" s="63">
        <f t="shared" si="3"/>
        <v>0</v>
      </c>
      <c r="G22" s="63">
        <f t="shared" si="6"/>
        <v>0</v>
      </c>
      <c r="H22" s="63">
        <f t="shared" si="4"/>
        <v>0</v>
      </c>
      <c r="I22" s="64">
        <f t="shared" si="7"/>
        <v>0</v>
      </c>
      <c r="J22" s="65"/>
      <c r="K22" s="65"/>
      <c r="L22" s="83"/>
      <c r="M22" s="67"/>
      <c r="N22" s="68"/>
      <c r="O22" s="62"/>
      <c r="P22" s="69"/>
      <c r="Q22" s="70"/>
      <c r="R22" s="50">
        <f t="shared" si="8"/>
        <v>0</v>
      </c>
      <c r="S22" s="71"/>
      <c r="T22" s="69"/>
      <c r="U22" s="81"/>
      <c r="V22" s="73"/>
      <c r="W22" s="74"/>
      <c r="X22" s="75"/>
      <c r="Y22" s="75"/>
      <c r="Z22" s="76"/>
      <c r="AA22" s="77"/>
      <c r="AB22" s="73"/>
      <c r="AC22" s="74"/>
      <c r="AD22" s="75"/>
      <c r="AE22" s="75"/>
      <c r="AF22" s="75"/>
      <c r="AG22" s="75"/>
      <c r="AH22" s="75"/>
      <c r="AI22" s="75"/>
      <c r="AJ22" s="78"/>
      <c r="AK22" s="79"/>
      <c r="AL22" s="75"/>
      <c r="AM22" s="75"/>
      <c r="AN22" s="75"/>
      <c r="AO22" s="75"/>
      <c r="AP22" s="75"/>
      <c r="AQ22" s="75"/>
      <c r="AR22" s="75"/>
      <c r="AS22" s="77"/>
      <c r="AT22" s="74"/>
      <c r="AU22" s="78"/>
      <c r="AV22" s="79"/>
      <c r="AW22" s="75"/>
      <c r="AX22" s="75"/>
      <c r="AY22" s="75"/>
      <c r="AZ22" s="77"/>
      <c r="BA22" s="74"/>
      <c r="BB22" s="75"/>
      <c r="BC22" s="75"/>
      <c r="BD22" s="77"/>
      <c r="BE22" s="6">
        <f t="shared" si="5"/>
        <v>0</v>
      </c>
    </row>
    <row r="23" spans="1:57">
      <c r="A23" s="61"/>
      <c r="B23" s="40"/>
      <c r="C23" s="62">
        <f t="shared" si="0"/>
        <v>0</v>
      </c>
      <c r="D23" s="63">
        <f t="shared" si="1"/>
        <v>0</v>
      </c>
      <c r="E23" s="63">
        <f t="shared" si="2"/>
        <v>0</v>
      </c>
      <c r="F23" s="63">
        <f t="shared" si="3"/>
        <v>0</v>
      </c>
      <c r="G23" s="63">
        <f t="shared" si="6"/>
        <v>0</v>
      </c>
      <c r="H23" s="63">
        <f t="shared" si="4"/>
        <v>0</v>
      </c>
      <c r="I23" s="64">
        <f t="shared" si="7"/>
        <v>0</v>
      </c>
      <c r="J23" s="65"/>
      <c r="K23" s="65"/>
      <c r="L23" s="83"/>
      <c r="M23" s="67"/>
      <c r="N23" s="68"/>
      <c r="O23" s="62"/>
      <c r="P23" s="69"/>
      <c r="Q23" s="70"/>
      <c r="R23" s="50">
        <f t="shared" si="8"/>
        <v>0</v>
      </c>
      <c r="S23" s="71"/>
      <c r="T23" s="69"/>
      <c r="U23" s="81"/>
      <c r="V23" s="73"/>
      <c r="W23" s="74"/>
      <c r="X23" s="75"/>
      <c r="Y23" s="75"/>
      <c r="Z23" s="76"/>
      <c r="AA23" s="77"/>
      <c r="AB23" s="73"/>
      <c r="AC23" s="74"/>
      <c r="AD23" s="75"/>
      <c r="AE23" s="75"/>
      <c r="AF23" s="75"/>
      <c r="AG23" s="75"/>
      <c r="AH23" s="75"/>
      <c r="AI23" s="75"/>
      <c r="AJ23" s="78"/>
      <c r="AK23" s="79"/>
      <c r="AL23" s="75"/>
      <c r="AM23" s="75"/>
      <c r="AN23" s="75"/>
      <c r="AO23" s="75"/>
      <c r="AP23" s="75"/>
      <c r="AQ23" s="75"/>
      <c r="AR23" s="75"/>
      <c r="AS23" s="77"/>
      <c r="AT23" s="74"/>
      <c r="AU23" s="78"/>
      <c r="AV23" s="79"/>
      <c r="AW23" s="75"/>
      <c r="AX23" s="75"/>
      <c r="AY23" s="75"/>
      <c r="AZ23" s="77"/>
      <c r="BA23" s="74"/>
      <c r="BB23" s="75"/>
      <c r="BC23" s="75"/>
      <c r="BD23" s="77"/>
      <c r="BE23" s="6">
        <f t="shared" si="5"/>
        <v>0</v>
      </c>
    </row>
    <row r="24" spans="1:57">
      <c r="A24" s="61"/>
      <c r="B24" s="40"/>
      <c r="C24" s="62">
        <f t="shared" si="0"/>
        <v>0</v>
      </c>
      <c r="D24" s="63">
        <f t="shared" si="1"/>
        <v>0</v>
      </c>
      <c r="E24" s="63">
        <f t="shared" si="2"/>
        <v>0</v>
      </c>
      <c r="F24" s="63">
        <f t="shared" si="3"/>
        <v>0</v>
      </c>
      <c r="G24" s="63">
        <f t="shared" si="6"/>
        <v>0</v>
      </c>
      <c r="H24" s="63">
        <f t="shared" si="4"/>
        <v>0</v>
      </c>
      <c r="I24" s="64">
        <f t="shared" si="7"/>
        <v>0</v>
      </c>
      <c r="J24" s="65"/>
      <c r="K24" s="65"/>
      <c r="L24" s="83"/>
      <c r="M24" s="67"/>
      <c r="N24" s="68"/>
      <c r="O24" s="62"/>
      <c r="P24" s="69"/>
      <c r="Q24" s="70"/>
      <c r="R24" s="50">
        <f t="shared" si="8"/>
        <v>0</v>
      </c>
      <c r="S24" s="71"/>
      <c r="T24" s="69"/>
      <c r="U24" s="81"/>
      <c r="V24" s="73"/>
      <c r="W24" s="74"/>
      <c r="X24" s="75"/>
      <c r="Y24" s="75"/>
      <c r="Z24" s="76"/>
      <c r="AA24" s="77"/>
      <c r="AB24" s="73"/>
      <c r="AC24" s="74"/>
      <c r="AD24" s="75"/>
      <c r="AE24" s="75"/>
      <c r="AF24" s="75"/>
      <c r="AG24" s="75"/>
      <c r="AH24" s="75"/>
      <c r="AI24" s="75"/>
      <c r="AJ24" s="78"/>
      <c r="AK24" s="79"/>
      <c r="AL24" s="75"/>
      <c r="AM24" s="75"/>
      <c r="AN24" s="75"/>
      <c r="AO24" s="75"/>
      <c r="AP24" s="75"/>
      <c r="AQ24" s="75"/>
      <c r="AR24" s="75"/>
      <c r="AS24" s="77"/>
      <c r="AT24" s="74"/>
      <c r="AU24" s="78"/>
      <c r="AV24" s="79"/>
      <c r="AW24" s="75"/>
      <c r="AX24" s="75"/>
      <c r="AY24" s="75"/>
      <c r="AZ24" s="77"/>
      <c r="BA24" s="74"/>
      <c r="BB24" s="75"/>
      <c r="BC24" s="75"/>
      <c r="BD24" s="77"/>
      <c r="BE24" s="6">
        <f t="shared" si="5"/>
        <v>0</v>
      </c>
    </row>
    <row r="25" spans="1:57">
      <c r="A25" s="61"/>
      <c r="B25" s="40"/>
      <c r="C25" s="62">
        <f t="shared" si="0"/>
        <v>0</v>
      </c>
      <c r="D25" s="63">
        <f t="shared" si="1"/>
        <v>0</v>
      </c>
      <c r="E25" s="63">
        <f t="shared" si="2"/>
        <v>0</v>
      </c>
      <c r="F25" s="63">
        <f t="shared" si="3"/>
        <v>0</v>
      </c>
      <c r="G25" s="63">
        <f t="shared" si="6"/>
        <v>0</v>
      </c>
      <c r="H25" s="63">
        <f t="shared" si="4"/>
        <v>0</v>
      </c>
      <c r="I25" s="64">
        <f t="shared" si="7"/>
        <v>0</v>
      </c>
      <c r="J25" s="65"/>
      <c r="K25" s="65"/>
      <c r="L25" s="83"/>
      <c r="M25" s="67"/>
      <c r="N25" s="68"/>
      <c r="O25" s="62"/>
      <c r="P25" s="69"/>
      <c r="Q25" s="70"/>
      <c r="R25" s="50">
        <f t="shared" si="8"/>
        <v>0</v>
      </c>
      <c r="S25" s="71"/>
      <c r="T25" s="69"/>
      <c r="U25" s="81"/>
      <c r="V25" s="73"/>
      <c r="W25" s="74"/>
      <c r="X25" s="75"/>
      <c r="Y25" s="75"/>
      <c r="Z25" s="76"/>
      <c r="AA25" s="77"/>
      <c r="AB25" s="73"/>
      <c r="AC25" s="74"/>
      <c r="AD25" s="75"/>
      <c r="AE25" s="75"/>
      <c r="AF25" s="75"/>
      <c r="AG25" s="75"/>
      <c r="AH25" s="75"/>
      <c r="AI25" s="75"/>
      <c r="AJ25" s="78"/>
      <c r="AK25" s="79"/>
      <c r="AL25" s="75"/>
      <c r="AM25" s="75"/>
      <c r="AN25" s="75"/>
      <c r="AO25" s="75"/>
      <c r="AP25" s="75"/>
      <c r="AQ25" s="75"/>
      <c r="AR25" s="75"/>
      <c r="AS25" s="77"/>
      <c r="AT25" s="74"/>
      <c r="AU25" s="78"/>
      <c r="AV25" s="79"/>
      <c r="AW25" s="84"/>
      <c r="AX25" s="75"/>
      <c r="AY25" s="75"/>
      <c r="AZ25" s="77"/>
      <c r="BA25" s="74"/>
      <c r="BB25" s="75"/>
      <c r="BC25" s="75"/>
      <c r="BD25" s="77"/>
      <c r="BE25" s="6">
        <f t="shared" si="5"/>
        <v>0</v>
      </c>
    </row>
    <row r="26" spans="1:57">
      <c r="A26" s="61"/>
      <c r="B26" s="40"/>
      <c r="C26" s="62">
        <f t="shared" si="0"/>
        <v>0</v>
      </c>
      <c r="D26" s="63">
        <f t="shared" si="1"/>
        <v>0</v>
      </c>
      <c r="E26" s="63">
        <f t="shared" si="2"/>
        <v>0</v>
      </c>
      <c r="F26" s="63">
        <f t="shared" si="3"/>
        <v>0</v>
      </c>
      <c r="G26" s="63">
        <f t="shared" si="6"/>
        <v>0</v>
      </c>
      <c r="H26" s="63">
        <f t="shared" si="4"/>
        <v>0</v>
      </c>
      <c r="I26" s="64">
        <f t="shared" si="7"/>
        <v>0</v>
      </c>
      <c r="J26" s="65"/>
      <c r="K26" s="65"/>
      <c r="L26" s="83"/>
      <c r="M26" s="67"/>
      <c r="N26" s="68"/>
      <c r="O26" s="62"/>
      <c r="P26" s="69"/>
      <c r="Q26" s="70"/>
      <c r="R26" s="50">
        <f t="shared" si="8"/>
        <v>0</v>
      </c>
      <c r="S26" s="71"/>
      <c r="T26" s="85"/>
      <c r="U26" s="81"/>
      <c r="V26" s="73"/>
      <c r="W26" s="74"/>
      <c r="X26" s="75"/>
      <c r="Y26" s="75"/>
      <c r="Z26" s="76"/>
      <c r="AA26" s="77"/>
      <c r="AB26" s="73"/>
      <c r="AC26" s="74"/>
      <c r="AD26" s="75"/>
      <c r="AE26" s="75"/>
      <c r="AF26" s="75"/>
      <c r="AG26" s="75"/>
      <c r="AH26" s="75"/>
      <c r="AI26" s="75"/>
      <c r="AJ26" s="78"/>
      <c r="AK26" s="79"/>
      <c r="AL26" s="75"/>
      <c r="AM26" s="75"/>
      <c r="AN26" s="75"/>
      <c r="AO26" s="75"/>
      <c r="AP26" s="75"/>
      <c r="AQ26" s="75"/>
      <c r="AR26" s="75"/>
      <c r="AS26" s="77"/>
      <c r="AT26" s="74"/>
      <c r="AU26" s="78"/>
      <c r="AV26" s="79"/>
      <c r="AW26" s="84"/>
      <c r="AX26" s="75"/>
      <c r="AY26" s="75"/>
      <c r="AZ26" s="77"/>
      <c r="BA26" s="74"/>
      <c r="BB26" s="75"/>
      <c r="BC26" s="75"/>
      <c r="BD26" s="77"/>
      <c r="BE26" s="6">
        <f t="shared" si="5"/>
        <v>0</v>
      </c>
    </row>
    <row r="27" spans="1:57">
      <c r="A27" s="61"/>
      <c r="B27" s="40"/>
      <c r="C27" s="62">
        <f t="shared" si="0"/>
        <v>0</v>
      </c>
      <c r="D27" s="63">
        <f t="shared" si="1"/>
        <v>0</v>
      </c>
      <c r="E27" s="63">
        <f t="shared" si="2"/>
        <v>0</v>
      </c>
      <c r="F27" s="63">
        <f t="shared" si="3"/>
        <v>0</v>
      </c>
      <c r="G27" s="63">
        <f t="shared" si="6"/>
        <v>0</v>
      </c>
      <c r="H27" s="63">
        <f t="shared" si="4"/>
        <v>0</v>
      </c>
      <c r="I27" s="64">
        <f t="shared" si="7"/>
        <v>0</v>
      </c>
      <c r="J27" s="65"/>
      <c r="K27" s="65"/>
      <c r="L27" s="83"/>
      <c r="M27" s="67"/>
      <c r="N27" s="68"/>
      <c r="O27" s="62"/>
      <c r="P27" s="69"/>
      <c r="Q27" s="70"/>
      <c r="R27" s="50">
        <f t="shared" si="8"/>
        <v>0</v>
      </c>
      <c r="S27" s="71"/>
      <c r="T27" s="86"/>
      <c r="U27" s="81"/>
      <c r="V27" s="73"/>
      <c r="W27" s="74"/>
      <c r="X27" s="75"/>
      <c r="Y27" s="75"/>
      <c r="Z27" s="76"/>
      <c r="AA27" s="77"/>
      <c r="AB27" s="73"/>
      <c r="AC27" s="74"/>
      <c r="AD27" s="75"/>
      <c r="AE27" s="75"/>
      <c r="AF27" s="75"/>
      <c r="AG27" s="75"/>
      <c r="AH27" s="75"/>
      <c r="AI27" s="75"/>
      <c r="AJ27" s="78"/>
      <c r="AK27" s="79"/>
      <c r="AL27" s="75"/>
      <c r="AM27" s="75"/>
      <c r="AN27" s="75"/>
      <c r="AO27" s="75"/>
      <c r="AP27" s="75"/>
      <c r="AQ27" s="75"/>
      <c r="AR27" s="75"/>
      <c r="AS27" s="77"/>
      <c r="AT27" s="74"/>
      <c r="AU27" s="78"/>
      <c r="AV27" s="79"/>
      <c r="AW27" s="75"/>
      <c r="AX27" s="75"/>
      <c r="AY27" s="75"/>
      <c r="AZ27" s="77"/>
      <c r="BA27" s="74"/>
      <c r="BB27" s="75"/>
      <c r="BC27" s="75"/>
      <c r="BD27" s="77"/>
      <c r="BE27" s="6">
        <f t="shared" si="5"/>
        <v>0</v>
      </c>
    </row>
    <row r="28" spans="1:57">
      <c r="A28" s="61"/>
      <c r="B28" s="40"/>
      <c r="C28" s="62">
        <f t="shared" si="0"/>
        <v>0</v>
      </c>
      <c r="D28" s="63">
        <f t="shared" si="1"/>
        <v>0</v>
      </c>
      <c r="E28" s="63">
        <f t="shared" si="2"/>
        <v>0</v>
      </c>
      <c r="F28" s="63">
        <f t="shared" si="3"/>
        <v>0</v>
      </c>
      <c r="G28" s="63">
        <f t="shared" si="6"/>
        <v>0</v>
      </c>
      <c r="H28" s="63">
        <f t="shared" si="4"/>
        <v>0</v>
      </c>
      <c r="I28" s="64">
        <f t="shared" si="7"/>
        <v>0</v>
      </c>
      <c r="J28" s="65"/>
      <c r="K28" s="65"/>
      <c r="L28" s="83"/>
      <c r="M28" s="67"/>
      <c r="N28" s="68"/>
      <c r="O28" s="62"/>
      <c r="P28" s="69"/>
      <c r="Q28" s="70"/>
      <c r="R28" s="50">
        <f t="shared" si="8"/>
        <v>0</v>
      </c>
      <c r="S28" s="71"/>
      <c r="T28" s="69"/>
      <c r="U28" s="81"/>
      <c r="V28" s="73"/>
      <c r="W28" s="74"/>
      <c r="X28" s="75"/>
      <c r="Y28" s="75"/>
      <c r="Z28" s="76"/>
      <c r="AA28" s="77"/>
      <c r="AB28" s="73"/>
      <c r="AC28" s="74"/>
      <c r="AD28" s="75"/>
      <c r="AE28" s="75"/>
      <c r="AF28" s="75"/>
      <c r="AG28" s="75"/>
      <c r="AH28" s="75"/>
      <c r="AI28" s="75"/>
      <c r="AJ28" s="78"/>
      <c r="AK28" s="79"/>
      <c r="AL28" s="75"/>
      <c r="AM28" s="75"/>
      <c r="AN28" s="75"/>
      <c r="AO28" s="75"/>
      <c r="AP28" s="75"/>
      <c r="AQ28" s="75"/>
      <c r="AR28" s="75"/>
      <c r="AS28" s="77"/>
      <c r="AT28" s="74"/>
      <c r="AU28" s="78"/>
      <c r="AV28" s="79"/>
      <c r="AW28" s="75"/>
      <c r="AX28" s="75"/>
      <c r="AY28" s="75"/>
      <c r="AZ28" s="77"/>
      <c r="BA28" s="74"/>
      <c r="BB28" s="75"/>
      <c r="BC28" s="75"/>
      <c r="BD28" s="77"/>
      <c r="BE28" s="6">
        <f t="shared" si="5"/>
        <v>0</v>
      </c>
    </row>
    <row r="29" spans="1:57">
      <c r="A29" s="61"/>
      <c r="B29" s="40"/>
      <c r="C29" s="62">
        <f t="shared" si="0"/>
        <v>0</v>
      </c>
      <c r="D29" s="63">
        <f t="shared" si="1"/>
        <v>0</v>
      </c>
      <c r="E29" s="63">
        <f t="shared" si="2"/>
        <v>0</v>
      </c>
      <c r="F29" s="63">
        <f t="shared" si="3"/>
        <v>0</v>
      </c>
      <c r="G29" s="63">
        <f t="shared" si="6"/>
        <v>0</v>
      </c>
      <c r="H29" s="63">
        <f t="shared" si="4"/>
        <v>0</v>
      </c>
      <c r="I29" s="64">
        <f t="shared" si="7"/>
        <v>0</v>
      </c>
      <c r="J29" s="65"/>
      <c r="K29" s="65"/>
      <c r="L29" s="83"/>
      <c r="M29" s="67"/>
      <c r="N29" s="68"/>
      <c r="O29" s="62"/>
      <c r="P29" s="69"/>
      <c r="Q29" s="70"/>
      <c r="R29" s="50">
        <f t="shared" si="8"/>
        <v>0</v>
      </c>
      <c r="S29" s="71"/>
      <c r="T29" s="86"/>
      <c r="U29" s="72"/>
      <c r="V29" s="73"/>
      <c r="W29" s="74"/>
      <c r="X29" s="75"/>
      <c r="Y29" s="75"/>
      <c r="Z29" s="76"/>
      <c r="AA29" s="77"/>
      <c r="AB29" s="73"/>
      <c r="AC29" s="74"/>
      <c r="AD29" s="75"/>
      <c r="AE29" s="75"/>
      <c r="AF29" s="75"/>
      <c r="AG29" s="75"/>
      <c r="AH29" s="75"/>
      <c r="AI29" s="75"/>
      <c r="AJ29" s="78"/>
      <c r="AK29" s="79"/>
      <c r="AL29" s="75"/>
      <c r="AM29" s="75"/>
      <c r="AN29" s="75"/>
      <c r="AO29" s="75"/>
      <c r="AP29" s="75"/>
      <c r="AQ29" s="75"/>
      <c r="AR29" s="75"/>
      <c r="AS29" s="77"/>
      <c r="AT29" s="74"/>
      <c r="AU29" s="78"/>
      <c r="AV29" s="79"/>
      <c r="AW29" s="75"/>
      <c r="AX29" s="75"/>
      <c r="AY29" s="75"/>
      <c r="AZ29" s="77"/>
      <c r="BA29" s="74"/>
      <c r="BB29" s="75"/>
      <c r="BC29" s="75"/>
      <c r="BD29" s="77"/>
      <c r="BE29" s="6">
        <f t="shared" si="5"/>
        <v>0</v>
      </c>
    </row>
    <row r="30" spans="1:57">
      <c r="A30" s="61"/>
      <c r="B30" s="40"/>
      <c r="C30" s="62">
        <f t="shared" si="0"/>
        <v>0</v>
      </c>
      <c r="D30" s="63">
        <f t="shared" si="1"/>
        <v>0</v>
      </c>
      <c r="E30" s="63">
        <f t="shared" si="2"/>
        <v>0</v>
      </c>
      <c r="F30" s="63">
        <f t="shared" si="3"/>
        <v>0</v>
      </c>
      <c r="G30" s="63">
        <f t="shared" si="6"/>
        <v>0</v>
      </c>
      <c r="H30" s="63">
        <f t="shared" si="4"/>
        <v>0</v>
      </c>
      <c r="I30" s="64">
        <f t="shared" si="7"/>
        <v>0</v>
      </c>
      <c r="J30" s="65"/>
      <c r="K30" s="65"/>
      <c r="L30" s="83"/>
      <c r="M30" s="67"/>
      <c r="N30" s="68"/>
      <c r="O30" s="62"/>
      <c r="P30" s="69"/>
      <c r="Q30" s="70"/>
      <c r="R30" s="50">
        <f t="shared" si="8"/>
        <v>0</v>
      </c>
      <c r="S30" s="71"/>
      <c r="T30" s="69"/>
      <c r="U30" s="81"/>
      <c r="V30" s="73"/>
      <c r="W30" s="74"/>
      <c r="X30" s="75"/>
      <c r="Y30" s="75"/>
      <c r="Z30" s="76"/>
      <c r="AA30" s="77"/>
      <c r="AB30" s="73"/>
      <c r="AC30" s="74"/>
      <c r="AD30" s="75"/>
      <c r="AE30" s="75"/>
      <c r="AF30" s="75"/>
      <c r="AG30" s="75"/>
      <c r="AH30" s="75"/>
      <c r="AI30" s="75"/>
      <c r="AJ30" s="78"/>
      <c r="AK30" s="79"/>
      <c r="AL30" s="75"/>
      <c r="AM30" s="75"/>
      <c r="AN30" s="75"/>
      <c r="AO30" s="75"/>
      <c r="AP30" s="75"/>
      <c r="AQ30" s="75"/>
      <c r="AR30" s="75"/>
      <c r="AS30" s="77"/>
      <c r="AT30" s="74"/>
      <c r="AU30" s="78"/>
      <c r="AV30" s="79"/>
      <c r="AW30" s="75"/>
      <c r="AX30" s="75"/>
      <c r="AY30" s="75"/>
      <c r="AZ30" s="77"/>
      <c r="BA30" s="74"/>
      <c r="BB30" s="75"/>
      <c r="BC30" s="75"/>
      <c r="BD30" s="77"/>
      <c r="BE30" s="6">
        <f t="shared" si="5"/>
        <v>0</v>
      </c>
    </row>
    <row r="31" spans="1:57">
      <c r="A31" s="61"/>
      <c r="B31" s="40"/>
      <c r="C31" s="62">
        <f t="shared" si="0"/>
        <v>0</v>
      </c>
      <c r="D31" s="63">
        <f t="shared" si="1"/>
        <v>0</v>
      </c>
      <c r="E31" s="63">
        <f t="shared" si="2"/>
        <v>0</v>
      </c>
      <c r="F31" s="63">
        <f t="shared" si="3"/>
        <v>0</v>
      </c>
      <c r="G31" s="63">
        <f t="shared" si="6"/>
        <v>0</v>
      </c>
      <c r="H31" s="63">
        <f t="shared" si="4"/>
        <v>0</v>
      </c>
      <c r="I31" s="64">
        <f t="shared" si="7"/>
        <v>0</v>
      </c>
      <c r="J31" s="65"/>
      <c r="K31" s="65"/>
      <c r="L31" s="83"/>
      <c r="M31" s="67"/>
      <c r="N31" s="68"/>
      <c r="O31" s="62"/>
      <c r="P31" s="69"/>
      <c r="Q31" s="70"/>
      <c r="R31" s="50">
        <f t="shared" si="8"/>
        <v>0</v>
      </c>
      <c r="S31" s="71"/>
      <c r="T31" s="69"/>
      <c r="U31" s="81"/>
      <c r="V31" s="73"/>
      <c r="W31" s="74"/>
      <c r="X31" s="75"/>
      <c r="Y31" s="75"/>
      <c r="Z31" s="76"/>
      <c r="AA31" s="77"/>
      <c r="AB31" s="87"/>
      <c r="AC31" s="88"/>
      <c r="AD31" s="89"/>
      <c r="AE31" s="89"/>
      <c r="AF31" s="89"/>
      <c r="AG31" s="89"/>
      <c r="AH31" s="89"/>
      <c r="AI31" s="89"/>
      <c r="AJ31" s="90"/>
      <c r="AK31" s="79"/>
      <c r="AL31" s="75"/>
      <c r="AM31" s="75"/>
      <c r="AN31" s="75"/>
      <c r="AO31" s="75"/>
      <c r="AP31" s="75"/>
      <c r="AQ31" s="75"/>
      <c r="AR31" s="75"/>
      <c r="AS31" s="77"/>
      <c r="AT31" s="74"/>
      <c r="AU31" s="78"/>
      <c r="AV31" s="79"/>
      <c r="AW31" s="75"/>
      <c r="AX31" s="75"/>
      <c r="AY31" s="75"/>
      <c r="AZ31" s="77"/>
      <c r="BA31" s="74"/>
      <c r="BB31" s="75"/>
      <c r="BC31" s="75"/>
      <c r="BD31" s="77"/>
      <c r="BE31" s="6">
        <f t="shared" si="5"/>
        <v>0</v>
      </c>
    </row>
    <row r="32" spans="1:57">
      <c r="A32" s="61"/>
      <c r="B32" s="40"/>
      <c r="C32" s="62">
        <f t="shared" si="0"/>
        <v>0</v>
      </c>
      <c r="D32" s="63">
        <f t="shared" si="1"/>
        <v>0</v>
      </c>
      <c r="E32" s="63">
        <f t="shared" si="2"/>
        <v>0</v>
      </c>
      <c r="F32" s="63">
        <f t="shared" si="3"/>
        <v>0</v>
      </c>
      <c r="G32" s="63">
        <f t="shared" si="6"/>
        <v>0</v>
      </c>
      <c r="H32" s="63">
        <f t="shared" si="4"/>
        <v>0</v>
      </c>
      <c r="I32" s="64">
        <f t="shared" si="7"/>
        <v>0</v>
      </c>
      <c r="J32" s="65"/>
      <c r="K32" s="65"/>
      <c r="L32" s="83"/>
      <c r="M32" s="67"/>
      <c r="N32" s="68"/>
      <c r="O32" s="62"/>
      <c r="P32" s="69"/>
      <c r="Q32" s="70"/>
      <c r="R32" s="50">
        <f t="shared" si="8"/>
        <v>0</v>
      </c>
      <c r="S32" s="71"/>
      <c r="T32" s="86"/>
      <c r="U32" s="81"/>
      <c r="V32" s="73"/>
      <c r="W32" s="74"/>
      <c r="X32" s="75"/>
      <c r="Y32" s="75"/>
      <c r="Z32" s="76"/>
      <c r="AA32" s="77"/>
      <c r="AB32" s="87"/>
      <c r="AC32" s="88"/>
      <c r="AD32" s="89"/>
      <c r="AE32" s="89"/>
      <c r="AF32" s="89"/>
      <c r="AG32" s="89"/>
      <c r="AH32" s="89"/>
      <c r="AI32" s="89"/>
      <c r="AJ32" s="90"/>
      <c r="AK32" s="79"/>
      <c r="AL32" s="75"/>
      <c r="AM32" s="75"/>
      <c r="AN32" s="75"/>
      <c r="AO32" s="75"/>
      <c r="AP32" s="75"/>
      <c r="AQ32" s="75"/>
      <c r="AR32" s="75"/>
      <c r="AS32" s="77"/>
      <c r="AT32" s="74"/>
      <c r="AU32" s="78"/>
      <c r="AV32" s="79"/>
      <c r="AW32" s="75"/>
      <c r="AX32" s="75"/>
      <c r="AY32" s="75"/>
      <c r="AZ32" s="77"/>
      <c r="BA32" s="74"/>
      <c r="BB32" s="75"/>
      <c r="BC32" s="75"/>
      <c r="BD32" s="77"/>
      <c r="BE32" s="6">
        <f t="shared" si="5"/>
        <v>0</v>
      </c>
    </row>
    <row r="33" spans="1:57">
      <c r="A33" s="61"/>
      <c r="B33" s="40"/>
      <c r="C33" s="62">
        <f t="shared" si="0"/>
        <v>0</v>
      </c>
      <c r="D33" s="63">
        <f t="shared" si="1"/>
        <v>0</v>
      </c>
      <c r="E33" s="63">
        <f t="shared" si="2"/>
        <v>0</v>
      </c>
      <c r="F33" s="63">
        <f t="shared" si="3"/>
        <v>0</v>
      </c>
      <c r="G33" s="63">
        <f t="shared" si="6"/>
        <v>0</v>
      </c>
      <c r="H33" s="63">
        <f t="shared" si="4"/>
        <v>0</v>
      </c>
      <c r="I33" s="64">
        <f t="shared" si="7"/>
        <v>0</v>
      </c>
      <c r="J33" s="65"/>
      <c r="K33" s="65"/>
      <c r="L33" s="83"/>
      <c r="M33" s="67"/>
      <c r="N33" s="68"/>
      <c r="O33" s="62"/>
      <c r="P33" s="69"/>
      <c r="Q33" s="70"/>
      <c r="R33" s="50">
        <f t="shared" si="8"/>
        <v>0</v>
      </c>
      <c r="S33" s="71"/>
      <c r="T33" s="86"/>
      <c r="U33" s="81"/>
      <c r="V33" s="73"/>
      <c r="W33" s="74"/>
      <c r="X33" s="75"/>
      <c r="Y33" s="75"/>
      <c r="Z33" s="76"/>
      <c r="AA33" s="77"/>
      <c r="AB33" s="87"/>
      <c r="AC33" s="88"/>
      <c r="AD33" s="89"/>
      <c r="AE33" s="89"/>
      <c r="AF33" s="89"/>
      <c r="AG33" s="89"/>
      <c r="AH33" s="89"/>
      <c r="AI33" s="89"/>
      <c r="AJ33" s="90"/>
      <c r="AK33" s="79"/>
      <c r="AL33" s="75"/>
      <c r="AM33" s="75"/>
      <c r="AN33" s="75"/>
      <c r="AO33" s="75"/>
      <c r="AP33" s="75"/>
      <c r="AQ33" s="75"/>
      <c r="AR33" s="75"/>
      <c r="AS33" s="77"/>
      <c r="AT33" s="74"/>
      <c r="AU33" s="78"/>
      <c r="AV33" s="79"/>
      <c r="AW33" s="75"/>
      <c r="AX33" s="75"/>
      <c r="AY33" s="75"/>
      <c r="AZ33" s="77"/>
      <c r="BA33" s="74"/>
      <c r="BB33" s="75"/>
      <c r="BC33" s="75"/>
      <c r="BD33" s="77"/>
      <c r="BE33" s="6">
        <f t="shared" si="5"/>
        <v>0</v>
      </c>
    </row>
    <row r="34" spans="1:57">
      <c r="A34" s="61"/>
      <c r="B34" s="40"/>
      <c r="C34" s="62">
        <f t="shared" si="0"/>
        <v>0</v>
      </c>
      <c r="D34" s="63">
        <f t="shared" si="1"/>
        <v>0</v>
      </c>
      <c r="E34" s="63">
        <f t="shared" si="2"/>
        <v>0</v>
      </c>
      <c r="F34" s="63">
        <f t="shared" si="3"/>
        <v>0</v>
      </c>
      <c r="G34" s="63">
        <f t="shared" si="6"/>
        <v>0</v>
      </c>
      <c r="H34" s="63">
        <f t="shared" si="4"/>
        <v>0</v>
      </c>
      <c r="I34" s="64">
        <f t="shared" si="7"/>
        <v>0</v>
      </c>
      <c r="J34" s="65"/>
      <c r="K34" s="65"/>
      <c r="L34" s="83"/>
      <c r="M34" s="67"/>
      <c r="N34" s="68"/>
      <c r="O34" s="62"/>
      <c r="P34" s="69"/>
      <c r="Q34" s="70"/>
      <c r="R34" s="50">
        <f t="shared" si="8"/>
        <v>0</v>
      </c>
      <c r="S34" s="71"/>
      <c r="T34" s="86"/>
      <c r="U34" s="81"/>
      <c r="V34" s="73"/>
      <c r="W34" s="74"/>
      <c r="X34" s="75"/>
      <c r="Y34" s="75"/>
      <c r="Z34" s="76"/>
      <c r="AA34" s="77"/>
      <c r="AB34" s="73"/>
      <c r="AC34" s="74"/>
      <c r="AD34" s="75"/>
      <c r="AE34" s="75"/>
      <c r="AF34" s="75"/>
      <c r="AG34" s="75"/>
      <c r="AH34" s="75"/>
      <c r="AI34" s="75"/>
      <c r="AJ34" s="78"/>
      <c r="AK34" s="79"/>
      <c r="AL34" s="75"/>
      <c r="AM34" s="75"/>
      <c r="AN34" s="75"/>
      <c r="AO34" s="75"/>
      <c r="AP34" s="75"/>
      <c r="AQ34" s="75"/>
      <c r="AR34" s="75"/>
      <c r="AS34" s="77"/>
      <c r="AT34" s="74"/>
      <c r="AU34" s="78"/>
      <c r="AV34" s="79"/>
      <c r="AW34" s="75"/>
      <c r="AX34" s="75"/>
      <c r="AY34" s="75"/>
      <c r="AZ34" s="77"/>
      <c r="BA34" s="74"/>
      <c r="BB34" s="75"/>
      <c r="BC34" s="75"/>
      <c r="BD34" s="77"/>
      <c r="BE34" s="6">
        <f t="shared" si="5"/>
        <v>0</v>
      </c>
    </row>
    <row r="35" spans="1:57" ht="19.5" customHeight="1">
      <c r="A35" s="61"/>
      <c r="B35" s="40"/>
      <c r="C35" s="62">
        <f t="shared" si="0"/>
        <v>0</v>
      </c>
      <c r="D35" s="63">
        <f t="shared" si="1"/>
        <v>0</v>
      </c>
      <c r="E35" s="63">
        <f t="shared" si="2"/>
        <v>0</v>
      </c>
      <c r="F35" s="63">
        <f t="shared" si="3"/>
        <v>0</v>
      </c>
      <c r="G35" s="63">
        <f t="shared" si="6"/>
        <v>0</v>
      </c>
      <c r="H35" s="63">
        <f t="shared" si="4"/>
        <v>0</v>
      </c>
      <c r="I35" s="64">
        <f t="shared" si="7"/>
        <v>0</v>
      </c>
      <c r="J35" s="65"/>
      <c r="K35" s="65"/>
      <c r="L35" s="83"/>
      <c r="M35" s="67"/>
      <c r="N35" s="68"/>
      <c r="O35" s="62"/>
      <c r="P35" s="69"/>
      <c r="Q35" s="70"/>
      <c r="R35" s="50">
        <f t="shared" si="8"/>
        <v>0</v>
      </c>
      <c r="S35" s="71"/>
      <c r="T35" s="86"/>
      <c r="U35" s="81"/>
      <c r="V35" s="73"/>
      <c r="W35" s="74"/>
      <c r="X35" s="75"/>
      <c r="Y35" s="75"/>
      <c r="Z35" s="76"/>
      <c r="AA35" s="77"/>
      <c r="AB35" s="87"/>
      <c r="AC35" s="88"/>
      <c r="AD35" s="89"/>
      <c r="AE35" s="89"/>
      <c r="AF35" s="89"/>
      <c r="AG35" s="89"/>
      <c r="AH35" s="89"/>
      <c r="AI35" s="89"/>
      <c r="AJ35" s="90"/>
      <c r="AK35" s="79"/>
      <c r="AL35" s="75"/>
      <c r="AM35" s="75"/>
      <c r="AN35" s="75"/>
      <c r="AO35" s="75"/>
      <c r="AP35" s="75"/>
      <c r="AQ35" s="75"/>
      <c r="AR35" s="75"/>
      <c r="AS35" s="77"/>
      <c r="AT35" s="74"/>
      <c r="AU35" s="78"/>
      <c r="AV35" s="79"/>
      <c r="AW35" s="75"/>
      <c r="AX35" s="75"/>
      <c r="AY35" s="75"/>
      <c r="AZ35" s="77"/>
      <c r="BA35" s="74"/>
      <c r="BB35" s="75"/>
      <c r="BC35" s="75"/>
      <c r="BD35" s="77"/>
      <c r="BE35" s="6">
        <f t="shared" si="5"/>
        <v>0</v>
      </c>
    </row>
    <row r="36" spans="1:57">
      <c r="A36" s="61"/>
      <c r="B36" s="40"/>
      <c r="C36" s="62">
        <f t="shared" si="0"/>
        <v>0</v>
      </c>
      <c r="D36" s="63">
        <f t="shared" si="1"/>
        <v>0</v>
      </c>
      <c r="E36" s="63">
        <f t="shared" si="2"/>
        <v>0</v>
      </c>
      <c r="F36" s="63">
        <f t="shared" si="3"/>
        <v>0</v>
      </c>
      <c r="G36" s="63">
        <f t="shared" si="6"/>
        <v>0</v>
      </c>
      <c r="H36" s="63">
        <f t="shared" si="4"/>
        <v>0</v>
      </c>
      <c r="I36" s="64">
        <f t="shared" si="7"/>
        <v>0</v>
      </c>
      <c r="J36" s="65"/>
      <c r="K36" s="65"/>
      <c r="L36" s="83"/>
      <c r="M36" s="67"/>
      <c r="N36" s="68"/>
      <c r="O36" s="62"/>
      <c r="P36" s="69"/>
      <c r="Q36" s="70"/>
      <c r="R36" s="50">
        <f t="shared" si="8"/>
        <v>0</v>
      </c>
      <c r="S36" s="71"/>
      <c r="T36" s="86"/>
      <c r="U36" s="81"/>
      <c r="V36" s="73"/>
      <c r="W36" s="74"/>
      <c r="X36" s="75"/>
      <c r="Y36" s="75"/>
      <c r="Z36" s="76"/>
      <c r="AA36" s="77"/>
      <c r="AB36" s="73"/>
      <c r="AC36" s="74"/>
      <c r="AD36" s="75"/>
      <c r="AE36" s="75"/>
      <c r="AF36" s="75"/>
      <c r="AG36" s="75"/>
      <c r="AH36" s="75"/>
      <c r="AI36" s="75"/>
      <c r="AJ36" s="78"/>
      <c r="AK36" s="79"/>
      <c r="AL36" s="75"/>
      <c r="AM36" s="75"/>
      <c r="AN36" s="75"/>
      <c r="AO36" s="75"/>
      <c r="AP36" s="75"/>
      <c r="AQ36" s="75"/>
      <c r="AR36" s="75"/>
      <c r="AS36" s="77"/>
      <c r="AT36" s="74"/>
      <c r="AU36" s="78"/>
      <c r="AV36" s="79"/>
      <c r="AW36" s="75"/>
      <c r="AX36" s="75"/>
      <c r="AY36" s="75"/>
      <c r="AZ36" s="77"/>
      <c r="BA36" s="74"/>
      <c r="BB36" s="75"/>
      <c r="BC36" s="75"/>
      <c r="BD36" s="77"/>
      <c r="BE36" s="6">
        <f t="shared" si="5"/>
        <v>0</v>
      </c>
    </row>
    <row r="37" spans="1:57">
      <c r="A37" s="61"/>
      <c r="B37" s="40"/>
      <c r="C37" s="62">
        <f t="shared" ref="C37:C68" si="9">SUM(AB37:AJ37)</f>
        <v>0</v>
      </c>
      <c r="D37" s="63">
        <f t="shared" ref="D37:D68" si="10">SUM(AK37:AS37)</f>
        <v>0</v>
      </c>
      <c r="E37" s="63">
        <f t="shared" ref="E37:E68" si="11">SUM(AT37:AU37)</f>
        <v>0</v>
      </c>
      <c r="F37" s="63">
        <f t="shared" ref="F37:F68" si="12">SUM(AV37:AZ37)</f>
        <v>0</v>
      </c>
      <c r="G37" s="63">
        <f t="shared" si="6"/>
        <v>0</v>
      </c>
      <c r="H37" s="63">
        <f t="shared" ref="H37:H68" si="13">SUM(V37:AA37)</f>
        <v>0</v>
      </c>
      <c r="I37" s="64">
        <f t="shared" si="7"/>
        <v>0</v>
      </c>
      <c r="J37" s="91"/>
      <c r="K37" s="65"/>
      <c r="L37" s="83"/>
      <c r="M37" s="67"/>
      <c r="N37" s="68"/>
      <c r="O37" s="62"/>
      <c r="P37" s="69"/>
      <c r="Q37" s="70"/>
      <c r="R37" s="50">
        <f t="shared" si="8"/>
        <v>0</v>
      </c>
      <c r="S37" s="92"/>
      <c r="T37" s="69"/>
      <c r="U37" s="93"/>
      <c r="V37" s="73"/>
      <c r="W37" s="74"/>
      <c r="X37" s="75"/>
      <c r="Y37" s="75"/>
      <c r="Z37" s="76"/>
      <c r="AA37" s="77"/>
      <c r="AB37" s="87"/>
      <c r="AC37" s="88"/>
      <c r="AD37" s="89"/>
      <c r="AE37" s="89"/>
      <c r="AF37" s="89"/>
      <c r="AG37" s="89"/>
      <c r="AH37" s="89"/>
      <c r="AI37" s="89"/>
      <c r="AJ37" s="90"/>
      <c r="AK37" s="79"/>
      <c r="AL37" s="75"/>
      <c r="AM37" s="75"/>
      <c r="AN37" s="75"/>
      <c r="AO37" s="75"/>
      <c r="AP37" s="75"/>
      <c r="AQ37" s="75"/>
      <c r="AR37" s="75"/>
      <c r="AS37" s="77"/>
      <c r="AT37" s="74"/>
      <c r="AU37" s="78"/>
      <c r="AV37" s="79"/>
      <c r="AW37" s="75"/>
      <c r="AX37" s="75"/>
      <c r="AY37" s="75"/>
      <c r="AZ37" s="77"/>
      <c r="BA37" s="74"/>
      <c r="BB37" s="75"/>
      <c r="BC37" s="75"/>
      <c r="BD37" s="77"/>
      <c r="BE37" s="6">
        <f t="shared" si="5"/>
        <v>0</v>
      </c>
    </row>
    <row r="38" spans="1:57">
      <c r="A38" s="61"/>
      <c r="B38" s="40"/>
      <c r="C38" s="62">
        <f t="shared" si="9"/>
        <v>0</v>
      </c>
      <c r="D38" s="63">
        <f t="shared" si="10"/>
        <v>0</v>
      </c>
      <c r="E38" s="63">
        <f t="shared" si="11"/>
        <v>0</v>
      </c>
      <c r="F38" s="63">
        <f t="shared" si="12"/>
        <v>0</v>
      </c>
      <c r="G38" s="63">
        <f t="shared" si="6"/>
        <v>0</v>
      </c>
      <c r="H38" s="63">
        <f t="shared" si="13"/>
        <v>0</v>
      </c>
      <c r="I38" s="64">
        <f t="shared" si="7"/>
        <v>0</v>
      </c>
      <c r="J38" s="65"/>
      <c r="K38" s="65"/>
      <c r="L38" s="83"/>
      <c r="M38" s="67"/>
      <c r="N38" s="68"/>
      <c r="O38" s="62"/>
      <c r="P38" s="69"/>
      <c r="Q38" s="70"/>
      <c r="R38" s="50">
        <f t="shared" si="8"/>
        <v>0</v>
      </c>
      <c r="S38" s="92"/>
      <c r="T38" s="94"/>
      <c r="U38" s="72"/>
      <c r="V38" s="73"/>
      <c r="W38" s="74"/>
      <c r="X38" s="75"/>
      <c r="Y38" s="75"/>
      <c r="Z38" s="76"/>
      <c r="AA38" s="77"/>
      <c r="AB38" s="73"/>
      <c r="AC38" s="74"/>
      <c r="AD38" s="75"/>
      <c r="AE38" s="75"/>
      <c r="AF38" s="75"/>
      <c r="AG38" s="75"/>
      <c r="AH38" s="75"/>
      <c r="AI38" s="75"/>
      <c r="AJ38" s="78"/>
      <c r="AK38" s="79"/>
      <c r="AL38" s="75"/>
      <c r="AM38" s="75"/>
      <c r="AN38" s="75"/>
      <c r="AO38" s="75"/>
      <c r="AP38" s="75"/>
      <c r="AQ38" s="75"/>
      <c r="AR38" s="75"/>
      <c r="AS38" s="77"/>
      <c r="AT38" s="74"/>
      <c r="AU38" s="78"/>
      <c r="AV38" s="79"/>
      <c r="AW38" s="75"/>
      <c r="AX38" s="75"/>
      <c r="AY38" s="75"/>
      <c r="AZ38" s="77"/>
      <c r="BA38" s="74"/>
      <c r="BB38" s="75"/>
      <c r="BC38" s="75"/>
      <c r="BD38" s="77"/>
      <c r="BE38" s="6">
        <f t="shared" si="5"/>
        <v>0</v>
      </c>
    </row>
    <row r="39" spans="1:57">
      <c r="A39" s="61"/>
      <c r="B39" s="40"/>
      <c r="C39" s="62">
        <f t="shared" si="9"/>
        <v>0</v>
      </c>
      <c r="D39" s="63">
        <f t="shared" si="10"/>
        <v>0</v>
      </c>
      <c r="E39" s="63">
        <f t="shared" si="11"/>
        <v>0</v>
      </c>
      <c r="F39" s="63">
        <f t="shared" si="12"/>
        <v>0</v>
      </c>
      <c r="G39" s="63">
        <f t="shared" si="6"/>
        <v>0</v>
      </c>
      <c r="H39" s="63">
        <f t="shared" si="13"/>
        <v>0</v>
      </c>
      <c r="I39" s="64">
        <f t="shared" si="7"/>
        <v>0</v>
      </c>
      <c r="J39" s="65"/>
      <c r="K39" s="65"/>
      <c r="L39" s="83"/>
      <c r="M39" s="67"/>
      <c r="N39" s="68"/>
      <c r="O39" s="62"/>
      <c r="P39" s="69"/>
      <c r="Q39" s="70"/>
      <c r="R39" s="50">
        <f t="shared" si="8"/>
        <v>0</v>
      </c>
      <c r="S39" s="71"/>
      <c r="T39" s="85"/>
      <c r="U39" s="72"/>
      <c r="V39" s="73"/>
      <c r="W39" s="74"/>
      <c r="X39" s="75"/>
      <c r="Y39" s="75"/>
      <c r="Z39" s="76"/>
      <c r="AA39" s="77"/>
      <c r="AB39" s="73"/>
      <c r="AC39" s="74"/>
      <c r="AD39" s="75"/>
      <c r="AE39" s="75"/>
      <c r="AF39" s="75"/>
      <c r="AG39" s="75"/>
      <c r="AH39" s="75"/>
      <c r="AI39" s="75"/>
      <c r="AJ39" s="78"/>
      <c r="AK39" s="79"/>
      <c r="AL39" s="75"/>
      <c r="AM39" s="75"/>
      <c r="AN39" s="75"/>
      <c r="AO39" s="75"/>
      <c r="AP39" s="75"/>
      <c r="AQ39" s="75"/>
      <c r="AR39" s="75"/>
      <c r="AS39" s="77"/>
      <c r="AT39" s="74"/>
      <c r="AU39" s="78"/>
      <c r="AV39" s="79"/>
      <c r="AW39" s="75"/>
      <c r="AX39" s="75"/>
      <c r="AY39" s="75"/>
      <c r="AZ39" s="77"/>
      <c r="BA39" s="74"/>
      <c r="BB39" s="75"/>
      <c r="BC39" s="75"/>
      <c r="BD39" s="77"/>
      <c r="BE39" s="6">
        <f t="shared" si="5"/>
        <v>0</v>
      </c>
    </row>
    <row r="40" spans="1:57">
      <c r="A40" s="61"/>
      <c r="B40" s="40"/>
      <c r="C40" s="62">
        <f t="shared" si="9"/>
        <v>0</v>
      </c>
      <c r="D40" s="63">
        <f t="shared" si="10"/>
        <v>0</v>
      </c>
      <c r="E40" s="63">
        <f t="shared" si="11"/>
        <v>0</v>
      </c>
      <c r="F40" s="63">
        <f t="shared" si="12"/>
        <v>0</v>
      </c>
      <c r="G40" s="63">
        <f t="shared" si="6"/>
        <v>0</v>
      </c>
      <c r="H40" s="63">
        <f t="shared" si="13"/>
        <v>0</v>
      </c>
      <c r="I40" s="64">
        <f t="shared" si="7"/>
        <v>0</v>
      </c>
      <c r="J40" s="65"/>
      <c r="K40" s="65"/>
      <c r="L40" s="83"/>
      <c r="M40" s="67"/>
      <c r="N40" s="68"/>
      <c r="O40" s="62"/>
      <c r="P40" s="69"/>
      <c r="Q40" s="70"/>
      <c r="R40" s="50">
        <f t="shared" si="8"/>
        <v>0</v>
      </c>
      <c r="S40" s="71"/>
      <c r="T40" s="69"/>
      <c r="U40" s="81"/>
      <c r="V40" s="73"/>
      <c r="W40" s="74"/>
      <c r="X40" s="75"/>
      <c r="Y40" s="75"/>
      <c r="Z40" s="76"/>
      <c r="AA40" s="77"/>
      <c r="AB40" s="73"/>
      <c r="AC40" s="74"/>
      <c r="AD40" s="75"/>
      <c r="AE40" s="75"/>
      <c r="AF40" s="75"/>
      <c r="AG40" s="75"/>
      <c r="AH40" s="75"/>
      <c r="AI40" s="75"/>
      <c r="AJ40" s="78"/>
      <c r="AK40" s="79"/>
      <c r="AL40" s="75"/>
      <c r="AM40" s="75"/>
      <c r="AN40" s="75"/>
      <c r="AO40" s="75"/>
      <c r="AP40" s="75"/>
      <c r="AQ40" s="75"/>
      <c r="AR40" s="75"/>
      <c r="AS40" s="77"/>
      <c r="AT40" s="74"/>
      <c r="AU40" s="78"/>
      <c r="AV40" s="79"/>
      <c r="AW40" s="75"/>
      <c r="AX40" s="75"/>
      <c r="AY40" s="75"/>
      <c r="AZ40" s="77"/>
      <c r="BA40" s="74"/>
      <c r="BB40" s="75"/>
      <c r="BC40" s="75"/>
      <c r="BD40" s="77"/>
      <c r="BE40" s="6">
        <f t="shared" si="5"/>
        <v>0</v>
      </c>
    </row>
    <row r="41" spans="1:57">
      <c r="A41" s="61"/>
      <c r="B41" s="40"/>
      <c r="C41" s="62">
        <f t="shared" si="9"/>
        <v>0</v>
      </c>
      <c r="D41" s="63">
        <f t="shared" si="10"/>
        <v>0</v>
      </c>
      <c r="E41" s="63">
        <f t="shared" si="11"/>
        <v>0</v>
      </c>
      <c r="F41" s="63">
        <f t="shared" si="12"/>
        <v>0</v>
      </c>
      <c r="G41" s="63">
        <f t="shared" si="6"/>
        <v>0</v>
      </c>
      <c r="H41" s="63">
        <f t="shared" si="13"/>
        <v>0</v>
      </c>
      <c r="I41" s="64">
        <f t="shared" si="7"/>
        <v>0</v>
      </c>
      <c r="J41" s="91"/>
      <c r="K41" s="65"/>
      <c r="L41" s="83"/>
      <c r="M41" s="67"/>
      <c r="N41" s="68"/>
      <c r="O41" s="62"/>
      <c r="P41" s="69"/>
      <c r="Q41" s="70"/>
      <c r="R41" s="50">
        <f t="shared" si="8"/>
        <v>0</v>
      </c>
      <c r="S41" s="92"/>
      <c r="T41" s="85"/>
      <c r="U41" s="72"/>
      <c r="V41" s="73"/>
      <c r="W41" s="74"/>
      <c r="X41" s="75"/>
      <c r="Y41" s="75"/>
      <c r="Z41" s="76"/>
      <c r="AA41" s="77"/>
      <c r="AB41" s="87"/>
      <c r="AC41" s="88"/>
      <c r="AD41" s="89"/>
      <c r="AE41" s="89"/>
      <c r="AF41" s="89"/>
      <c r="AG41" s="89"/>
      <c r="AH41" s="89"/>
      <c r="AI41" s="89"/>
      <c r="AJ41" s="90"/>
      <c r="AK41" s="79"/>
      <c r="AL41" s="75"/>
      <c r="AM41" s="75"/>
      <c r="AN41" s="75"/>
      <c r="AO41" s="75"/>
      <c r="AP41" s="75"/>
      <c r="AQ41" s="75"/>
      <c r="AR41" s="75"/>
      <c r="AS41" s="77"/>
      <c r="AT41" s="74"/>
      <c r="AU41" s="78"/>
      <c r="AV41" s="79"/>
      <c r="AW41" s="75"/>
      <c r="AX41" s="75"/>
      <c r="AY41" s="75"/>
      <c r="AZ41" s="77"/>
      <c r="BA41" s="74"/>
      <c r="BB41" s="75"/>
      <c r="BC41" s="75"/>
      <c r="BD41" s="77"/>
      <c r="BE41" s="6">
        <f t="shared" si="5"/>
        <v>0</v>
      </c>
    </row>
    <row r="42" spans="1:57">
      <c r="A42" s="61"/>
      <c r="B42" s="40"/>
      <c r="C42" s="62">
        <f t="shared" si="9"/>
        <v>0</v>
      </c>
      <c r="D42" s="63">
        <f t="shared" si="10"/>
        <v>0</v>
      </c>
      <c r="E42" s="63">
        <f t="shared" si="11"/>
        <v>0</v>
      </c>
      <c r="F42" s="63">
        <f t="shared" si="12"/>
        <v>0</v>
      </c>
      <c r="G42" s="63">
        <f t="shared" si="6"/>
        <v>0</v>
      </c>
      <c r="H42" s="63">
        <f t="shared" si="13"/>
        <v>0</v>
      </c>
      <c r="I42" s="64">
        <f t="shared" si="7"/>
        <v>0</v>
      </c>
      <c r="J42" s="65"/>
      <c r="K42" s="65"/>
      <c r="L42" s="83"/>
      <c r="M42" s="67"/>
      <c r="N42" s="68"/>
      <c r="O42" s="62"/>
      <c r="P42" s="69"/>
      <c r="Q42" s="70"/>
      <c r="R42" s="50">
        <f t="shared" si="8"/>
        <v>0</v>
      </c>
      <c r="S42" s="71"/>
      <c r="T42" s="69"/>
      <c r="U42" s="81"/>
      <c r="V42" s="73"/>
      <c r="W42" s="74"/>
      <c r="X42" s="75"/>
      <c r="Y42" s="75"/>
      <c r="Z42" s="76"/>
      <c r="AA42" s="77"/>
      <c r="AB42" s="74"/>
      <c r="AC42" s="74"/>
      <c r="AD42" s="75"/>
      <c r="AE42" s="75"/>
      <c r="AF42" s="75"/>
      <c r="AG42" s="75"/>
      <c r="AH42" s="75"/>
      <c r="AI42" s="75"/>
      <c r="AJ42" s="78"/>
      <c r="AK42" s="79"/>
      <c r="AL42" s="75"/>
      <c r="AM42" s="75"/>
      <c r="AN42" s="75"/>
      <c r="AO42" s="75"/>
      <c r="AP42" s="95"/>
      <c r="AQ42" s="75"/>
      <c r="AR42" s="75"/>
      <c r="AS42" s="77"/>
      <c r="AT42" s="74"/>
      <c r="AU42" s="78"/>
      <c r="AV42" s="79"/>
      <c r="AW42" s="75"/>
      <c r="AX42" s="75"/>
      <c r="AY42" s="75"/>
      <c r="AZ42" s="77"/>
      <c r="BA42" s="74"/>
      <c r="BB42" s="75"/>
      <c r="BC42" s="75"/>
      <c r="BD42" s="77"/>
      <c r="BE42" s="6">
        <f t="shared" si="5"/>
        <v>0</v>
      </c>
    </row>
    <row r="43" spans="1:57" ht="16.2" customHeight="1">
      <c r="A43" s="61"/>
      <c r="B43" s="40"/>
      <c r="C43" s="62">
        <f t="shared" si="9"/>
        <v>0</v>
      </c>
      <c r="D43" s="63">
        <f t="shared" si="10"/>
        <v>0</v>
      </c>
      <c r="E43" s="63">
        <f t="shared" si="11"/>
        <v>0</v>
      </c>
      <c r="F43" s="63">
        <f t="shared" si="12"/>
        <v>0</v>
      </c>
      <c r="G43" s="63">
        <f t="shared" si="6"/>
        <v>0</v>
      </c>
      <c r="H43" s="63">
        <f t="shared" si="13"/>
        <v>0</v>
      </c>
      <c r="I43" s="64">
        <f t="shared" si="7"/>
        <v>0</v>
      </c>
      <c r="J43" s="65"/>
      <c r="K43" s="65"/>
      <c r="L43" s="83"/>
      <c r="M43" s="67"/>
      <c r="N43" s="68"/>
      <c r="O43" s="62"/>
      <c r="P43" s="69"/>
      <c r="Q43" s="70"/>
      <c r="R43" s="50">
        <f t="shared" si="8"/>
        <v>0</v>
      </c>
      <c r="S43" s="71"/>
      <c r="T43" s="86"/>
      <c r="U43" s="81"/>
      <c r="V43" s="73"/>
      <c r="W43" s="74"/>
      <c r="X43" s="75"/>
      <c r="Y43" s="75"/>
      <c r="Z43" s="76"/>
      <c r="AA43" s="77"/>
      <c r="AB43" s="74"/>
      <c r="AC43" s="74"/>
      <c r="AD43" s="75"/>
      <c r="AE43" s="75"/>
      <c r="AF43" s="75"/>
      <c r="AG43" s="75"/>
      <c r="AH43" s="75"/>
      <c r="AI43" s="75"/>
      <c r="AJ43" s="78"/>
      <c r="AK43" s="79"/>
      <c r="AL43" s="75"/>
      <c r="AM43" s="75"/>
      <c r="AN43" s="75"/>
      <c r="AO43" s="75"/>
      <c r="AP43" s="95"/>
      <c r="AQ43" s="75"/>
      <c r="AR43" s="75"/>
      <c r="AS43" s="77"/>
      <c r="AT43" s="74"/>
      <c r="AU43" s="78"/>
      <c r="AV43" s="79"/>
      <c r="AW43" s="75"/>
      <c r="AX43" s="75"/>
      <c r="AY43" s="75"/>
      <c r="AZ43" s="77"/>
      <c r="BA43" s="74"/>
      <c r="BB43" s="75"/>
      <c r="BC43" s="75"/>
      <c r="BD43" s="77"/>
      <c r="BE43" s="6">
        <f t="shared" si="5"/>
        <v>0</v>
      </c>
    </row>
    <row r="44" spans="1:57">
      <c r="A44" s="61"/>
      <c r="B44" s="40"/>
      <c r="C44" s="62">
        <f t="shared" si="9"/>
        <v>0</v>
      </c>
      <c r="D44" s="63">
        <f t="shared" si="10"/>
        <v>0</v>
      </c>
      <c r="E44" s="63">
        <f t="shared" si="11"/>
        <v>0</v>
      </c>
      <c r="F44" s="63">
        <f t="shared" si="12"/>
        <v>0</v>
      </c>
      <c r="G44" s="63">
        <f t="shared" si="6"/>
        <v>0</v>
      </c>
      <c r="H44" s="63">
        <f t="shared" si="13"/>
        <v>0</v>
      </c>
      <c r="I44" s="64">
        <f t="shared" si="7"/>
        <v>0</v>
      </c>
      <c r="J44" s="65"/>
      <c r="K44" s="65"/>
      <c r="L44" s="83"/>
      <c r="M44" s="67"/>
      <c r="N44" s="68"/>
      <c r="O44" s="62"/>
      <c r="P44" s="69"/>
      <c r="Q44" s="70"/>
      <c r="R44" s="50">
        <f t="shared" si="8"/>
        <v>0</v>
      </c>
      <c r="S44" s="71"/>
      <c r="T44" s="86"/>
      <c r="U44" s="81"/>
      <c r="V44" s="73"/>
      <c r="W44" s="74"/>
      <c r="X44" s="75"/>
      <c r="Y44" s="75"/>
      <c r="Z44" s="76"/>
      <c r="AA44" s="77"/>
      <c r="AB44" s="96"/>
      <c r="AC44" s="96"/>
      <c r="AD44" s="89"/>
      <c r="AE44" s="89"/>
      <c r="AF44" s="89"/>
      <c r="AG44" s="89"/>
      <c r="AH44" s="89"/>
      <c r="AI44" s="89"/>
      <c r="AJ44" s="90"/>
      <c r="AK44" s="79"/>
      <c r="AL44" s="75"/>
      <c r="AM44" s="75"/>
      <c r="AN44" s="75"/>
      <c r="AO44" s="75"/>
      <c r="AP44" s="95"/>
      <c r="AQ44" s="75"/>
      <c r="AR44" s="75"/>
      <c r="AS44" s="77"/>
      <c r="AT44" s="74"/>
      <c r="AU44" s="78"/>
      <c r="AV44" s="79"/>
      <c r="AW44" s="75"/>
      <c r="AX44" s="75"/>
      <c r="AY44" s="75"/>
      <c r="AZ44" s="77"/>
      <c r="BA44" s="74"/>
      <c r="BB44" s="75"/>
      <c r="BC44" s="75"/>
      <c r="BD44" s="77"/>
      <c r="BE44" s="6">
        <f t="shared" si="5"/>
        <v>0</v>
      </c>
    </row>
    <row r="45" spans="1:57">
      <c r="A45" s="61"/>
      <c r="B45" s="40"/>
      <c r="C45" s="62">
        <f t="shared" si="9"/>
        <v>0</v>
      </c>
      <c r="D45" s="63">
        <f t="shared" si="10"/>
        <v>0</v>
      </c>
      <c r="E45" s="63">
        <f t="shared" si="11"/>
        <v>0</v>
      </c>
      <c r="F45" s="63">
        <f t="shared" si="12"/>
        <v>0</v>
      </c>
      <c r="G45" s="63">
        <f t="shared" si="6"/>
        <v>0</v>
      </c>
      <c r="H45" s="63">
        <f t="shared" si="13"/>
        <v>0</v>
      </c>
      <c r="I45" s="64">
        <f t="shared" si="7"/>
        <v>0</v>
      </c>
      <c r="J45" s="65"/>
      <c r="K45" s="65"/>
      <c r="L45" s="83"/>
      <c r="M45" s="67"/>
      <c r="N45" s="68"/>
      <c r="O45" s="62"/>
      <c r="P45" s="69"/>
      <c r="Q45" s="70"/>
      <c r="R45" s="50">
        <f t="shared" si="8"/>
        <v>0</v>
      </c>
      <c r="S45" s="71"/>
      <c r="T45" s="86"/>
      <c r="U45" s="81"/>
      <c r="V45" s="73"/>
      <c r="W45" s="74"/>
      <c r="X45" s="75"/>
      <c r="Y45" s="75"/>
      <c r="Z45" s="76"/>
      <c r="AA45" s="77"/>
      <c r="AB45" s="96"/>
      <c r="AC45" s="96"/>
      <c r="AD45" s="89"/>
      <c r="AE45" s="89"/>
      <c r="AF45" s="89"/>
      <c r="AG45" s="89"/>
      <c r="AH45" s="89"/>
      <c r="AI45" s="89"/>
      <c r="AJ45" s="90"/>
      <c r="AK45" s="79"/>
      <c r="AL45" s="75"/>
      <c r="AM45" s="75"/>
      <c r="AN45" s="75"/>
      <c r="AO45" s="75"/>
      <c r="AP45" s="75"/>
      <c r="AQ45" s="75"/>
      <c r="AR45" s="75"/>
      <c r="AS45" s="77"/>
      <c r="AT45" s="74"/>
      <c r="AU45" s="78"/>
      <c r="AV45" s="79"/>
      <c r="AW45" s="75"/>
      <c r="AX45" s="75"/>
      <c r="AY45" s="75"/>
      <c r="AZ45" s="77"/>
      <c r="BA45" s="74"/>
      <c r="BB45" s="75"/>
      <c r="BC45" s="75"/>
      <c r="BD45" s="77"/>
      <c r="BE45" s="6">
        <f t="shared" si="5"/>
        <v>0</v>
      </c>
    </row>
    <row r="46" spans="1:57">
      <c r="A46" s="61"/>
      <c r="B46" s="40"/>
      <c r="C46" s="97">
        <f t="shared" si="9"/>
        <v>0</v>
      </c>
      <c r="D46" s="98">
        <f t="shared" si="10"/>
        <v>0</v>
      </c>
      <c r="E46" s="98">
        <f t="shared" si="11"/>
        <v>0</v>
      </c>
      <c r="F46" s="98">
        <f t="shared" si="12"/>
        <v>0</v>
      </c>
      <c r="G46" s="98">
        <f t="shared" si="6"/>
        <v>0</v>
      </c>
      <c r="H46" s="98">
        <f t="shared" si="13"/>
        <v>0</v>
      </c>
      <c r="I46" s="64">
        <f t="shared" si="7"/>
        <v>0</v>
      </c>
      <c r="J46" s="99"/>
      <c r="K46" s="99"/>
      <c r="L46" s="100"/>
      <c r="M46" s="101"/>
      <c r="N46" s="102"/>
      <c r="O46" s="97"/>
      <c r="P46" s="69"/>
      <c r="Q46" s="103"/>
      <c r="R46" s="50">
        <f t="shared" si="8"/>
        <v>0</v>
      </c>
      <c r="S46" s="71"/>
      <c r="T46" s="86"/>
      <c r="U46" s="81"/>
      <c r="V46" s="73"/>
      <c r="W46" s="74"/>
      <c r="X46" s="75"/>
      <c r="Y46" s="75"/>
      <c r="Z46" s="76"/>
      <c r="AA46" s="77"/>
      <c r="AB46" s="88"/>
      <c r="AC46" s="88"/>
      <c r="AD46" s="89"/>
      <c r="AE46" s="89"/>
      <c r="AF46" s="89"/>
      <c r="AG46" s="89"/>
      <c r="AH46" s="89"/>
      <c r="AI46" s="89"/>
      <c r="AJ46" s="90"/>
      <c r="AK46" s="79"/>
      <c r="AL46" s="75"/>
      <c r="AM46" s="75"/>
      <c r="AN46" s="75"/>
      <c r="AO46" s="75"/>
      <c r="AP46" s="75"/>
      <c r="AQ46" s="75"/>
      <c r="AR46" s="75"/>
      <c r="AS46" s="77"/>
      <c r="AT46" s="74"/>
      <c r="AU46" s="78"/>
      <c r="AV46" s="79"/>
      <c r="AW46" s="75"/>
      <c r="AX46" s="75"/>
      <c r="AY46" s="75"/>
      <c r="AZ46" s="77"/>
      <c r="BA46" s="74"/>
      <c r="BB46" s="75"/>
      <c r="BC46" s="75"/>
      <c r="BD46" s="77"/>
      <c r="BE46" s="104"/>
    </row>
    <row r="47" spans="1:57">
      <c r="A47" s="61"/>
      <c r="B47" s="40"/>
      <c r="C47" s="62">
        <f t="shared" si="9"/>
        <v>0</v>
      </c>
      <c r="D47" s="63">
        <f t="shared" si="10"/>
        <v>0</v>
      </c>
      <c r="E47" s="63">
        <f t="shared" si="11"/>
        <v>0</v>
      </c>
      <c r="F47" s="63">
        <f t="shared" si="12"/>
        <v>0</v>
      </c>
      <c r="G47" s="63">
        <f t="shared" si="6"/>
        <v>0</v>
      </c>
      <c r="H47" s="63">
        <f t="shared" si="13"/>
        <v>0</v>
      </c>
      <c r="I47" s="64">
        <f t="shared" si="7"/>
        <v>0</v>
      </c>
      <c r="J47" s="65"/>
      <c r="K47" s="65"/>
      <c r="L47" s="83"/>
      <c r="M47" s="67"/>
      <c r="N47" s="68"/>
      <c r="O47" s="62"/>
      <c r="P47" s="69"/>
      <c r="Q47" s="70"/>
      <c r="R47" s="50">
        <f t="shared" si="8"/>
        <v>0</v>
      </c>
      <c r="S47" s="105"/>
      <c r="T47" s="86"/>
      <c r="U47" s="81"/>
      <c r="V47" s="73"/>
      <c r="W47" s="74"/>
      <c r="X47" s="75"/>
      <c r="Y47" s="75"/>
      <c r="Z47" s="76"/>
      <c r="AA47" s="77"/>
      <c r="AB47" s="88"/>
      <c r="AC47" s="88"/>
      <c r="AD47" s="89"/>
      <c r="AE47" s="89"/>
      <c r="AF47" s="89"/>
      <c r="AG47" s="89"/>
      <c r="AH47" s="89"/>
      <c r="AI47" s="89"/>
      <c r="AJ47" s="90"/>
      <c r="AK47" s="79"/>
      <c r="AL47" s="75"/>
      <c r="AM47" s="75"/>
      <c r="AN47" s="75"/>
      <c r="AO47" s="75"/>
      <c r="AP47" s="84"/>
      <c r="AQ47" s="75"/>
      <c r="AR47" s="75"/>
      <c r="AS47" s="77"/>
      <c r="AT47" s="74"/>
      <c r="AU47" s="78"/>
      <c r="AV47" s="79"/>
      <c r="AW47" s="75"/>
      <c r="AX47" s="75"/>
      <c r="AY47" s="75"/>
      <c r="AZ47" s="77"/>
      <c r="BA47" s="74"/>
      <c r="BB47" s="75"/>
      <c r="BC47" s="75"/>
      <c r="BD47" s="77"/>
      <c r="BE47" s="6">
        <f t="shared" ref="BE47:BE78" si="14">I47-SUM(AB47:BD47)</f>
        <v>0</v>
      </c>
    </row>
    <row r="48" spans="1:57">
      <c r="A48" s="61"/>
      <c r="B48" s="40"/>
      <c r="C48" s="62">
        <f t="shared" si="9"/>
        <v>0</v>
      </c>
      <c r="D48" s="63">
        <f t="shared" si="10"/>
        <v>0</v>
      </c>
      <c r="E48" s="63">
        <f t="shared" si="11"/>
        <v>0</v>
      </c>
      <c r="F48" s="63">
        <f t="shared" si="12"/>
        <v>0</v>
      </c>
      <c r="G48" s="63">
        <f t="shared" si="6"/>
        <v>0</v>
      </c>
      <c r="H48" s="63">
        <f t="shared" si="13"/>
        <v>0</v>
      </c>
      <c r="I48" s="64">
        <f t="shared" si="7"/>
        <v>0</v>
      </c>
      <c r="J48" s="65"/>
      <c r="K48" s="65"/>
      <c r="L48" s="83"/>
      <c r="M48" s="67"/>
      <c r="N48" s="68"/>
      <c r="O48" s="62"/>
      <c r="P48" s="69"/>
      <c r="Q48" s="70"/>
      <c r="R48" s="50">
        <f t="shared" si="8"/>
        <v>0</v>
      </c>
      <c r="S48" s="71"/>
      <c r="T48" s="85"/>
      <c r="U48" s="72"/>
      <c r="V48" s="73"/>
      <c r="W48" s="74"/>
      <c r="X48" s="75"/>
      <c r="Y48" s="75"/>
      <c r="Z48" s="76"/>
      <c r="AA48" s="77"/>
      <c r="AB48" s="88"/>
      <c r="AC48" s="88"/>
      <c r="AD48" s="89"/>
      <c r="AE48" s="89"/>
      <c r="AF48" s="89"/>
      <c r="AG48" s="89"/>
      <c r="AH48" s="89"/>
      <c r="AI48" s="89"/>
      <c r="AJ48" s="90"/>
      <c r="AK48" s="79"/>
      <c r="AL48" s="75"/>
      <c r="AM48" s="75"/>
      <c r="AN48" s="75"/>
      <c r="AO48" s="75"/>
      <c r="AP48" s="95"/>
      <c r="AQ48" s="75"/>
      <c r="AR48" s="75"/>
      <c r="AS48" s="77"/>
      <c r="AT48" s="74"/>
      <c r="AU48" s="78"/>
      <c r="AV48" s="79"/>
      <c r="AW48" s="75"/>
      <c r="AX48" s="75"/>
      <c r="AY48" s="75"/>
      <c r="AZ48" s="77"/>
      <c r="BA48" s="74"/>
      <c r="BB48" s="75"/>
      <c r="BC48" s="75"/>
      <c r="BD48" s="77"/>
      <c r="BE48" s="6">
        <f t="shared" si="14"/>
        <v>0</v>
      </c>
    </row>
    <row r="49" spans="1:57">
      <c r="A49" s="61"/>
      <c r="B49" s="40"/>
      <c r="C49" s="62">
        <f t="shared" si="9"/>
        <v>0</v>
      </c>
      <c r="D49" s="63">
        <f t="shared" si="10"/>
        <v>0</v>
      </c>
      <c r="E49" s="63">
        <f t="shared" si="11"/>
        <v>0</v>
      </c>
      <c r="F49" s="63">
        <f t="shared" si="12"/>
        <v>0</v>
      </c>
      <c r="G49" s="63">
        <f t="shared" si="6"/>
        <v>0</v>
      </c>
      <c r="H49" s="63">
        <f t="shared" si="13"/>
        <v>0</v>
      </c>
      <c r="I49" s="64">
        <f t="shared" si="7"/>
        <v>0</v>
      </c>
      <c r="J49" s="65"/>
      <c r="K49" s="65"/>
      <c r="L49" s="83"/>
      <c r="M49" s="67"/>
      <c r="N49" s="68"/>
      <c r="O49" s="62"/>
      <c r="P49" s="69"/>
      <c r="Q49" s="70"/>
      <c r="R49" s="50">
        <f t="shared" si="8"/>
        <v>0</v>
      </c>
      <c r="S49" s="71"/>
      <c r="T49" s="86"/>
      <c r="U49" s="72"/>
      <c r="V49" s="73"/>
      <c r="W49" s="74"/>
      <c r="X49" s="75"/>
      <c r="Y49" s="75"/>
      <c r="Z49" s="76"/>
      <c r="AA49" s="77"/>
      <c r="AB49" s="74"/>
      <c r="AC49" s="74"/>
      <c r="AD49" s="75"/>
      <c r="AE49" s="75"/>
      <c r="AF49" s="75"/>
      <c r="AG49" s="75"/>
      <c r="AH49" s="75"/>
      <c r="AI49" s="75"/>
      <c r="AJ49" s="78"/>
      <c r="AK49" s="79"/>
      <c r="AL49" s="75"/>
      <c r="AM49" s="75"/>
      <c r="AN49" s="75"/>
      <c r="AO49" s="75"/>
      <c r="AP49" s="95"/>
      <c r="AQ49" s="75"/>
      <c r="AR49" s="75"/>
      <c r="AS49" s="77"/>
      <c r="AT49" s="74"/>
      <c r="AU49" s="78"/>
      <c r="AV49" s="79"/>
      <c r="AW49" s="75"/>
      <c r="AX49" s="75"/>
      <c r="AY49" s="75"/>
      <c r="AZ49" s="77"/>
      <c r="BA49" s="74"/>
      <c r="BB49" s="75"/>
      <c r="BC49" s="75"/>
      <c r="BD49" s="77"/>
      <c r="BE49" s="6">
        <f t="shared" si="14"/>
        <v>0</v>
      </c>
    </row>
    <row r="50" spans="1:57">
      <c r="A50" s="61"/>
      <c r="B50" s="40"/>
      <c r="C50" s="62">
        <f t="shared" si="9"/>
        <v>0</v>
      </c>
      <c r="D50" s="63">
        <f t="shared" si="10"/>
        <v>0</v>
      </c>
      <c r="E50" s="63">
        <f t="shared" si="11"/>
        <v>0</v>
      </c>
      <c r="F50" s="63">
        <f t="shared" si="12"/>
        <v>0</v>
      </c>
      <c r="G50" s="63">
        <f t="shared" si="6"/>
        <v>0</v>
      </c>
      <c r="H50" s="63">
        <f t="shared" si="13"/>
        <v>0</v>
      </c>
      <c r="I50" s="64">
        <f t="shared" si="7"/>
        <v>0</v>
      </c>
      <c r="J50" s="65"/>
      <c r="K50" s="65"/>
      <c r="L50" s="83"/>
      <c r="M50" s="67"/>
      <c r="N50" s="68"/>
      <c r="O50" s="62"/>
      <c r="P50" s="69"/>
      <c r="Q50" s="70"/>
      <c r="R50" s="50">
        <f t="shared" si="8"/>
        <v>0</v>
      </c>
      <c r="S50" s="71"/>
      <c r="T50" s="69"/>
      <c r="U50" s="81"/>
      <c r="V50" s="73"/>
      <c r="W50" s="74"/>
      <c r="X50" s="75"/>
      <c r="Y50" s="75"/>
      <c r="Z50" s="76"/>
      <c r="AA50" s="77"/>
      <c r="AB50" s="73"/>
      <c r="AC50" s="74"/>
      <c r="AD50" s="75"/>
      <c r="AE50" s="75"/>
      <c r="AF50" s="75"/>
      <c r="AG50" s="75"/>
      <c r="AH50" s="75"/>
      <c r="AI50" s="75"/>
      <c r="AJ50" s="78"/>
      <c r="AK50" s="79"/>
      <c r="AL50" s="75"/>
      <c r="AM50" s="75"/>
      <c r="AN50" s="75"/>
      <c r="AO50" s="75"/>
      <c r="AP50" s="75"/>
      <c r="AQ50" s="75"/>
      <c r="AR50" s="75"/>
      <c r="AS50" s="77"/>
      <c r="AT50" s="74"/>
      <c r="AU50" s="78"/>
      <c r="AV50" s="79"/>
      <c r="AW50" s="75"/>
      <c r="AX50" s="75"/>
      <c r="AY50" s="75"/>
      <c r="AZ50" s="77"/>
      <c r="BA50" s="74"/>
      <c r="BB50" s="75"/>
      <c r="BC50" s="75"/>
      <c r="BD50" s="77"/>
      <c r="BE50" s="6">
        <f t="shared" si="14"/>
        <v>0</v>
      </c>
    </row>
    <row r="51" spans="1:57">
      <c r="A51" s="61"/>
      <c r="B51" s="40"/>
      <c r="C51" s="62">
        <f t="shared" si="9"/>
        <v>0</v>
      </c>
      <c r="D51" s="63">
        <f t="shared" si="10"/>
        <v>0</v>
      </c>
      <c r="E51" s="63">
        <f t="shared" si="11"/>
        <v>0</v>
      </c>
      <c r="F51" s="63">
        <f t="shared" si="12"/>
        <v>0</v>
      </c>
      <c r="G51" s="63">
        <f t="shared" si="6"/>
        <v>0</v>
      </c>
      <c r="H51" s="63">
        <f t="shared" si="13"/>
        <v>0</v>
      </c>
      <c r="I51" s="64">
        <f t="shared" si="7"/>
        <v>0</v>
      </c>
      <c r="J51" s="65"/>
      <c r="K51" s="65"/>
      <c r="L51" s="83"/>
      <c r="M51" s="67"/>
      <c r="N51" s="68"/>
      <c r="O51" s="62"/>
      <c r="P51" s="69"/>
      <c r="Q51" s="70"/>
      <c r="R51" s="50">
        <f t="shared" si="8"/>
        <v>0</v>
      </c>
      <c r="S51" s="71"/>
      <c r="T51" s="69"/>
      <c r="U51" s="72"/>
      <c r="V51" s="73"/>
      <c r="W51" s="74"/>
      <c r="X51" s="75"/>
      <c r="Y51" s="75"/>
      <c r="Z51" s="76"/>
      <c r="AA51" s="77"/>
      <c r="AB51" s="73"/>
      <c r="AC51" s="74"/>
      <c r="AD51" s="75"/>
      <c r="AE51" s="75"/>
      <c r="AF51" s="75"/>
      <c r="AG51" s="75"/>
      <c r="AH51" s="75"/>
      <c r="AI51" s="75"/>
      <c r="AJ51" s="78"/>
      <c r="AK51" s="79"/>
      <c r="AL51" s="75"/>
      <c r="AM51" s="75"/>
      <c r="AN51" s="75"/>
      <c r="AO51" s="75"/>
      <c r="AP51" s="75"/>
      <c r="AQ51" s="75"/>
      <c r="AR51" s="75"/>
      <c r="AS51" s="77"/>
      <c r="AT51" s="74"/>
      <c r="AU51" s="78"/>
      <c r="AV51" s="79"/>
      <c r="AW51" s="75"/>
      <c r="AX51" s="75"/>
      <c r="AY51" s="75"/>
      <c r="AZ51" s="77"/>
      <c r="BA51" s="74"/>
      <c r="BB51" s="75"/>
      <c r="BC51" s="75"/>
      <c r="BD51" s="77"/>
      <c r="BE51" s="6">
        <f t="shared" si="14"/>
        <v>0</v>
      </c>
    </row>
    <row r="52" spans="1:57">
      <c r="A52" s="61"/>
      <c r="B52" s="40"/>
      <c r="C52" s="62">
        <f t="shared" si="9"/>
        <v>0</v>
      </c>
      <c r="D52" s="63">
        <f t="shared" si="10"/>
        <v>0</v>
      </c>
      <c r="E52" s="63">
        <f t="shared" si="11"/>
        <v>0</v>
      </c>
      <c r="F52" s="63">
        <f t="shared" si="12"/>
        <v>0</v>
      </c>
      <c r="G52" s="63">
        <f t="shared" si="6"/>
        <v>0</v>
      </c>
      <c r="H52" s="63">
        <f t="shared" si="13"/>
        <v>0</v>
      </c>
      <c r="I52" s="64">
        <f t="shared" si="7"/>
        <v>0</v>
      </c>
      <c r="J52" s="65"/>
      <c r="K52" s="65"/>
      <c r="L52" s="83"/>
      <c r="M52" s="67"/>
      <c r="N52" s="68"/>
      <c r="O52" s="62"/>
      <c r="P52" s="69"/>
      <c r="Q52" s="70"/>
      <c r="R52" s="50">
        <f t="shared" si="8"/>
        <v>0</v>
      </c>
      <c r="S52" s="71"/>
      <c r="T52" s="69"/>
      <c r="U52" s="81"/>
      <c r="V52" s="73"/>
      <c r="W52" s="74"/>
      <c r="X52" s="75"/>
      <c r="Y52" s="75"/>
      <c r="Z52" s="76"/>
      <c r="AA52" s="77"/>
      <c r="AB52" s="73"/>
      <c r="AC52" s="74"/>
      <c r="AD52" s="75"/>
      <c r="AE52" s="75"/>
      <c r="AF52" s="75"/>
      <c r="AG52" s="75"/>
      <c r="AH52" s="75"/>
      <c r="AI52" s="75"/>
      <c r="AJ52" s="78"/>
      <c r="AK52" s="79"/>
      <c r="AL52" s="75"/>
      <c r="AM52" s="75"/>
      <c r="AN52" s="75"/>
      <c r="AO52" s="75"/>
      <c r="AP52" s="75"/>
      <c r="AQ52" s="75"/>
      <c r="AR52" s="75"/>
      <c r="AS52" s="77"/>
      <c r="AT52" s="74"/>
      <c r="AU52" s="78"/>
      <c r="AV52" s="79"/>
      <c r="AW52" s="75"/>
      <c r="AX52" s="75"/>
      <c r="AY52" s="75"/>
      <c r="AZ52" s="77"/>
      <c r="BA52" s="74"/>
      <c r="BB52" s="75"/>
      <c r="BC52" s="75"/>
      <c r="BD52" s="77"/>
      <c r="BE52" s="6">
        <f t="shared" si="14"/>
        <v>0</v>
      </c>
    </row>
    <row r="53" spans="1:57">
      <c r="A53" s="61"/>
      <c r="B53" s="40"/>
      <c r="C53" s="62">
        <f t="shared" si="9"/>
        <v>0</v>
      </c>
      <c r="D53" s="63">
        <f t="shared" si="10"/>
        <v>0</v>
      </c>
      <c r="E53" s="63">
        <f t="shared" si="11"/>
        <v>0</v>
      </c>
      <c r="F53" s="63">
        <f t="shared" si="12"/>
        <v>0</v>
      </c>
      <c r="G53" s="63">
        <f t="shared" si="6"/>
        <v>0</v>
      </c>
      <c r="H53" s="63">
        <f t="shared" si="13"/>
        <v>0</v>
      </c>
      <c r="I53" s="64">
        <f t="shared" si="7"/>
        <v>0</v>
      </c>
      <c r="J53" s="65"/>
      <c r="K53" s="65"/>
      <c r="L53" s="83"/>
      <c r="M53" s="67"/>
      <c r="N53" s="68"/>
      <c r="O53" s="62"/>
      <c r="P53" s="69"/>
      <c r="Q53" s="70"/>
      <c r="R53" s="50">
        <f t="shared" si="8"/>
        <v>0</v>
      </c>
      <c r="S53" s="71"/>
      <c r="T53" s="69"/>
      <c r="U53" s="72"/>
      <c r="V53" s="73"/>
      <c r="W53" s="74"/>
      <c r="X53" s="75"/>
      <c r="Y53" s="75"/>
      <c r="Z53" s="76"/>
      <c r="AA53" s="77"/>
      <c r="AB53" s="73"/>
      <c r="AC53" s="74"/>
      <c r="AD53" s="75"/>
      <c r="AE53" s="75"/>
      <c r="AF53" s="75"/>
      <c r="AG53" s="75"/>
      <c r="AH53" s="75"/>
      <c r="AI53" s="75"/>
      <c r="AJ53" s="78"/>
      <c r="AK53" s="79"/>
      <c r="AL53" s="75"/>
      <c r="AM53" s="75"/>
      <c r="AN53" s="75"/>
      <c r="AO53" s="75"/>
      <c r="AP53" s="75"/>
      <c r="AQ53" s="75"/>
      <c r="AR53" s="75"/>
      <c r="AS53" s="77"/>
      <c r="AT53" s="74"/>
      <c r="AU53" s="78"/>
      <c r="AV53" s="79"/>
      <c r="AW53" s="75"/>
      <c r="AX53" s="75"/>
      <c r="AY53" s="75"/>
      <c r="AZ53" s="77"/>
      <c r="BA53" s="74"/>
      <c r="BB53" s="75"/>
      <c r="BC53" s="75"/>
      <c r="BD53" s="77"/>
      <c r="BE53" s="6">
        <f t="shared" si="14"/>
        <v>0</v>
      </c>
    </row>
    <row r="54" spans="1:57">
      <c r="A54" s="61"/>
      <c r="B54" s="40"/>
      <c r="C54" s="62">
        <f t="shared" si="9"/>
        <v>0</v>
      </c>
      <c r="D54" s="63">
        <f t="shared" si="10"/>
        <v>0</v>
      </c>
      <c r="E54" s="63">
        <f t="shared" si="11"/>
        <v>0</v>
      </c>
      <c r="F54" s="63">
        <f t="shared" si="12"/>
        <v>0</v>
      </c>
      <c r="G54" s="63">
        <f t="shared" si="6"/>
        <v>0</v>
      </c>
      <c r="H54" s="63">
        <f t="shared" si="13"/>
        <v>0</v>
      </c>
      <c r="I54" s="64">
        <f t="shared" si="7"/>
        <v>0</v>
      </c>
      <c r="J54" s="65"/>
      <c r="K54" s="65"/>
      <c r="L54" s="83"/>
      <c r="M54" s="67"/>
      <c r="N54" s="68"/>
      <c r="O54" s="62"/>
      <c r="P54" s="69"/>
      <c r="Q54" s="70"/>
      <c r="R54" s="50">
        <f t="shared" si="8"/>
        <v>0</v>
      </c>
      <c r="S54" s="71"/>
      <c r="T54" s="69"/>
      <c r="U54" s="72"/>
      <c r="V54" s="73"/>
      <c r="W54" s="74"/>
      <c r="X54" s="75"/>
      <c r="Y54" s="75"/>
      <c r="Z54" s="76"/>
      <c r="AA54" s="77"/>
      <c r="AB54" s="73"/>
      <c r="AC54" s="74"/>
      <c r="AD54" s="75"/>
      <c r="AE54" s="75"/>
      <c r="AF54" s="75"/>
      <c r="AG54" s="75"/>
      <c r="AH54" s="75"/>
      <c r="AI54" s="75"/>
      <c r="AJ54" s="78"/>
      <c r="AK54" s="79"/>
      <c r="AL54" s="75"/>
      <c r="AM54" s="75"/>
      <c r="AN54" s="75"/>
      <c r="AO54" s="75"/>
      <c r="AP54" s="75"/>
      <c r="AQ54" s="75"/>
      <c r="AR54" s="75"/>
      <c r="AS54" s="77"/>
      <c r="AT54" s="74"/>
      <c r="AU54" s="78"/>
      <c r="AV54" s="79"/>
      <c r="AW54" s="75"/>
      <c r="AX54" s="75"/>
      <c r="AY54" s="75"/>
      <c r="AZ54" s="77"/>
      <c r="BA54" s="74"/>
      <c r="BB54" s="75"/>
      <c r="BC54" s="75"/>
      <c r="BD54" s="77"/>
      <c r="BE54" s="6">
        <f t="shared" si="14"/>
        <v>0</v>
      </c>
    </row>
    <row r="55" spans="1:57">
      <c r="A55" s="61"/>
      <c r="B55" s="40"/>
      <c r="C55" s="62">
        <f t="shared" si="9"/>
        <v>0</v>
      </c>
      <c r="D55" s="63">
        <f t="shared" si="10"/>
        <v>0</v>
      </c>
      <c r="E55" s="63">
        <f t="shared" si="11"/>
        <v>0</v>
      </c>
      <c r="F55" s="63">
        <f t="shared" si="12"/>
        <v>0</v>
      </c>
      <c r="G55" s="63">
        <f t="shared" si="6"/>
        <v>0</v>
      </c>
      <c r="H55" s="63">
        <f t="shared" si="13"/>
        <v>0</v>
      </c>
      <c r="I55" s="64">
        <f t="shared" si="7"/>
        <v>0</v>
      </c>
      <c r="J55" s="65"/>
      <c r="K55" s="65"/>
      <c r="L55" s="83"/>
      <c r="M55" s="67"/>
      <c r="N55" s="68"/>
      <c r="O55" s="62"/>
      <c r="P55" s="69"/>
      <c r="Q55" s="70"/>
      <c r="R55" s="50">
        <f t="shared" si="8"/>
        <v>0</v>
      </c>
      <c r="S55" s="71"/>
      <c r="T55" s="69"/>
      <c r="U55" s="72"/>
      <c r="V55" s="73"/>
      <c r="W55" s="74"/>
      <c r="X55" s="75"/>
      <c r="Y55" s="75"/>
      <c r="Z55" s="76"/>
      <c r="AA55" s="77"/>
      <c r="AB55" s="73"/>
      <c r="AC55" s="74"/>
      <c r="AD55" s="75"/>
      <c r="AE55" s="75"/>
      <c r="AF55" s="75"/>
      <c r="AG55" s="75"/>
      <c r="AH55" s="75"/>
      <c r="AI55" s="75"/>
      <c r="AJ55" s="78"/>
      <c r="AK55" s="79"/>
      <c r="AL55" s="75"/>
      <c r="AM55" s="75"/>
      <c r="AN55" s="75"/>
      <c r="AO55" s="75"/>
      <c r="AP55" s="75"/>
      <c r="AQ55" s="75"/>
      <c r="AR55" s="75"/>
      <c r="AS55" s="77"/>
      <c r="AT55" s="74"/>
      <c r="AU55" s="78"/>
      <c r="AV55" s="79"/>
      <c r="AW55" s="75"/>
      <c r="AX55" s="75"/>
      <c r="AY55" s="75"/>
      <c r="AZ55" s="77"/>
      <c r="BA55" s="74"/>
      <c r="BB55" s="75"/>
      <c r="BC55" s="75"/>
      <c r="BD55" s="77"/>
      <c r="BE55" s="6">
        <f t="shared" si="14"/>
        <v>0</v>
      </c>
    </row>
    <row r="56" spans="1:57">
      <c r="A56" s="61"/>
      <c r="B56" s="40"/>
      <c r="C56" s="62">
        <f t="shared" si="9"/>
        <v>0</v>
      </c>
      <c r="D56" s="63">
        <f t="shared" si="10"/>
        <v>0</v>
      </c>
      <c r="E56" s="63">
        <f t="shared" si="11"/>
        <v>0</v>
      </c>
      <c r="F56" s="63">
        <f t="shared" si="12"/>
        <v>0</v>
      </c>
      <c r="G56" s="63">
        <f t="shared" si="6"/>
        <v>0</v>
      </c>
      <c r="H56" s="63">
        <f t="shared" si="13"/>
        <v>0</v>
      </c>
      <c r="I56" s="64">
        <f t="shared" si="7"/>
        <v>0</v>
      </c>
      <c r="J56" s="65"/>
      <c r="K56" s="65"/>
      <c r="L56" s="83"/>
      <c r="M56" s="67"/>
      <c r="N56" s="68"/>
      <c r="O56" s="62"/>
      <c r="P56" s="69"/>
      <c r="Q56" s="70"/>
      <c r="R56" s="50">
        <f t="shared" si="8"/>
        <v>0</v>
      </c>
      <c r="S56" s="71"/>
      <c r="T56" s="69"/>
      <c r="U56" s="72"/>
      <c r="V56" s="73"/>
      <c r="W56" s="74"/>
      <c r="X56" s="75"/>
      <c r="Y56" s="75"/>
      <c r="Z56" s="76"/>
      <c r="AA56" s="77"/>
      <c r="AB56" s="87"/>
      <c r="AC56" s="88"/>
      <c r="AD56" s="89"/>
      <c r="AE56" s="89"/>
      <c r="AF56" s="89"/>
      <c r="AG56" s="89"/>
      <c r="AH56" s="89"/>
      <c r="AI56" s="89"/>
      <c r="AJ56" s="90"/>
      <c r="AK56" s="79"/>
      <c r="AL56" s="75"/>
      <c r="AM56" s="75"/>
      <c r="AN56" s="75"/>
      <c r="AO56" s="75"/>
      <c r="AP56" s="75"/>
      <c r="AQ56" s="75"/>
      <c r="AR56" s="75"/>
      <c r="AS56" s="77"/>
      <c r="AT56" s="74"/>
      <c r="AU56" s="78"/>
      <c r="AV56" s="79"/>
      <c r="AW56" s="75"/>
      <c r="AX56" s="75"/>
      <c r="AY56" s="75"/>
      <c r="AZ56" s="77"/>
      <c r="BA56" s="74"/>
      <c r="BB56" s="75"/>
      <c r="BC56" s="75"/>
      <c r="BD56" s="77"/>
      <c r="BE56" s="6">
        <f t="shared" si="14"/>
        <v>0</v>
      </c>
    </row>
    <row r="57" spans="1:57">
      <c r="A57" s="61"/>
      <c r="B57" s="40"/>
      <c r="C57" s="62">
        <f t="shared" si="9"/>
        <v>0</v>
      </c>
      <c r="D57" s="63">
        <f t="shared" si="10"/>
        <v>0</v>
      </c>
      <c r="E57" s="63">
        <f t="shared" si="11"/>
        <v>0</v>
      </c>
      <c r="F57" s="63">
        <f t="shared" si="12"/>
        <v>0</v>
      </c>
      <c r="G57" s="63">
        <f t="shared" si="6"/>
        <v>0</v>
      </c>
      <c r="H57" s="63">
        <f t="shared" si="13"/>
        <v>0</v>
      </c>
      <c r="I57" s="64">
        <f t="shared" si="7"/>
        <v>0</v>
      </c>
      <c r="J57" s="65"/>
      <c r="K57" s="65"/>
      <c r="L57" s="83"/>
      <c r="M57" s="67"/>
      <c r="N57" s="68"/>
      <c r="O57" s="62"/>
      <c r="P57" s="69"/>
      <c r="Q57" s="70"/>
      <c r="R57" s="50">
        <f t="shared" si="8"/>
        <v>0</v>
      </c>
      <c r="S57" s="71"/>
      <c r="T57" s="94"/>
      <c r="U57" s="72"/>
      <c r="V57" s="73"/>
      <c r="W57" s="74"/>
      <c r="X57" s="75"/>
      <c r="Y57" s="75"/>
      <c r="Z57" s="76"/>
      <c r="AA57" s="77"/>
      <c r="AB57" s="73"/>
      <c r="AC57" s="74"/>
      <c r="AD57" s="75"/>
      <c r="AE57" s="75"/>
      <c r="AF57" s="75"/>
      <c r="AG57" s="75"/>
      <c r="AH57" s="75"/>
      <c r="AI57" s="75"/>
      <c r="AJ57" s="78"/>
      <c r="AK57" s="79"/>
      <c r="AL57" s="75"/>
      <c r="AM57" s="75"/>
      <c r="AN57" s="75"/>
      <c r="AO57" s="75"/>
      <c r="AP57" s="75"/>
      <c r="AQ57" s="75"/>
      <c r="AR57" s="75"/>
      <c r="AS57" s="77"/>
      <c r="AT57" s="74"/>
      <c r="AU57" s="78"/>
      <c r="AV57" s="79"/>
      <c r="AW57" s="75"/>
      <c r="AX57" s="75"/>
      <c r="AY57" s="75"/>
      <c r="AZ57" s="77"/>
      <c r="BA57" s="74"/>
      <c r="BB57" s="75"/>
      <c r="BC57" s="75"/>
      <c r="BD57" s="77"/>
      <c r="BE57" s="6">
        <f t="shared" si="14"/>
        <v>0</v>
      </c>
    </row>
    <row r="58" spans="1:57">
      <c r="A58" s="61"/>
      <c r="B58" s="40"/>
      <c r="C58" s="62">
        <f t="shared" si="9"/>
        <v>0</v>
      </c>
      <c r="D58" s="63">
        <f t="shared" si="10"/>
        <v>0</v>
      </c>
      <c r="E58" s="63">
        <f t="shared" si="11"/>
        <v>0</v>
      </c>
      <c r="F58" s="63">
        <f t="shared" si="12"/>
        <v>0</v>
      </c>
      <c r="G58" s="63">
        <f t="shared" si="6"/>
        <v>0</v>
      </c>
      <c r="H58" s="63">
        <f t="shared" si="13"/>
        <v>0</v>
      </c>
      <c r="I58" s="64">
        <f t="shared" si="7"/>
        <v>0</v>
      </c>
      <c r="J58" s="65"/>
      <c r="K58" s="65"/>
      <c r="L58" s="83"/>
      <c r="M58" s="67"/>
      <c r="N58" s="68"/>
      <c r="O58" s="62"/>
      <c r="P58" s="69"/>
      <c r="Q58" s="70"/>
      <c r="R58" s="50">
        <f t="shared" si="8"/>
        <v>0</v>
      </c>
      <c r="S58" s="71"/>
      <c r="T58" s="85"/>
      <c r="U58" s="72"/>
      <c r="V58" s="73"/>
      <c r="W58" s="74"/>
      <c r="X58" s="75"/>
      <c r="Y58" s="75"/>
      <c r="Z58" s="76"/>
      <c r="AA58" s="77"/>
      <c r="AB58" s="87"/>
      <c r="AC58" s="88"/>
      <c r="AD58" s="89"/>
      <c r="AE58" s="89"/>
      <c r="AF58" s="89"/>
      <c r="AG58" s="89"/>
      <c r="AH58" s="89"/>
      <c r="AI58" s="89"/>
      <c r="AJ58" s="90"/>
      <c r="AK58" s="79"/>
      <c r="AL58" s="75"/>
      <c r="AM58" s="75"/>
      <c r="AN58" s="75"/>
      <c r="AO58" s="75"/>
      <c r="AP58" s="75"/>
      <c r="AQ58" s="75"/>
      <c r="AR58" s="75"/>
      <c r="AS58" s="77"/>
      <c r="AT58" s="74"/>
      <c r="AU58" s="78"/>
      <c r="AV58" s="79"/>
      <c r="AW58" s="75"/>
      <c r="AX58" s="75"/>
      <c r="AY58" s="75"/>
      <c r="AZ58" s="77"/>
      <c r="BA58" s="74"/>
      <c r="BB58" s="75"/>
      <c r="BC58" s="75"/>
      <c r="BD58" s="77"/>
      <c r="BE58" s="6">
        <f t="shared" si="14"/>
        <v>0</v>
      </c>
    </row>
    <row r="59" spans="1:57">
      <c r="A59" s="61"/>
      <c r="B59" s="40"/>
      <c r="C59" s="62">
        <f t="shared" si="9"/>
        <v>0</v>
      </c>
      <c r="D59" s="63">
        <f t="shared" si="10"/>
        <v>0</v>
      </c>
      <c r="E59" s="63">
        <f t="shared" si="11"/>
        <v>0</v>
      </c>
      <c r="F59" s="63">
        <f t="shared" si="12"/>
        <v>0</v>
      </c>
      <c r="G59" s="63">
        <f t="shared" si="6"/>
        <v>0</v>
      </c>
      <c r="H59" s="63">
        <f t="shared" si="13"/>
        <v>0</v>
      </c>
      <c r="I59" s="64">
        <f t="shared" si="7"/>
        <v>0</v>
      </c>
      <c r="J59" s="65"/>
      <c r="K59" s="65"/>
      <c r="L59" s="83"/>
      <c r="M59" s="67"/>
      <c r="N59" s="68"/>
      <c r="O59" s="62"/>
      <c r="P59" s="69"/>
      <c r="Q59" s="70"/>
      <c r="R59" s="50">
        <f t="shared" si="8"/>
        <v>0</v>
      </c>
      <c r="S59" s="71"/>
      <c r="T59" s="94"/>
      <c r="U59" s="72"/>
      <c r="V59" s="73"/>
      <c r="W59" s="74"/>
      <c r="X59" s="75"/>
      <c r="Y59" s="75"/>
      <c r="Z59" s="76"/>
      <c r="AA59" s="77"/>
      <c r="AB59" s="74"/>
      <c r="AC59" s="74"/>
      <c r="AD59" s="75"/>
      <c r="AE59" s="75"/>
      <c r="AF59" s="75"/>
      <c r="AG59" s="75"/>
      <c r="AH59" s="75"/>
      <c r="AI59" s="75"/>
      <c r="AJ59" s="78"/>
      <c r="AK59" s="79"/>
      <c r="AL59" s="75"/>
      <c r="AM59" s="75"/>
      <c r="AN59" s="75"/>
      <c r="AO59" s="75"/>
      <c r="AP59" s="75"/>
      <c r="AQ59" s="75"/>
      <c r="AR59" s="75"/>
      <c r="AS59" s="77"/>
      <c r="AT59" s="74"/>
      <c r="AU59" s="78"/>
      <c r="AV59" s="79"/>
      <c r="AW59" s="75"/>
      <c r="AX59" s="75"/>
      <c r="AY59" s="75"/>
      <c r="AZ59" s="77"/>
      <c r="BA59" s="74"/>
      <c r="BB59" s="75"/>
      <c r="BC59" s="75"/>
      <c r="BD59" s="77"/>
      <c r="BE59" s="6">
        <f t="shared" si="14"/>
        <v>0</v>
      </c>
    </row>
    <row r="60" spans="1:57" ht="15" customHeight="1">
      <c r="A60" s="61"/>
      <c r="B60" s="40"/>
      <c r="C60" s="62">
        <f t="shared" si="9"/>
        <v>0</v>
      </c>
      <c r="D60" s="63">
        <f t="shared" si="10"/>
        <v>0</v>
      </c>
      <c r="E60" s="63">
        <f t="shared" si="11"/>
        <v>0</v>
      </c>
      <c r="F60" s="63">
        <f t="shared" si="12"/>
        <v>0</v>
      </c>
      <c r="G60" s="63">
        <f t="shared" si="6"/>
        <v>0</v>
      </c>
      <c r="H60" s="63">
        <f t="shared" si="13"/>
        <v>0</v>
      </c>
      <c r="I60" s="64">
        <f t="shared" si="7"/>
        <v>0</v>
      </c>
      <c r="J60" s="65"/>
      <c r="K60" s="65"/>
      <c r="L60" s="83"/>
      <c r="M60" s="67"/>
      <c r="N60" s="68"/>
      <c r="O60" s="62"/>
      <c r="P60" s="69"/>
      <c r="Q60" s="70"/>
      <c r="R60" s="50">
        <f t="shared" si="8"/>
        <v>0</v>
      </c>
      <c r="S60" s="71"/>
      <c r="T60" s="94"/>
      <c r="U60" s="72"/>
      <c r="V60" s="73"/>
      <c r="W60" s="74"/>
      <c r="X60" s="75"/>
      <c r="Y60" s="75"/>
      <c r="Z60" s="76"/>
      <c r="AA60" s="77"/>
      <c r="AB60" s="74"/>
      <c r="AC60" s="74"/>
      <c r="AD60" s="75"/>
      <c r="AE60" s="75"/>
      <c r="AF60" s="75"/>
      <c r="AG60" s="75"/>
      <c r="AH60" s="75"/>
      <c r="AI60" s="75"/>
      <c r="AJ60" s="78"/>
      <c r="AK60" s="79"/>
      <c r="AL60" s="75"/>
      <c r="AM60" s="75"/>
      <c r="AN60" s="75"/>
      <c r="AO60" s="75"/>
      <c r="AP60" s="75"/>
      <c r="AQ60" s="75"/>
      <c r="AR60" s="75"/>
      <c r="AS60" s="77"/>
      <c r="AT60" s="74"/>
      <c r="AU60" s="78"/>
      <c r="AV60" s="79"/>
      <c r="AW60" s="75"/>
      <c r="AX60" s="75"/>
      <c r="AY60" s="75"/>
      <c r="AZ60" s="77"/>
      <c r="BA60" s="74"/>
      <c r="BB60" s="75"/>
      <c r="BC60" s="75"/>
      <c r="BD60" s="77"/>
      <c r="BE60" s="6">
        <f t="shared" si="14"/>
        <v>0</v>
      </c>
    </row>
    <row r="61" spans="1:57">
      <c r="A61" s="61"/>
      <c r="B61" s="40"/>
      <c r="C61" s="62">
        <f t="shared" si="9"/>
        <v>0</v>
      </c>
      <c r="D61" s="63">
        <f t="shared" si="10"/>
        <v>0</v>
      </c>
      <c r="E61" s="63">
        <f t="shared" si="11"/>
        <v>0</v>
      </c>
      <c r="F61" s="63">
        <f t="shared" si="12"/>
        <v>0</v>
      </c>
      <c r="G61" s="63">
        <f t="shared" si="6"/>
        <v>0</v>
      </c>
      <c r="H61" s="63">
        <f t="shared" si="13"/>
        <v>0</v>
      </c>
      <c r="I61" s="64">
        <f t="shared" si="7"/>
        <v>0</v>
      </c>
      <c r="J61" s="65"/>
      <c r="K61" s="65"/>
      <c r="L61" s="83"/>
      <c r="M61" s="67"/>
      <c r="N61" s="68"/>
      <c r="O61" s="62"/>
      <c r="P61" s="69"/>
      <c r="Q61" s="70"/>
      <c r="R61" s="50">
        <f t="shared" si="8"/>
        <v>0</v>
      </c>
      <c r="S61" s="71"/>
      <c r="T61" s="94"/>
      <c r="U61" s="72"/>
      <c r="V61" s="73"/>
      <c r="W61" s="74"/>
      <c r="X61" s="75"/>
      <c r="Y61" s="75"/>
      <c r="Z61" s="76"/>
      <c r="AA61" s="77"/>
      <c r="AB61" s="74"/>
      <c r="AC61" s="74"/>
      <c r="AD61" s="75"/>
      <c r="AE61" s="75"/>
      <c r="AF61" s="75"/>
      <c r="AG61" s="75"/>
      <c r="AH61" s="75"/>
      <c r="AI61" s="75"/>
      <c r="AJ61" s="78"/>
      <c r="AK61" s="79"/>
      <c r="AL61" s="75"/>
      <c r="AM61" s="75"/>
      <c r="AN61" s="75"/>
      <c r="AO61" s="75"/>
      <c r="AP61" s="75"/>
      <c r="AQ61" s="75"/>
      <c r="AR61" s="75"/>
      <c r="AS61" s="77"/>
      <c r="AT61" s="74"/>
      <c r="AU61" s="78"/>
      <c r="AV61" s="79"/>
      <c r="AW61" s="75"/>
      <c r="AX61" s="75"/>
      <c r="AY61" s="75"/>
      <c r="AZ61" s="77"/>
      <c r="BA61" s="74"/>
      <c r="BB61" s="75"/>
      <c r="BC61" s="75"/>
      <c r="BD61" s="77"/>
      <c r="BE61" s="6">
        <f t="shared" si="14"/>
        <v>0</v>
      </c>
    </row>
    <row r="62" spans="1:57">
      <c r="A62" s="61"/>
      <c r="B62" s="40"/>
      <c r="C62" s="62">
        <f t="shared" si="9"/>
        <v>0</v>
      </c>
      <c r="D62" s="63">
        <f t="shared" si="10"/>
        <v>0</v>
      </c>
      <c r="E62" s="63">
        <f t="shared" si="11"/>
        <v>0</v>
      </c>
      <c r="F62" s="63">
        <f t="shared" si="12"/>
        <v>0</v>
      </c>
      <c r="G62" s="63">
        <f t="shared" si="6"/>
        <v>0</v>
      </c>
      <c r="H62" s="63">
        <f t="shared" si="13"/>
        <v>0</v>
      </c>
      <c r="I62" s="64">
        <f t="shared" si="7"/>
        <v>0</v>
      </c>
      <c r="J62" s="65"/>
      <c r="K62" s="65"/>
      <c r="L62" s="83"/>
      <c r="M62" s="67"/>
      <c r="N62" s="68"/>
      <c r="O62" s="62"/>
      <c r="P62" s="69"/>
      <c r="Q62" s="70"/>
      <c r="R62" s="50">
        <f t="shared" si="8"/>
        <v>0</v>
      </c>
      <c r="S62" s="71"/>
      <c r="T62" s="69"/>
      <c r="U62" s="72"/>
      <c r="V62" s="73"/>
      <c r="W62" s="74"/>
      <c r="X62" s="75"/>
      <c r="Y62" s="75"/>
      <c r="Z62" s="76"/>
      <c r="AA62" s="77"/>
      <c r="AB62" s="106"/>
      <c r="AC62" s="106"/>
      <c r="AD62" s="89"/>
      <c r="AE62" s="89"/>
      <c r="AF62" s="89"/>
      <c r="AG62" s="89"/>
      <c r="AH62" s="89"/>
      <c r="AI62" s="89"/>
      <c r="AJ62" s="90"/>
      <c r="AK62" s="79"/>
      <c r="AL62" s="75"/>
      <c r="AM62" s="75"/>
      <c r="AN62" s="75"/>
      <c r="AO62" s="75"/>
      <c r="AP62" s="75"/>
      <c r="AQ62" s="75"/>
      <c r="AR62" s="75"/>
      <c r="AS62" s="77"/>
      <c r="AT62" s="74"/>
      <c r="AU62" s="78"/>
      <c r="AV62" s="79"/>
      <c r="AW62" s="75"/>
      <c r="AX62" s="75"/>
      <c r="AY62" s="75"/>
      <c r="AZ62" s="77"/>
      <c r="BA62" s="74"/>
      <c r="BB62" s="75"/>
      <c r="BC62" s="75"/>
      <c r="BD62" s="77"/>
      <c r="BE62" s="6">
        <f t="shared" si="14"/>
        <v>0</v>
      </c>
    </row>
    <row r="63" spans="1:57">
      <c r="A63" s="61"/>
      <c r="B63" s="40"/>
      <c r="C63" s="62">
        <f t="shared" si="9"/>
        <v>0</v>
      </c>
      <c r="D63" s="63">
        <f t="shared" si="10"/>
        <v>0</v>
      </c>
      <c r="E63" s="63">
        <f t="shared" si="11"/>
        <v>0</v>
      </c>
      <c r="F63" s="63">
        <f t="shared" si="12"/>
        <v>0</v>
      </c>
      <c r="G63" s="63">
        <f t="shared" si="6"/>
        <v>0</v>
      </c>
      <c r="H63" s="63">
        <f t="shared" si="13"/>
        <v>0</v>
      </c>
      <c r="I63" s="64">
        <f t="shared" si="7"/>
        <v>0</v>
      </c>
      <c r="J63" s="65"/>
      <c r="K63" s="65"/>
      <c r="L63" s="83"/>
      <c r="M63" s="67"/>
      <c r="N63" s="68"/>
      <c r="O63" s="62"/>
      <c r="P63" s="69"/>
      <c r="Q63" s="70"/>
      <c r="R63" s="50">
        <f t="shared" si="8"/>
        <v>0</v>
      </c>
      <c r="S63" s="71"/>
      <c r="T63" s="69"/>
      <c r="U63" s="72"/>
      <c r="V63" s="73"/>
      <c r="W63" s="74"/>
      <c r="X63" s="75"/>
      <c r="Y63" s="75"/>
      <c r="Z63" s="76"/>
      <c r="AA63" s="77"/>
      <c r="AB63" s="74"/>
      <c r="AC63" s="74"/>
      <c r="AD63" s="75"/>
      <c r="AE63" s="75"/>
      <c r="AF63" s="75"/>
      <c r="AG63" s="75"/>
      <c r="AH63" s="75"/>
      <c r="AI63" s="75"/>
      <c r="AJ63" s="78"/>
      <c r="AK63" s="79"/>
      <c r="AL63" s="75"/>
      <c r="AM63" s="75"/>
      <c r="AN63" s="75"/>
      <c r="AO63" s="75"/>
      <c r="AP63" s="75"/>
      <c r="AQ63" s="75"/>
      <c r="AR63" s="75"/>
      <c r="AS63" s="77"/>
      <c r="AT63" s="74"/>
      <c r="AU63" s="78"/>
      <c r="AV63" s="79"/>
      <c r="AW63" s="75"/>
      <c r="AX63" s="75"/>
      <c r="AY63" s="75"/>
      <c r="AZ63" s="77"/>
      <c r="BA63" s="74"/>
      <c r="BB63" s="75"/>
      <c r="BC63" s="75"/>
      <c r="BD63" s="77"/>
      <c r="BE63" s="6">
        <f t="shared" si="14"/>
        <v>0</v>
      </c>
    </row>
    <row r="64" spans="1:57">
      <c r="A64" s="61"/>
      <c r="B64" s="40"/>
      <c r="C64" s="62">
        <f t="shared" si="9"/>
        <v>0</v>
      </c>
      <c r="D64" s="63">
        <f t="shared" si="10"/>
        <v>0</v>
      </c>
      <c r="E64" s="63">
        <f t="shared" si="11"/>
        <v>0</v>
      </c>
      <c r="F64" s="63">
        <f t="shared" si="12"/>
        <v>0</v>
      </c>
      <c r="G64" s="63">
        <f t="shared" si="6"/>
        <v>0</v>
      </c>
      <c r="H64" s="63">
        <f t="shared" si="13"/>
        <v>0</v>
      </c>
      <c r="I64" s="64">
        <f t="shared" si="7"/>
        <v>0</v>
      </c>
      <c r="J64" s="65"/>
      <c r="K64" s="65"/>
      <c r="L64" s="83"/>
      <c r="M64" s="67"/>
      <c r="N64" s="68"/>
      <c r="O64" s="62"/>
      <c r="P64" s="69"/>
      <c r="Q64" s="70"/>
      <c r="R64" s="50">
        <f t="shared" si="8"/>
        <v>0</v>
      </c>
      <c r="S64" s="71"/>
      <c r="T64" s="69"/>
      <c r="U64" s="72"/>
      <c r="V64" s="73"/>
      <c r="W64" s="74"/>
      <c r="X64" s="75"/>
      <c r="Y64" s="75"/>
      <c r="Z64" s="76"/>
      <c r="AA64" s="77"/>
      <c r="AB64" s="106"/>
      <c r="AC64" s="106"/>
      <c r="AD64" s="89"/>
      <c r="AE64" s="89"/>
      <c r="AF64" s="89"/>
      <c r="AG64" s="89"/>
      <c r="AH64" s="89"/>
      <c r="AI64" s="89"/>
      <c r="AJ64" s="90"/>
      <c r="AK64" s="79"/>
      <c r="AL64" s="75"/>
      <c r="AM64" s="75"/>
      <c r="AN64" s="75"/>
      <c r="AO64" s="75"/>
      <c r="AP64" s="75"/>
      <c r="AQ64" s="75"/>
      <c r="AR64" s="75"/>
      <c r="AS64" s="77"/>
      <c r="AT64" s="74"/>
      <c r="AU64" s="78"/>
      <c r="AV64" s="79"/>
      <c r="AW64" s="75"/>
      <c r="AX64" s="75"/>
      <c r="AY64" s="75"/>
      <c r="AZ64" s="77"/>
      <c r="BA64" s="74"/>
      <c r="BB64" s="75"/>
      <c r="BC64" s="75"/>
      <c r="BD64" s="77"/>
      <c r="BE64" s="6">
        <f t="shared" si="14"/>
        <v>0</v>
      </c>
    </row>
    <row r="65" spans="1:57">
      <c r="A65" s="61"/>
      <c r="B65" s="40"/>
      <c r="C65" s="62">
        <f t="shared" si="9"/>
        <v>0</v>
      </c>
      <c r="D65" s="63">
        <f t="shared" si="10"/>
        <v>0</v>
      </c>
      <c r="E65" s="63">
        <f t="shared" si="11"/>
        <v>0</v>
      </c>
      <c r="F65" s="63">
        <f t="shared" si="12"/>
        <v>0</v>
      </c>
      <c r="G65" s="63">
        <f t="shared" si="6"/>
        <v>0</v>
      </c>
      <c r="H65" s="63">
        <f t="shared" si="13"/>
        <v>0</v>
      </c>
      <c r="I65" s="64">
        <f t="shared" si="7"/>
        <v>0</v>
      </c>
      <c r="J65" s="65"/>
      <c r="K65" s="65"/>
      <c r="L65" s="83"/>
      <c r="M65" s="67"/>
      <c r="N65" s="68"/>
      <c r="O65" s="62"/>
      <c r="P65" s="69"/>
      <c r="Q65" s="70"/>
      <c r="R65" s="50">
        <f t="shared" si="8"/>
        <v>0</v>
      </c>
      <c r="S65" s="71"/>
      <c r="T65" s="69"/>
      <c r="U65" s="72"/>
      <c r="V65" s="73"/>
      <c r="W65" s="74"/>
      <c r="X65" s="75"/>
      <c r="Y65" s="75"/>
      <c r="Z65" s="76"/>
      <c r="AA65" s="77"/>
      <c r="AB65" s="74"/>
      <c r="AC65" s="74"/>
      <c r="AD65" s="75"/>
      <c r="AE65" s="75"/>
      <c r="AF65" s="75"/>
      <c r="AG65" s="75"/>
      <c r="AH65" s="75"/>
      <c r="AI65" s="75"/>
      <c r="AJ65" s="78"/>
      <c r="AK65" s="79"/>
      <c r="AL65" s="75"/>
      <c r="AM65" s="75"/>
      <c r="AN65" s="75"/>
      <c r="AO65" s="75"/>
      <c r="AP65" s="75"/>
      <c r="AQ65" s="75"/>
      <c r="AR65" s="75"/>
      <c r="AS65" s="77"/>
      <c r="AT65" s="74"/>
      <c r="AU65" s="78"/>
      <c r="AV65" s="79"/>
      <c r="AW65" s="75"/>
      <c r="AX65" s="75"/>
      <c r="AY65" s="75"/>
      <c r="AZ65" s="77"/>
      <c r="BA65" s="74"/>
      <c r="BB65" s="75"/>
      <c r="BC65" s="75"/>
      <c r="BD65" s="77"/>
      <c r="BE65" s="6">
        <f t="shared" si="14"/>
        <v>0</v>
      </c>
    </row>
    <row r="66" spans="1:57">
      <c r="A66" s="61"/>
      <c r="B66" s="40"/>
      <c r="C66" s="62">
        <f t="shared" si="9"/>
        <v>0</v>
      </c>
      <c r="D66" s="63">
        <f t="shared" si="10"/>
        <v>0</v>
      </c>
      <c r="E66" s="63">
        <f t="shared" si="11"/>
        <v>0</v>
      </c>
      <c r="F66" s="63">
        <f t="shared" si="12"/>
        <v>0</v>
      </c>
      <c r="G66" s="63">
        <f t="shared" si="6"/>
        <v>0</v>
      </c>
      <c r="H66" s="63">
        <f t="shared" si="13"/>
        <v>0</v>
      </c>
      <c r="I66" s="64">
        <f t="shared" si="7"/>
        <v>0</v>
      </c>
      <c r="J66" s="65"/>
      <c r="K66" s="65"/>
      <c r="L66" s="83"/>
      <c r="M66" s="67"/>
      <c r="N66" s="68"/>
      <c r="O66" s="62"/>
      <c r="P66" s="69"/>
      <c r="Q66" s="70"/>
      <c r="R66" s="50">
        <f t="shared" si="8"/>
        <v>0</v>
      </c>
      <c r="S66" s="71"/>
      <c r="T66" s="69"/>
      <c r="U66" s="72"/>
      <c r="V66" s="73"/>
      <c r="W66" s="74"/>
      <c r="X66" s="75"/>
      <c r="Y66" s="75"/>
      <c r="Z66" s="76"/>
      <c r="AA66" s="77"/>
      <c r="AB66" s="106"/>
      <c r="AC66" s="106"/>
      <c r="AD66" s="75"/>
      <c r="AE66" s="75"/>
      <c r="AF66" s="75"/>
      <c r="AG66" s="75"/>
      <c r="AH66" s="75"/>
      <c r="AI66" s="75"/>
      <c r="AJ66" s="78"/>
      <c r="AK66" s="79"/>
      <c r="AL66" s="75"/>
      <c r="AM66" s="75"/>
      <c r="AN66" s="75"/>
      <c r="AO66" s="75"/>
      <c r="AP66" s="75"/>
      <c r="AQ66" s="75"/>
      <c r="AR66" s="75"/>
      <c r="AS66" s="77"/>
      <c r="AT66" s="74"/>
      <c r="AU66" s="78"/>
      <c r="AV66" s="79"/>
      <c r="AW66" s="75"/>
      <c r="AX66" s="75"/>
      <c r="AY66" s="75"/>
      <c r="AZ66" s="77"/>
      <c r="BA66" s="74"/>
      <c r="BB66" s="75"/>
      <c r="BC66" s="75"/>
      <c r="BD66" s="77"/>
      <c r="BE66" s="6">
        <f t="shared" si="14"/>
        <v>0</v>
      </c>
    </row>
    <row r="67" spans="1:57">
      <c r="A67" s="61"/>
      <c r="B67" s="40"/>
      <c r="C67" s="62">
        <f t="shared" si="9"/>
        <v>0</v>
      </c>
      <c r="D67" s="63">
        <f t="shared" si="10"/>
        <v>0</v>
      </c>
      <c r="E67" s="63">
        <f t="shared" si="11"/>
        <v>0</v>
      </c>
      <c r="F67" s="63">
        <f t="shared" si="12"/>
        <v>0</v>
      </c>
      <c r="G67" s="63">
        <f t="shared" si="6"/>
        <v>0</v>
      </c>
      <c r="H67" s="63">
        <f t="shared" si="13"/>
        <v>0</v>
      </c>
      <c r="I67" s="64">
        <f t="shared" si="7"/>
        <v>0</v>
      </c>
      <c r="J67" s="65"/>
      <c r="K67" s="65"/>
      <c r="L67" s="83"/>
      <c r="M67" s="67"/>
      <c r="N67" s="68"/>
      <c r="O67" s="62"/>
      <c r="P67" s="69"/>
      <c r="Q67" s="70"/>
      <c r="R67" s="50">
        <f t="shared" si="8"/>
        <v>0</v>
      </c>
      <c r="S67" s="71"/>
      <c r="T67" s="69"/>
      <c r="U67" s="72"/>
      <c r="V67" s="73"/>
      <c r="W67" s="74"/>
      <c r="X67" s="75"/>
      <c r="Y67" s="75"/>
      <c r="Z67" s="76"/>
      <c r="AA67" s="77"/>
      <c r="AB67" s="74"/>
      <c r="AC67" s="74"/>
      <c r="AD67" s="75"/>
      <c r="AE67" s="75"/>
      <c r="AF67" s="75"/>
      <c r="AG67" s="75"/>
      <c r="AH67" s="75"/>
      <c r="AI67" s="75"/>
      <c r="AJ67" s="78"/>
      <c r="AK67" s="79"/>
      <c r="AL67" s="75"/>
      <c r="AM67" s="75"/>
      <c r="AN67" s="75"/>
      <c r="AO67" s="75"/>
      <c r="AP67" s="75"/>
      <c r="AQ67" s="75"/>
      <c r="AR67" s="75"/>
      <c r="AS67" s="77"/>
      <c r="AT67" s="74"/>
      <c r="AU67" s="78"/>
      <c r="AV67" s="79"/>
      <c r="AW67" s="75"/>
      <c r="AX67" s="75"/>
      <c r="AY67" s="75"/>
      <c r="AZ67" s="77"/>
      <c r="BA67" s="74"/>
      <c r="BB67" s="75"/>
      <c r="BC67" s="75"/>
      <c r="BD67" s="77"/>
      <c r="BE67" s="6">
        <f t="shared" si="14"/>
        <v>0</v>
      </c>
    </row>
    <row r="68" spans="1:57">
      <c r="A68" s="61"/>
      <c r="B68" s="40"/>
      <c r="C68" s="62">
        <f t="shared" si="9"/>
        <v>0</v>
      </c>
      <c r="D68" s="63">
        <f t="shared" si="10"/>
        <v>0</v>
      </c>
      <c r="E68" s="63">
        <f t="shared" si="11"/>
        <v>0</v>
      </c>
      <c r="F68" s="63">
        <f t="shared" si="12"/>
        <v>0</v>
      </c>
      <c r="G68" s="63">
        <f t="shared" si="6"/>
        <v>0</v>
      </c>
      <c r="H68" s="63">
        <f t="shared" si="13"/>
        <v>0</v>
      </c>
      <c r="I68" s="64">
        <f t="shared" si="7"/>
        <v>0</v>
      </c>
      <c r="J68" s="65"/>
      <c r="K68" s="65"/>
      <c r="L68" s="83"/>
      <c r="M68" s="67"/>
      <c r="N68" s="68"/>
      <c r="O68" s="62"/>
      <c r="P68" s="69"/>
      <c r="Q68" s="70"/>
      <c r="R68" s="50">
        <f t="shared" si="8"/>
        <v>0</v>
      </c>
      <c r="S68" s="71"/>
      <c r="T68" s="69"/>
      <c r="U68" s="72"/>
      <c r="V68" s="73"/>
      <c r="W68" s="74"/>
      <c r="X68" s="75"/>
      <c r="Y68" s="75"/>
      <c r="Z68" s="76"/>
      <c r="AA68" s="77"/>
      <c r="AB68" s="106"/>
      <c r="AC68" s="106"/>
      <c r="AD68" s="75"/>
      <c r="AE68" s="75"/>
      <c r="AF68" s="75"/>
      <c r="AG68" s="75"/>
      <c r="AH68" s="75"/>
      <c r="AI68" s="75"/>
      <c r="AJ68" s="78"/>
      <c r="AK68" s="79"/>
      <c r="AL68" s="75"/>
      <c r="AM68" s="75"/>
      <c r="AN68" s="75"/>
      <c r="AO68" s="75"/>
      <c r="AP68" s="75"/>
      <c r="AQ68" s="75"/>
      <c r="AR68" s="75"/>
      <c r="AS68" s="77"/>
      <c r="AT68" s="74"/>
      <c r="AU68" s="78"/>
      <c r="AV68" s="79"/>
      <c r="AW68" s="75"/>
      <c r="AX68" s="75"/>
      <c r="AY68" s="75"/>
      <c r="AZ68" s="77"/>
      <c r="BA68" s="74"/>
      <c r="BB68" s="75"/>
      <c r="BC68" s="75"/>
      <c r="BD68" s="77"/>
      <c r="BE68" s="6">
        <f t="shared" si="14"/>
        <v>0</v>
      </c>
    </row>
    <row r="69" spans="1:57">
      <c r="A69" s="61"/>
      <c r="B69" s="40"/>
      <c r="C69" s="62">
        <f t="shared" ref="C69:C100" si="15">SUM(AB69:AJ69)</f>
        <v>0</v>
      </c>
      <c r="D69" s="63">
        <f t="shared" ref="D69:D100" si="16">SUM(AK69:AS69)</f>
        <v>0</v>
      </c>
      <c r="E69" s="63">
        <f t="shared" ref="E69:E100" si="17">SUM(AT69:AU69)</f>
        <v>0</v>
      </c>
      <c r="F69" s="63">
        <f t="shared" ref="F69:F100" si="18">SUM(AV69:AZ69)</f>
        <v>0</v>
      </c>
      <c r="G69" s="63">
        <f t="shared" si="6"/>
        <v>0</v>
      </c>
      <c r="H69" s="63">
        <f t="shared" ref="H69:H100" si="19">SUM(V69:AA69)</f>
        <v>0</v>
      </c>
      <c r="I69" s="64">
        <f t="shared" si="7"/>
        <v>0</v>
      </c>
      <c r="J69" s="65"/>
      <c r="K69" s="65"/>
      <c r="L69" s="83"/>
      <c r="M69" s="67"/>
      <c r="N69" s="68"/>
      <c r="O69" s="62"/>
      <c r="P69" s="69"/>
      <c r="Q69" s="70"/>
      <c r="R69" s="50">
        <f t="shared" si="8"/>
        <v>0</v>
      </c>
      <c r="S69" s="71"/>
      <c r="T69" s="69"/>
      <c r="U69" s="72"/>
      <c r="V69" s="73"/>
      <c r="W69" s="74"/>
      <c r="X69" s="75"/>
      <c r="Y69" s="75"/>
      <c r="Z69" s="76"/>
      <c r="AA69" s="77"/>
      <c r="AB69" s="74"/>
      <c r="AC69" s="74"/>
      <c r="AD69" s="75"/>
      <c r="AE69" s="75"/>
      <c r="AF69" s="75"/>
      <c r="AG69" s="75"/>
      <c r="AH69" s="75"/>
      <c r="AI69" s="75"/>
      <c r="AJ69" s="78"/>
      <c r="AK69" s="79"/>
      <c r="AL69" s="75"/>
      <c r="AM69" s="75"/>
      <c r="AN69" s="75"/>
      <c r="AO69" s="75"/>
      <c r="AP69" s="75"/>
      <c r="AQ69" s="75"/>
      <c r="AR69" s="75"/>
      <c r="AS69" s="77"/>
      <c r="AT69" s="74"/>
      <c r="AU69" s="78"/>
      <c r="AV69" s="79"/>
      <c r="AW69" s="75"/>
      <c r="AX69" s="75"/>
      <c r="AY69" s="75"/>
      <c r="AZ69" s="77"/>
      <c r="BA69" s="74"/>
      <c r="BB69" s="75"/>
      <c r="BC69" s="75"/>
      <c r="BD69" s="77"/>
      <c r="BE69" s="6">
        <f t="shared" si="14"/>
        <v>0</v>
      </c>
    </row>
    <row r="70" spans="1:57">
      <c r="A70" s="61"/>
      <c r="B70" s="40"/>
      <c r="C70" s="62">
        <f t="shared" si="15"/>
        <v>0</v>
      </c>
      <c r="D70" s="63">
        <f t="shared" si="16"/>
        <v>0</v>
      </c>
      <c r="E70" s="63">
        <f t="shared" si="17"/>
        <v>0</v>
      </c>
      <c r="F70" s="63">
        <f t="shared" si="18"/>
        <v>0</v>
      </c>
      <c r="G70" s="63">
        <f t="shared" ref="G70:G113" si="20">SUM(BA70:BD70)</f>
        <v>0</v>
      </c>
      <c r="H70" s="63">
        <f t="shared" si="19"/>
        <v>0</v>
      </c>
      <c r="I70" s="64">
        <f t="shared" ref="I70:I113" si="21">SUM(C70:H70)</f>
        <v>0</v>
      </c>
      <c r="J70" s="65"/>
      <c r="K70" s="65"/>
      <c r="L70" s="91"/>
      <c r="M70" s="67"/>
      <c r="N70" s="68"/>
      <c r="O70" s="62"/>
      <c r="P70" s="69"/>
      <c r="Q70" s="70"/>
      <c r="R70" s="50">
        <f t="shared" ref="R70:R113" si="22">R69+SUM(N70:Q70)-SUM(I70:M70)</f>
        <v>0</v>
      </c>
      <c r="S70" s="71"/>
      <c r="T70" s="69"/>
      <c r="U70" s="72"/>
      <c r="V70" s="73"/>
      <c r="W70" s="74"/>
      <c r="X70" s="75"/>
      <c r="Y70" s="75"/>
      <c r="Z70" s="76"/>
      <c r="AA70" s="77"/>
      <c r="AB70" s="73"/>
      <c r="AC70" s="74"/>
      <c r="AD70" s="75"/>
      <c r="AE70" s="75"/>
      <c r="AF70" s="75"/>
      <c r="AG70" s="75"/>
      <c r="AH70" s="75"/>
      <c r="AI70" s="75"/>
      <c r="AJ70" s="78"/>
      <c r="AK70" s="79"/>
      <c r="AL70" s="75"/>
      <c r="AM70" s="75"/>
      <c r="AN70" s="75"/>
      <c r="AO70" s="75"/>
      <c r="AP70" s="75"/>
      <c r="AQ70" s="75"/>
      <c r="AR70" s="75"/>
      <c r="AS70" s="77"/>
      <c r="AT70" s="74"/>
      <c r="AU70" s="78"/>
      <c r="AV70" s="79"/>
      <c r="AW70" s="75"/>
      <c r="AX70" s="75"/>
      <c r="AY70" s="75"/>
      <c r="AZ70" s="77"/>
      <c r="BA70" s="74"/>
      <c r="BB70" s="75"/>
      <c r="BC70" s="75"/>
      <c r="BD70" s="77"/>
      <c r="BE70" s="6">
        <f t="shared" si="14"/>
        <v>0</v>
      </c>
    </row>
    <row r="71" spans="1:57">
      <c r="A71" s="61"/>
      <c r="B71" s="40"/>
      <c r="C71" s="62">
        <f t="shared" si="15"/>
        <v>0</v>
      </c>
      <c r="D71" s="63">
        <f t="shared" si="16"/>
        <v>0</v>
      </c>
      <c r="E71" s="63">
        <f t="shared" si="17"/>
        <v>0</v>
      </c>
      <c r="F71" s="63">
        <f t="shared" si="18"/>
        <v>0</v>
      </c>
      <c r="G71" s="63">
        <f t="shared" si="20"/>
        <v>0</v>
      </c>
      <c r="H71" s="63">
        <f t="shared" si="19"/>
        <v>0</v>
      </c>
      <c r="I71" s="64">
        <f t="shared" si="21"/>
        <v>0</v>
      </c>
      <c r="J71" s="65"/>
      <c r="K71" s="65"/>
      <c r="L71" s="83"/>
      <c r="M71" s="67"/>
      <c r="N71" s="68"/>
      <c r="O71" s="62"/>
      <c r="P71" s="69"/>
      <c r="Q71" s="70"/>
      <c r="R71" s="50">
        <f t="shared" si="22"/>
        <v>0</v>
      </c>
      <c r="S71" s="71"/>
      <c r="T71" s="69"/>
      <c r="U71" s="72"/>
      <c r="V71" s="73"/>
      <c r="W71" s="74"/>
      <c r="X71" s="75"/>
      <c r="Y71" s="75"/>
      <c r="Z71" s="76"/>
      <c r="AA71" s="77"/>
      <c r="AB71" s="73"/>
      <c r="AC71" s="74"/>
      <c r="AD71" s="75"/>
      <c r="AE71" s="75"/>
      <c r="AF71" s="75"/>
      <c r="AG71" s="75"/>
      <c r="AH71" s="75"/>
      <c r="AI71" s="75"/>
      <c r="AJ71" s="78"/>
      <c r="AK71" s="79"/>
      <c r="AL71" s="75"/>
      <c r="AM71" s="75"/>
      <c r="AN71" s="75"/>
      <c r="AO71" s="75"/>
      <c r="AP71" s="75"/>
      <c r="AQ71" s="75"/>
      <c r="AR71" s="75"/>
      <c r="AS71" s="77"/>
      <c r="AT71" s="74"/>
      <c r="AU71" s="78"/>
      <c r="AV71" s="79"/>
      <c r="AW71" s="75"/>
      <c r="AX71" s="75"/>
      <c r="AY71" s="75"/>
      <c r="AZ71" s="77"/>
      <c r="BA71" s="74"/>
      <c r="BB71" s="75"/>
      <c r="BC71" s="75"/>
      <c r="BD71" s="77"/>
      <c r="BE71" s="6">
        <f t="shared" si="14"/>
        <v>0</v>
      </c>
    </row>
    <row r="72" spans="1:57">
      <c r="A72" s="61"/>
      <c r="B72" s="40"/>
      <c r="C72" s="62">
        <f t="shared" si="15"/>
        <v>0</v>
      </c>
      <c r="D72" s="63">
        <f t="shared" si="16"/>
        <v>0</v>
      </c>
      <c r="E72" s="63">
        <f t="shared" si="17"/>
        <v>0</v>
      </c>
      <c r="F72" s="63">
        <f t="shared" si="18"/>
        <v>0</v>
      </c>
      <c r="G72" s="63">
        <f t="shared" si="20"/>
        <v>0</v>
      </c>
      <c r="H72" s="63">
        <f t="shared" si="19"/>
        <v>0</v>
      </c>
      <c r="I72" s="64">
        <f t="shared" si="21"/>
        <v>0</v>
      </c>
      <c r="J72" s="65"/>
      <c r="K72" s="65"/>
      <c r="L72" s="83"/>
      <c r="M72" s="67"/>
      <c r="N72" s="68"/>
      <c r="O72" s="62"/>
      <c r="P72" s="69"/>
      <c r="Q72" s="70"/>
      <c r="R72" s="50">
        <f t="shared" si="22"/>
        <v>0</v>
      </c>
      <c r="S72" s="71"/>
      <c r="T72" s="69"/>
      <c r="U72" s="72"/>
      <c r="V72" s="73"/>
      <c r="W72" s="74"/>
      <c r="X72" s="75"/>
      <c r="Y72" s="75"/>
      <c r="Z72" s="76"/>
      <c r="AA72" s="77"/>
      <c r="AB72" s="73"/>
      <c r="AC72" s="74"/>
      <c r="AD72" s="75"/>
      <c r="AE72" s="75"/>
      <c r="AF72" s="75"/>
      <c r="AG72" s="75"/>
      <c r="AH72" s="75"/>
      <c r="AI72" s="75"/>
      <c r="AJ72" s="78"/>
      <c r="AK72" s="79"/>
      <c r="AL72" s="75"/>
      <c r="AM72" s="75"/>
      <c r="AN72" s="75"/>
      <c r="AO72" s="75"/>
      <c r="AP72" s="75"/>
      <c r="AQ72" s="75"/>
      <c r="AR72" s="75"/>
      <c r="AS72" s="77"/>
      <c r="AT72" s="74"/>
      <c r="AU72" s="78"/>
      <c r="AV72" s="79"/>
      <c r="AW72" s="75"/>
      <c r="AX72" s="75"/>
      <c r="AY72" s="75"/>
      <c r="AZ72" s="77"/>
      <c r="BA72" s="74"/>
      <c r="BB72" s="75"/>
      <c r="BC72" s="75"/>
      <c r="BD72" s="77"/>
      <c r="BE72" s="6">
        <f t="shared" si="14"/>
        <v>0</v>
      </c>
    </row>
    <row r="73" spans="1:57">
      <c r="A73" s="61"/>
      <c r="B73" s="40"/>
      <c r="C73" s="62">
        <f t="shared" si="15"/>
        <v>0</v>
      </c>
      <c r="D73" s="63">
        <f t="shared" si="16"/>
        <v>0</v>
      </c>
      <c r="E73" s="63">
        <f t="shared" si="17"/>
        <v>0</v>
      </c>
      <c r="F73" s="63">
        <f t="shared" si="18"/>
        <v>0</v>
      </c>
      <c r="G73" s="63">
        <f t="shared" si="20"/>
        <v>0</v>
      </c>
      <c r="H73" s="63">
        <f t="shared" si="19"/>
        <v>0</v>
      </c>
      <c r="I73" s="64">
        <f t="shared" si="21"/>
        <v>0</v>
      </c>
      <c r="J73" s="65"/>
      <c r="K73" s="65"/>
      <c r="L73" s="83"/>
      <c r="M73" s="67"/>
      <c r="N73" s="68"/>
      <c r="O73" s="62"/>
      <c r="P73" s="69"/>
      <c r="Q73" s="70"/>
      <c r="R73" s="50">
        <f t="shared" si="22"/>
        <v>0</v>
      </c>
      <c r="S73" s="71"/>
      <c r="T73" s="69"/>
      <c r="U73" s="72"/>
      <c r="V73" s="73"/>
      <c r="W73" s="74"/>
      <c r="X73" s="75"/>
      <c r="Y73" s="75"/>
      <c r="Z73" s="76"/>
      <c r="AA73" s="77"/>
      <c r="AB73" s="73"/>
      <c r="AC73" s="74"/>
      <c r="AD73" s="75"/>
      <c r="AE73" s="75"/>
      <c r="AF73" s="75"/>
      <c r="AG73" s="75"/>
      <c r="AH73" s="75"/>
      <c r="AI73" s="75"/>
      <c r="AJ73" s="78"/>
      <c r="AK73" s="79"/>
      <c r="AL73" s="75"/>
      <c r="AM73" s="75"/>
      <c r="AN73" s="75"/>
      <c r="AO73" s="75"/>
      <c r="AP73" s="75"/>
      <c r="AQ73" s="75"/>
      <c r="AR73" s="75"/>
      <c r="AS73" s="77"/>
      <c r="AT73" s="74"/>
      <c r="AU73" s="78"/>
      <c r="AV73" s="79"/>
      <c r="AW73" s="75"/>
      <c r="AX73" s="75"/>
      <c r="AY73" s="75"/>
      <c r="AZ73" s="77"/>
      <c r="BA73" s="74"/>
      <c r="BB73" s="75"/>
      <c r="BC73" s="75"/>
      <c r="BD73" s="77"/>
      <c r="BE73" s="6">
        <f t="shared" si="14"/>
        <v>0</v>
      </c>
    </row>
    <row r="74" spans="1:57">
      <c r="A74" s="61"/>
      <c r="B74" s="40"/>
      <c r="C74" s="62">
        <f t="shared" si="15"/>
        <v>0</v>
      </c>
      <c r="D74" s="63">
        <f t="shared" si="16"/>
        <v>0</v>
      </c>
      <c r="E74" s="63">
        <f t="shared" si="17"/>
        <v>0</v>
      </c>
      <c r="F74" s="63">
        <f t="shared" si="18"/>
        <v>0</v>
      </c>
      <c r="G74" s="63">
        <f t="shared" si="20"/>
        <v>0</v>
      </c>
      <c r="H74" s="63">
        <f t="shared" si="19"/>
        <v>0</v>
      </c>
      <c r="I74" s="64">
        <f t="shared" si="21"/>
        <v>0</v>
      </c>
      <c r="J74" s="65"/>
      <c r="K74" s="65"/>
      <c r="L74" s="100"/>
      <c r="M74" s="67"/>
      <c r="N74" s="68"/>
      <c r="O74" s="62"/>
      <c r="P74" s="69"/>
      <c r="Q74" s="70"/>
      <c r="R74" s="50">
        <f t="shared" si="22"/>
        <v>0</v>
      </c>
      <c r="S74" s="71"/>
      <c r="T74" s="69"/>
      <c r="U74" s="72"/>
      <c r="V74" s="73"/>
      <c r="W74" s="74"/>
      <c r="X74" s="75"/>
      <c r="Y74" s="75"/>
      <c r="Z74" s="76"/>
      <c r="AA74" s="77"/>
      <c r="AB74" s="73"/>
      <c r="AC74" s="74"/>
      <c r="AD74" s="75"/>
      <c r="AE74" s="75"/>
      <c r="AF74" s="75"/>
      <c r="AG74" s="75"/>
      <c r="AH74" s="75"/>
      <c r="AI74" s="75"/>
      <c r="AJ74" s="78"/>
      <c r="AK74" s="79"/>
      <c r="AL74" s="75"/>
      <c r="AM74" s="75"/>
      <c r="AN74" s="75"/>
      <c r="AO74" s="75"/>
      <c r="AP74" s="75"/>
      <c r="AQ74" s="75"/>
      <c r="AR74" s="75"/>
      <c r="AS74" s="77"/>
      <c r="AT74" s="74"/>
      <c r="AU74" s="78"/>
      <c r="AV74" s="79"/>
      <c r="AW74" s="75"/>
      <c r="AX74" s="75"/>
      <c r="AY74" s="75"/>
      <c r="AZ74" s="77"/>
      <c r="BA74" s="74"/>
      <c r="BB74" s="75"/>
      <c r="BC74" s="75"/>
      <c r="BD74" s="77"/>
      <c r="BE74" s="6">
        <f t="shared" si="14"/>
        <v>0</v>
      </c>
    </row>
    <row r="75" spans="1:57">
      <c r="A75" s="61"/>
      <c r="B75" s="40"/>
      <c r="C75" s="62">
        <f t="shared" si="15"/>
        <v>0</v>
      </c>
      <c r="D75" s="63">
        <f t="shared" si="16"/>
        <v>0</v>
      </c>
      <c r="E75" s="63">
        <f t="shared" si="17"/>
        <v>0</v>
      </c>
      <c r="F75" s="63">
        <f t="shared" si="18"/>
        <v>0</v>
      </c>
      <c r="G75" s="63">
        <f t="shared" si="20"/>
        <v>0</v>
      </c>
      <c r="H75" s="63">
        <f t="shared" si="19"/>
        <v>0</v>
      </c>
      <c r="I75" s="64">
        <f t="shared" si="21"/>
        <v>0</v>
      </c>
      <c r="J75" s="65"/>
      <c r="K75" s="65"/>
      <c r="L75" s="83"/>
      <c r="M75" s="67"/>
      <c r="N75" s="68"/>
      <c r="O75" s="62"/>
      <c r="P75" s="69"/>
      <c r="Q75" s="70"/>
      <c r="R75" s="50">
        <f t="shared" si="22"/>
        <v>0</v>
      </c>
      <c r="S75" s="71"/>
      <c r="T75" s="69"/>
      <c r="U75" s="72"/>
      <c r="V75" s="73"/>
      <c r="W75" s="74"/>
      <c r="X75" s="75"/>
      <c r="Y75" s="75"/>
      <c r="Z75" s="76"/>
      <c r="AA75" s="77"/>
      <c r="AB75" s="73"/>
      <c r="AC75" s="74"/>
      <c r="AD75" s="75"/>
      <c r="AE75" s="75"/>
      <c r="AF75" s="75"/>
      <c r="AG75" s="75"/>
      <c r="AH75" s="75"/>
      <c r="AI75" s="75"/>
      <c r="AJ75" s="78"/>
      <c r="AK75" s="79"/>
      <c r="AL75" s="75"/>
      <c r="AM75" s="75"/>
      <c r="AN75" s="75"/>
      <c r="AO75" s="75"/>
      <c r="AP75" s="75"/>
      <c r="AQ75" s="75"/>
      <c r="AR75" s="75"/>
      <c r="AS75" s="77"/>
      <c r="AT75" s="74"/>
      <c r="AU75" s="78"/>
      <c r="AV75" s="79"/>
      <c r="AW75" s="75"/>
      <c r="AX75" s="75"/>
      <c r="AY75" s="75"/>
      <c r="AZ75" s="77"/>
      <c r="BA75" s="74"/>
      <c r="BB75" s="75"/>
      <c r="BC75" s="75"/>
      <c r="BD75" s="77"/>
      <c r="BE75" s="6">
        <f t="shared" si="14"/>
        <v>0</v>
      </c>
    </row>
    <row r="76" spans="1:57">
      <c r="A76" s="61"/>
      <c r="B76" s="40"/>
      <c r="C76" s="62">
        <f t="shared" si="15"/>
        <v>0</v>
      </c>
      <c r="D76" s="63">
        <f t="shared" si="16"/>
        <v>0</v>
      </c>
      <c r="E76" s="63">
        <f t="shared" si="17"/>
        <v>0</v>
      </c>
      <c r="F76" s="63">
        <f t="shared" si="18"/>
        <v>0</v>
      </c>
      <c r="G76" s="63">
        <f t="shared" si="20"/>
        <v>0</v>
      </c>
      <c r="H76" s="63">
        <f t="shared" si="19"/>
        <v>0</v>
      </c>
      <c r="I76" s="64">
        <f t="shared" si="21"/>
        <v>0</v>
      </c>
      <c r="J76" s="65"/>
      <c r="K76" s="65"/>
      <c r="L76" s="83"/>
      <c r="M76" s="67"/>
      <c r="N76" s="68"/>
      <c r="O76" s="62"/>
      <c r="P76" s="69"/>
      <c r="Q76" s="70"/>
      <c r="R76" s="50">
        <f t="shared" si="22"/>
        <v>0</v>
      </c>
      <c r="S76" s="71"/>
      <c r="T76" s="85"/>
      <c r="U76" s="72"/>
      <c r="V76" s="73"/>
      <c r="W76" s="74"/>
      <c r="X76" s="75"/>
      <c r="Y76" s="75"/>
      <c r="Z76" s="76"/>
      <c r="AA76" s="77"/>
      <c r="AB76" s="73"/>
      <c r="AC76" s="74"/>
      <c r="AD76" s="75"/>
      <c r="AE76" s="75"/>
      <c r="AF76" s="75"/>
      <c r="AG76" s="75"/>
      <c r="AH76" s="75"/>
      <c r="AI76" s="75"/>
      <c r="AJ76" s="78"/>
      <c r="AK76" s="79"/>
      <c r="AL76" s="75"/>
      <c r="AM76" s="75"/>
      <c r="AN76" s="75"/>
      <c r="AO76" s="75"/>
      <c r="AP76" s="75"/>
      <c r="AQ76" s="75"/>
      <c r="AR76" s="75"/>
      <c r="AS76" s="77"/>
      <c r="AT76" s="74"/>
      <c r="AU76" s="78"/>
      <c r="AV76" s="79"/>
      <c r="AW76" s="75"/>
      <c r="AX76" s="75"/>
      <c r="AY76" s="75"/>
      <c r="AZ76" s="77"/>
      <c r="BA76" s="74"/>
      <c r="BB76" s="75"/>
      <c r="BC76" s="75"/>
      <c r="BD76" s="77"/>
      <c r="BE76" s="6">
        <f t="shared" si="14"/>
        <v>0</v>
      </c>
    </row>
    <row r="77" spans="1:57">
      <c r="A77" s="61"/>
      <c r="B77" s="40"/>
      <c r="C77" s="62">
        <f t="shared" si="15"/>
        <v>0</v>
      </c>
      <c r="D77" s="63">
        <f t="shared" si="16"/>
        <v>0</v>
      </c>
      <c r="E77" s="63">
        <f t="shared" si="17"/>
        <v>0</v>
      </c>
      <c r="F77" s="63">
        <f t="shared" si="18"/>
        <v>0</v>
      </c>
      <c r="G77" s="63">
        <f t="shared" si="20"/>
        <v>0</v>
      </c>
      <c r="H77" s="63">
        <f t="shared" si="19"/>
        <v>0</v>
      </c>
      <c r="I77" s="64">
        <f t="shared" si="21"/>
        <v>0</v>
      </c>
      <c r="J77" s="65"/>
      <c r="K77" s="65"/>
      <c r="L77" s="83"/>
      <c r="M77" s="67"/>
      <c r="N77" s="68"/>
      <c r="O77" s="62"/>
      <c r="P77" s="69"/>
      <c r="Q77" s="70"/>
      <c r="R77" s="50">
        <f t="shared" si="22"/>
        <v>0</v>
      </c>
      <c r="S77" s="71"/>
      <c r="T77" s="94"/>
      <c r="U77" s="72"/>
      <c r="V77" s="73"/>
      <c r="W77" s="74"/>
      <c r="X77" s="75"/>
      <c r="Y77" s="75"/>
      <c r="Z77" s="76"/>
      <c r="AA77" s="77"/>
      <c r="AB77" s="73"/>
      <c r="AC77" s="74"/>
      <c r="AD77" s="75"/>
      <c r="AE77" s="75"/>
      <c r="AF77" s="75"/>
      <c r="AG77" s="75"/>
      <c r="AH77" s="75"/>
      <c r="AI77" s="75"/>
      <c r="AJ77" s="78"/>
      <c r="AK77" s="79"/>
      <c r="AL77" s="75"/>
      <c r="AM77" s="75"/>
      <c r="AN77" s="75"/>
      <c r="AO77" s="75"/>
      <c r="AP77" s="75"/>
      <c r="AQ77" s="75"/>
      <c r="AR77" s="75"/>
      <c r="AS77" s="77"/>
      <c r="AT77" s="74"/>
      <c r="AU77" s="78"/>
      <c r="AV77" s="79"/>
      <c r="AW77" s="75"/>
      <c r="AX77" s="75"/>
      <c r="AY77" s="75"/>
      <c r="AZ77" s="77"/>
      <c r="BA77" s="74"/>
      <c r="BB77" s="75"/>
      <c r="BC77" s="75"/>
      <c r="BD77" s="77"/>
      <c r="BE77" s="6">
        <f t="shared" si="14"/>
        <v>0</v>
      </c>
    </row>
    <row r="78" spans="1:57">
      <c r="A78" s="61"/>
      <c r="B78" s="40"/>
      <c r="C78" s="62">
        <f t="shared" si="15"/>
        <v>0</v>
      </c>
      <c r="D78" s="63">
        <f t="shared" si="16"/>
        <v>0</v>
      </c>
      <c r="E78" s="63">
        <f t="shared" si="17"/>
        <v>0</v>
      </c>
      <c r="F78" s="63">
        <f t="shared" si="18"/>
        <v>0</v>
      </c>
      <c r="G78" s="63">
        <f t="shared" si="20"/>
        <v>0</v>
      </c>
      <c r="H78" s="63">
        <f t="shared" si="19"/>
        <v>0</v>
      </c>
      <c r="I78" s="64">
        <f t="shared" si="21"/>
        <v>0</v>
      </c>
      <c r="J78" s="65"/>
      <c r="K78" s="91"/>
      <c r="L78" s="83"/>
      <c r="M78" s="67"/>
      <c r="N78" s="68"/>
      <c r="O78" s="62"/>
      <c r="P78" s="69"/>
      <c r="Q78" s="70"/>
      <c r="R78" s="50">
        <f t="shared" si="22"/>
        <v>0</v>
      </c>
      <c r="S78" s="71"/>
      <c r="T78" s="94"/>
      <c r="U78" s="72"/>
      <c r="V78" s="73"/>
      <c r="W78" s="74"/>
      <c r="X78" s="75"/>
      <c r="Y78" s="75"/>
      <c r="Z78" s="76"/>
      <c r="AA78" s="77"/>
      <c r="AB78" s="73"/>
      <c r="AC78" s="74"/>
      <c r="AD78" s="75"/>
      <c r="AE78" s="75"/>
      <c r="AF78" s="75"/>
      <c r="AG78" s="75"/>
      <c r="AH78" s="75"/>
      <c r="AI78" s="75"/>
      <c r="AJ78" s="78"/>
      <c r="AK78" s="79"/>
      <c r="AL78" s="75"/>
      <c r="AM78" s="75"/>
      <c r="AN78" s="75"/>
      <c r="AO78" s="75"/>
      <c r="AP78" s="75"/>
      <c r="AQ78" s="75"/>
      <c r="AR78" s="75"/>
      <c r="AS78" s="77"/>
      <c r="AT78" s="74"/>
      <c r="AU78" s="78"/>
      <c r="AV78" s="79"/>
      <c r="AW78" s="75"/>
      <c r="AX78" s="75"/>
      <c r="AY78" s="75"/>
      <c r="AZ78" s="77"/>
      <c r="BA78" s="74"/>
      <c r="BB78" s="75"/>
      <c r="BC78" s="75"/>
      <c r="BD78" s="77"/>
      <c r="BE78" s="6">
        <f t="shared" si="14"/>
        <v>0</v>
      </c>
    </row>
    <row r="79" spans="1:57">
      <c r="A79" s="61"/>
      <c r="B79" s="40"/>
      <c r="C79" s="62">
        <f t="shared" si="15"/>
        <v>0</v>
      </c>
      <c r="D79" s="63">
        <f t="shared" si="16"/>
        <v>0</v>
      </c>
      <c r="E79" s="63">
        <f t="shared" si="17"/>
        <v>0</v>
      </c>
      <c r="F79" s="63">
        <f t="shared" si="18"/>
        <v>0</v>
      </c>
      <c r="G79" s="63">
        <f t="shared" si="20"/>
        <v>0</v>
      </c>
      <c r="H79" s="63">
        <f t="shared" si="19"/>
        <v>0</v>
      </c>
      <c r="I79" s="64">
        <f t="shared" si="21"/>
        <v>0</v>
      </c>
      <c r="J79" s="65"/>
      <c r="K79" s="65"/>
      <c r="L79" s="83"/>
      <c r="M79" s="67"/>
      <c r="N79" s="68"/>
      <c r="O79" s="62"/>
      <c r="P79" s="69"/>
      <c r="Q79" s="70"/>
      <c r="R79" s="50">
        <f t="shared" si="22"/>
        <v>0</v>
      </c>
      <c r="S79" s="92"/>
      <c r="T79" s="69"/>
      <c r="U79" s="72"/>
      <c r="V79" s="73"/>
      <c r="W79" s="74"/>
      <c r="X79" s="75"/>
      <c r="Y79" s="75"/>
      <c r="Z79" s="76"/>
      <c r="AA79" s="77"/>
      <c r="AB79" s="73"/>
      <c r="AC79" s="74"/>
      <c r="AD79" s="75"/>
      <c r="AE79" s="75"/>
      <c r="AF79" s="75"/>
      <c r="AG79" s="75"/>
      <c r="AH79" s="75"/>
      <c r="AI79" s="75"/>
      <c r="AJ79" s="78"/>
      <c r="AK79" s="79"/>
      <c r="AL79" s="75"/>
      <c r="AM79" s="75"/>
      <c r="AN79" s="75"/>
      <c r="AO79" s="75"/>
      <c r="AP79" s="75"/>
      <c r="AQ79" s="75"/>
      <c r="AR79" s="75"/>
      <c r="AS79" s="77"/>
      <c r="AT79" s="74"/>
      <c r="AU79" s="78"/>
      <c r="AV79" s="79"/>
      <c r="AW79" s="75"/>
      <c r="AX79" s="75"/>
      <c r="AY79" s="75"/>
      <c r="AZ79" s="77"/>
      <c r="BA79" s="74"/>
      <c r="BB79" s="75"/>
      <c r="BC79" s="75"/>
      <c r="BD79" s="77"/>
      <c r="BE79" s="6">
        <f t="shared" ref="BE79:BE110" si="23">I79-SUM(AB79:BD79)</f>
        <v>0</v>
      </c>
    </row>
    <row r="80" spans="1:57">
      <c r="A80" s="61"/>
      <c r="B80" s="40"/>
      <c r="C80" s="62">
        <f t="shared" si="15"/>
        <v>0</v>
      </c>
      <c r="D80" s="63">
        <f t="shared" si="16"/>
        <v>0</v>
      </c>
      <c r="E80" s="63">
        <f t="shared" si="17"/>
        <v>0</v>
      </c>
      <c r="F80" s="63">
        <f t="shared" si="18"/>
        <v>0</v>
      </c>
      <c r="G80" s="63">
        <f t="shared" si="20"/>
        <v>0</v>
      </c>
      <c r="H80" s="63">
        <f t="shared" si="19"/>
        <v>0</v>
      </c>
      <c r="I80" s="64">
        <f t="shared" si="21"/>
        <v>0</v>
      </c>
      <c r="J80" s="65"/>
      <c r="K80" s="65"/>
      <c r="L80" s="83"/>
      <c r="M80" s="67"/>
      <c r="N80" s="68"/>
      <c r="O80" s="62"/>
      <c r="P80" s="69"/>
      <c r="Q80" s="70"/>
      <c r="R80" s="50">
        <f t="shared" si="22"/>
        <v>0</v>
      </c>
      <c r="S80" s="71"/>
      <c r="T80" s="69"/>
      <c r="U80" s="72"/>
      <c r="V80" s="73"/>
      <c r="W80" s="74"/>
      <c r="X80" s="75"/>
      <c r="Y80" s="75"/>
      <c r="Z80" s="76"/>
      <c r="AA80" s="77"/>
      <c r="AB80" s="73"/>
      <c r="AC80" s="74"/>
      <c r="AD80" s="75"/>
      <c r="AE80" s="75"/>
      <c r="AF80" s="75"/>
      <c r="AG80" s="75"/>
      <c r="AH80" s="75"/>
      <c r="AI80" s="75"/>
      <c r="AJ80" s="78"/>
      <c r="AK80" s="79"/>
      <c r="AL80" s="75"/>
      <c r="AM80" s="75"/>
      <c r="AN80" s="75"/>
      <c r="AO80" s="75"/>
      <c r="AP80" s="75"/>
      <c r="AQ80" s="75"/>
      <c r="AR80" s="75"/>
      <c r="AS80" s="77"/>
      <c r="AT80" s="74"/>
      <c r="AU80" s="78"/>
      <c r="AV80" s="79"/>
      <c r="AW80" s="75"/>
      <c r="AX80" s="75"/>
      <c r="AY80" s="75"/>
      <c r="AZ80" s="77"/>
      <c r="BA80" s="74"/>
      <c r="BB80" s="75"/>
      <c r="BC80" s="75"/>
      <c r="BD80" s="77"/>
      <c r="BE80" s="6">
        <f t="shared" si="23"/>
        <v>0</v>
      </c>
    </row>
    <row r="81" spans="1:57">
      <c r="A81" s="61"/>
      <c r="B81" s="40"/>
      <c r="C81" s="62">
        <f t="shared" si="15"/>
        <v>0</v>
      </c>
      <c r="D81" s="63">
        <f t="shared" si="16"/>
        <v>0</v>
      </c>
      <c r="E81" s="63">
        <f t="shared" si="17"/>
        <v>0</v>
      </c>
      <c r="F81" s="63">
        <f t="shared" si="18"/>
        <v>0</v>
      </c>
      <c r="G81" s="63">
        <f t="shared" si="20"/>
        <v>0</v>
      </c>
      <c r="H81" s="63">
        <f t="shared" si="19"/>
        <v>0</v>
      </c>
      <c r="I81" s="64">
        <f t="shared" si="21"/>
        <v>0</v>
      </c>
      <c r="J81" s="65"/>
      <c r="K81" s="65"/>
      <c r="L81" s="83"/>
      <c r="M81" s="67"/>
      <c r="N81" s="68"/>
      <c r="O81" s="62"/>
      <c r="P81" s="69"/>
      <c r="Q81" s="70"/>
      <c r="R81" s="50">
        <f t="shared" si="22"/>
        <v>0</v>
      </c>
      <c r="S81" s="71"/>
      <c r="T81" s="94"/>
      <c r="U81" s="72"/>
      <c r="V81" s="73"/>
      <c r="W81" s="74"/>
      <c r="X81" s="75"/>
      <c r="Y81" s="75"/>
      <c r="Z81" s="76"/>
      <c r="AA81" s="77"/>
      <c r="AB81" s="73"/>
      <c r="AC81" s="74"/>
      <c r="AD81" s="75"/>
      <c r="AE81" s="75"/>
      <c r="AF81" s="75"/>
      <c r="AG81" s="75"/>
      <c r="AH81" s="75"/>
      <c r="AI81" s="75"/>
      <c r="AJ81" s="78"/>
      <c r="AK81" s="79"/>
      <c r="AL81" s="75"/>
      <c r="AM81" s="75"/>
      <c r="AN81" s="75"/>
      <c r="AO81" s="75"/>
      <c r="AP81" s="75"/>
      <c r="AQ81" s="75"/>
      <c r="AR81" s="75"/>
      <c r="AS81" s="77"/>
      <c r="AT81" s="74"/>
      <c r="AU81" s="78"/>
      <c r="AV81" s="79"/>
      <c r="AW81" s="75"/>
      <c r="AX81" s="75"/>
      <c r="AY81" s="75"/>
      <c r="AZ81" s="77"/>
      <c r="BA81" s="74"/>
      <c r="BB81" s="75"/>
      <c r="BC81" s="75"/>
      <c r="BD81" s="77"/>
      <c r="BE81" s="6">
        <f t="shared" si="23"/>
        <v>0</v>
      </c>
    </row>
    <row r="82" spans="1:57">
      <c r="A82" s="61"/>
      <c r="B82" s="40"/>
      <c r="C82" s="62">
        <f t="shared" si="15"/>
        <v>0</v>
      </c>
      <c r="D82" s="63">
        <f t="shared" si="16"/>
        <v>0</v>
      </c>
      <c r="E82" s="63">
        <f t="shared" si="17"/>
        <v>0</v>
      </c>
      <c r="F82" s="63">
        <f t="shared" si="18"/>
        <v>0</v>
      </c>
      <c r="G82" s="63">
        <f t="shared" si="20"/>
        <v>0</v>
      </c>
      <c r="H82" s="63">
        <f t="shared" si="19"/>
        <v>0</v>
      </c>
      <c r="I82" s="64">
        <f t="shared" si="21"/>
        <v>0</v>
      </c>
      <c r="J82" s="65"/>
      <c r="K82" s="91"/>
      <c r="L82" s="83"/>
      <c r="M82" s="67"/>
      <c r="N82" s="68"/>
      <c r="O82" s="62"/>
      <c r="P82" s="69"/>
      <c r="Q82" s="70"/>
      <c r="R82" s="50">
        <f t="shared" si="22"/>
        <v>0</v>
      </c>
      <c r="S82" s="71"/>
      <c r="T82" s="94"/>
      <c r="U82" s="72"/>
      <c r="V82" s="73"/>
      <c r="W82" s="74"/>
      <c r="X82" s="75"/>
      <c r="Y82" s="75"/>
      <c r="Z82" s="76"/>
      <c r="AA82" s="77"/>
      <c r="AB82" s="73"/>
      <c r="AC82" s="74"/>
      <c r="AD82" s="75"/>
      <c r="AE82" s="75"/>
      <c r="AF82" s="75"/>
      <c r="AG82" s="75"/>
      <c r="AH82" s="75"/>
      <c r="AI82" s="75"/>
      <c r="AJ82" s="78"/>
      <c r="AK82" s="79"/>
      <c r="AL82" s="75"/>
      <c r="AM82" s="75"/>
      <c r="AN82" s="75"/>
      <c r="AO82" s="75"/>
      <c r="AP82" s="75"/>
      <c r="AQ82" s="75"/>
      <c r="AR82" s="75"/>
      <c r="AS82" s="77"/>
      <c r="AT82" s="74"/>
      <c r="AU82" s="78"/>
      <c r="AV82" s="79"/>
      <c r="AW82" s="75"/>
      <c r="AX82" s="75"/>
      <c r="AY82" s="75"/>
      <c r="AZ82" s="77"/>
      <c r="BA82" s="74"/>
      <c r="BB82" s="75"/>
      <c r="BC82" s="75"/>
      <c r="BD82" s="77"/>
      <c r="BE82" s="6">
        <f t="shared" si="23"/>
        <v>0</v>
      </c>
    </row>
    <row r="83" spans="1:57">
      <c r="A83" s="61"/>
      <c r="B83" s="40"/>
      <c r="C83" s="62">
        <f t="shared" si="15"/>
        <v>0</v>
      </c>
      <c r="D83" s="63">
        <f t="shared" si="16"/>
        <v>0</v>
      </c>
      <c r="E83" s="63">
        <f t="shared" si="17"/>
        <v>0</v>
      </c>
      <c r="F83" s="63">
        <f t="shared" si="18"/>
        <v>0</v>
      </c>
      <c r="G83" s="63">
        <f t="shared" si="20"/>
        <v>0</v>
      </c>
      <c r="H83" s="63">
        <f t="shared" si="19"/>
        <v>0</v>
      </c>
      <c r="I83" s="64">
        <f t="shared" si="21"/>
        <v>0</v>
      </c>
      <c r="J83" s="65"/>
      <c r="K83" s="91"/>
      <c r="L83" s="83"/>
      <c r="M83" s="67"/>
      <c r="N83" s="68"/>
      <c r="O83" s="62"/>
      <c r="P83" s="69"/>
      <c r="Q83" s="70"/>
      <c r="R83" s="50">
        <f t="shared" si="22"/>
        <v>0</v>
      </c>
      <c r="S83" s="71"/>
      <c r="T83" s="69"/>
      <c r="U83" s="72"/>
      <c r="V83" s="73"/>
      <c r="W83" s="74"/>
      <c r="X83" s="75"/>
      <c r="Y83" s="75"/>
      <c r="Z83" s="76"/>
      <c r="AA83" s="77"/>
      <c r="AB83" s="73"/>
      <c r="AC83" s="74"/>
      <c r="AD83" s="75"/>
      <c r="AE83" s="75"/>
      <c r="AF83" s="75"/>
      <c r="AG83" s="75"/>
      <c r="AH83" s="75"/>
      <c r="AI83" s="75"/>
      <c r="AJ83" s="78"/>
      <c r="AK83" s="79"/>
      <c r="AL83" s="75"/>
      <c r="AM83" s="75"/>
      <c r="AN83" s="75"/>
      <c r="AO83" s="75"/>
      <c r="AP83" s="75"/>
      <c r="AQ83" s="75"/>
      <c r="AR83" s="75"/>
      <c r="AS83" s="77"/>
      <c r="AT83" s="74"/>
      <c r="AU83" s="78"/>
      <c r="AV83" s="79"/>
      <c r="AW83" s="75"/>
      <c r="AX83" s="75"/>
      <c r="AY83" s="75"/>
      <c r="AZ83" s="77"/>
      <c r="BA83" s="74"/>
      <c r="BB83" s="75"/>
      <c r="BC83" s="75"/>
      <c r="BD83" s="77"/>
      <c r="BE83" s="6">
        <f t="shared" si="23"/>
        <v>0</v>
      </c>
    </row>
    <row r="84" spans="1:57">
      <c r="A84" s="61"/>
      <c r="B84" s="40"/>
      <c r="C84" s="62">
        <f t="shared" si="15"/>
        <v>0</v>
      </c>
      <c r="D84" s="63">
        <f t="shared" si="16"/>
        <v>0</v>
      </c>
      <c r="E84" s="63">
        <f t="shared" si="17"/>
        <v>0</v>
      </c>
      <c r="F84" s="63">
        <f t="shared" si="18"/>
        <v>0</v>
      </c>
      <c r="G84" s="63">
        <f t="shared" si="20"/>
        <v>0</v>
      </c>
      <c r="H84" s="63">
        <f t="shared" si="19"/>
        <v>0</v>
      </c>
      <c r="I84" s="64">
        <f t="shared" si="21"/>
        <v>0</v>
      </c>
      <c r="J84" s="65"/>
      <c r="K84" s="65"/>
      <c r="L84" s="83"/>
      <c r="M84" s="67"/>
      <c r="N84" s="68"/>
      <c r="O84" s="62"/>
      <c r="P84" s="69"/>
      <c r="Q84" s="70"/>
      <c r="R84" s="50">
        <f t="shared" si="22"/>
        <v>0</v>
      </c>
      <c r="S84" s="71"/>
      <c r="T84" s="94"/>
      <c r="U84" s="72"/>
      <c r="V84" s="73"/>
      <c r="W84" s="74"/>
      <c r="X84" s="75"/>
      <c r="Y84" s="75"/>
      <c r="Z84" s="76"/>
      <c r="AA84" s="77"/>
      <c r="AB84" s="73"/>
      <c r="AC84" s="74"/>
      <c r="AD84" s="75"/>
      <c r="AE84" s="75"/>
      <c r="AF84" s="75"/>
      <c r="AG84" s="75"/>
      <c r="AH84" s="75"/>
      <c r="AI84" s="75"/>
      <c r="AJ84" s="78"/>
      <c r="AK84" s="79"/>
      <c r="AL84" s="75"/>
      <c r="AM84" s="75"/>
      <c r="AN84" s="75"/>
      <c r="AO84" s="75"/>
      <c r="AP84" s="75"/>
      <c r="AQ84" s="75"/>
      <c r="AR84" s="75"/>
      <c r="AS84" s="77"/>
      <c r="AT84" s="74"/>
      <c r="AU84" s="78"/>
      <c r="AV84" s="79"/>
      <c r="AW84" s="75"/>
      <c r="AX84" s="75"/>
      <c r="AY84" s="75"/>
      <c r="AZ84" s="77"/>
      <c r="BA84" s="74"/>
      <c r="BB84" s="75"/>
      <c r="BC84" s="75"/>
      <c r="BD84" s="77"/>
      <c r="BE84" s="6">
        <f t="shared" si="23"/>
        <v>0</v>
      </c>
    </row>
    <row r="85" spans="1:57">
      <c r="A85" s="61"/>
      <c r="B85" s="40"/>
      <c r="C85" s="62">
        <f t="shared" si="15"/>
        <v>0</v>
      </c>
      <c r="D85" s="63">
        <f t="shared" si="16"/>
        <v>0</v>
      </c>
      <c r="E85" s="63">
        <f t="shared" si="17"/>
        <v>0</v>
      </c>
      <c r="F85" s="63">
        <f t="shared" si="18"/>
        <v>0</v>
      </c>
      <c r="G85" s="63">
        <f t="shared" si="20"/>
        <v>0</v>
      </c>
      <c r="H85" s="63">
        <f t="shared" si="19"/>
        <v>0</v>
      </c>
      <c r="I85" s="64">
        <f t="shared" si="21"/>
        <v>0</v>
      </c>
      <c r="J85" s="65"/>
      <c r="K85" s="65"/>
      <c r="L85" s="83"/>
      <c r="M85" s="67"/>
      <c r="N85" s="68"/>
      <c r="O85" s="62"/>
      <c r="P85" s="69"/>
      <c r="Q85" s="70"/>
      <c r="R85" s="50">
        <f t="shared" si="22"/>
        <v>0</v>
      </c>
      <c r="S85" s="71"/>
      <c r="T85" s="94"/>
      <c r="U85" s="72"/>
      <c r="V85" s="73"/>
      <c r="W85" s="74"/>
      <c r="X85" s="75"/>
      <c r="Y85" s="75"/>
      <c r="Z85" s="76"/>
      <c r="AA85" s="77"/>
      <c r="AB85" s="73"/>
      <c r="AC85" s="74"/>
      <c r="AD85" s="75"/>
      <c r="AE85" s="75"/>
      <c r="AF85" s="75"/>
      <c r="AG85" s="75"/>
      <c r="AH85" s="75"/>
      <c r="AI85" s="75"/>
      <c r="AJ85" s="78"/>
      <c r="AK85" s="79"/>
      <c r="AL85" s="75"/>
      <c r="AM85" s="75"/>
      <c r="AN85" s="75"/>
      <c r="AO85" s="75"/>
      <c r="AP85" s="75"/>
      <c r="AQ85" s="75"/>
      <c r="AR85" s="75"/>
      <c r="AS85" s="77"/>
      <c r="AT85" s="74"/>
      <c r="AU85" s="78"/>
      <c r="AV85" s="79"/>
      <c r="AW85" s="75"/>
      <c r="AX85" s="75"/>
      <c r="AY85" s="75"/>
      <c r="AZ85" s="77"/>
      <c r="BA85" s="74"/>
      <c r="BB85" s="75"/>
      <c r="BC85" s="75"/>
      <c r="BD85" s="77"/>
      <c r="BE85" s="6">
        <f t="shared" si="23"/>
        <v>0</v>
      </c>
    </row>
    <row r="86" spans="1:57">
      <c r="A86" s="61"/>
      <c r="B86" s="40"/>
      <c r="C86" s="62">
        <f t="shared" si="15"/>
        <v>0</v>
      </c>
      <c r="D86" s="63">
        <f t="shared" si="16"/>
        <v>0</v>
      </c>
      <c r="E86" s="63">
        <f t="shared" si="17"/>
        <v>0</v>
      </c>
      <c r="F86" s="63">
        <f t="shared" si="18"/>
        <v>0</v>
      </c>
      <c r="G86" s="63">
        <f t="shared" si="20"/>
        <v>0</v>
      </c>
      <c r="H86" s="63">
        <f t="shared" si="19"/>
        <v>0</v>
      </c>
      <c r="I86" s="64">
        <f t="shared" si="21"/>
        <v>0</v>
      </c>
      <c r="J86" s="65"/>
      <c r="K86" s="65"/>
      <c r="L86" s="83"/>
      <c r="M86" s="67"/>
      <c r="N86" s="68"/>
      <c r="O86" s="62"/>
      <c r="P86" s="69"/>
      <c r="Q86" s="70"/>
      <c r="R86" s="50">
        <f t="shared" si="22"/>
        <v>0</v>
      </c>
      <c r="S86" s="71"/>
      <c r="T86" s="94"/>
      <c r="U86" s="72"/>
      <c r="V86" s="73"/>
      <c r="W86" s="74"/>
      <c r="X86" s="75"/>
      <c r="Y86" s="75"/>
      <c r="Z86" s="76"/>
      <c r="AA86" s="77"/>
      <c r="AB86" s="73"/>
      <c r="AC86" s="74"/>
      <c r="AD86" s="75"/>
      <c r="AE86" s="75"/>
      <c r="AF86" s="75"/>
      <c r="AG86" s="75"/>
      <c r="AH86" s="75"/>
      <c r="AI86" s="75"/>
      <c r="AJ86" s="78"/>
      <c r="AK86" s="79"/>
      <c r="AL86" s="75"/>
      <c r="AM86" s="75"/>
      <c r="AN86" s="75"/>
      <c r="AO86" s="75"/>
      <c r="AP86" s="75"/>
      <c r="AQ86" s="75"/>
      <c r="AR86" s="75"/>
      <c r="AS86" s="77"/>
      <c r="AT86" s="74"/>
      <c r="AU86" s="78"/>
      <c r="AV86" s="79"/>
      <c r="AW86" s="75"/>
      <c r="AX86" s="75"/>
      <c r="AY86" s="75"/>
      <c r="AZ86" s="77"/>
      <c r="BA86" s="74"/>
      <c r="BB86" s="75"/>
      <c r="BC86" s="75"/>
      <c r="BD86" s="77"/>
      <c r="BE86" s="6">
        <f t="shared" si="23"/>
        <v>0</v>
      </c>
    </row>
    <row r="87" spans="1:57">
      <c r="A87" s="61"/>
      <c r="B87" s="40"/>
      <c r="C87" s="62">
        <f t="shared" si="15"/>
        <v>0</v>
      </c>
      <c r="D87" s="63">
        <f t="shared" si="16"/>
        <v>0</v>
      </c>
      <c r="E87" s="63">
        <f t="shared" si="17"/>
        <v>0</v>
      </c>
      <c r="F87" s="63">
        <f t="shared" si="18"/>
        <v>0</v>
      </c>
      <c r="G87" s="63">
        <f t="shared" si="20"/>
        <v>0</v>
      </c>
      <c r="H87" s="63">
        <f t="shared" si="19"/>
        <v>0</v>
      </c>
      <c r="I87" s="64">
        <f t="shared" si="21"/>
        <v>0</v>
      </c>
      <c r="J87" s="65"/>
      <c r="K87" s="65"/>
      <c r="L87" s="83"/>
      <c r="M87" s="67"/>
      <c r="N87" s="68"/>
      <c r="O87" s="62"/>
      <c r="P87" s="69"/>
      <c r="Q87" s="70"/>
      <c r="R87" s="50">
        <f t="shared" si="22"/>
        <v>0</v>
      </c>
      <c r="S87" s="71"/>
      <c r="T87" s="69"/>
      <c r="U87" s="72"/>
      <c r="V87" s="73"/>
      <c r="W87" s="74"/>
      <c r="X87" s="75"/>
      <c r="Y87" s="75"/>
      <c r="Z87" s="76"/>
      <c r="AA87" s="77"/>
      <c r="AB87" s="73"/>
      <c r="AC87" s="74"/>
      <c r="AD87" s="75"/>
      <c r="AE87" s="75"/>
      <c r="AF87" s="75"/>
      <c r="AG87" s="75"/>
      <c r="AH87" s="75"/>
      <c r="AI87" s="75"/>
      <c r="AJ87" s="78"/>
      <c r="AK87" s="79"/>
      <c r="AL87" s="75"/>
      <c r="AM87" s="75"/>
      <c r="AN87" s="75"/>
      <c r="AO87" s="75"/>
      <c r="AP87" s="75"/>
      <c r="AQ87" s="75"/>
      <c r="AR87" s="75"/>
      <c r="AS87" s="77"/>
      <c r="AT87" s="74"/>
      <c r="AU87" s="78"/>
      <c r="AV87" s="79"/>
      <c r="AW87" s="75"/>
      <c r="AX87" s="75"/>
      <c r="AY87" s="75"/>
      <c r="AZ87" s="77"/>
      <c r="BA87" s="74"/>
      <c r="BB87" s="75"/>
      <c r="BC87" s="75"/>
      <c r="BD87" s="77"/>
      <c r="BE87" s="6">
        <f t="shared" si="23"/>
        <v>0</v>
      </c>
    </row>
    <row r="88" spans="1:57">
      <c r="A88" s="61"/>
      <c r="B88" s="40"/>
      <c r="C88" s="62">
        <f t="shared" si="15"/>
        <v>0</v>
      </c>
      <c r="D88" s="63">
        <f t="shared" si="16"/>
        <v>0</v>
      </c>
      <c r="E88" s="63">
        <f t="shared" si="17"/>
        <v>0</v>
      </c>
      <c r="F88" s="63">
        <f t="shared" si="18"/>
        <v>0</v>
      </c>
      <c r="G88" s="63">
        <f t="shared" si="20"/>
        <v>0</v>
      </c>
      <c r="H88" s="63">
        <f t="shared" si="19"/>
        <v>0</v>
      </c>
      <c r="I88" s="64">
        <f t="shared" si="21"/>
        <v>0</v>
      </c>
      <c r="J88" s="65"/>
      <c r="K88" s="65"/>
      <c r="L88" s="83"/>
      <c r="M88" s="67"/>
      <c r="N88" s="68"/>
      <c r="O88" s="62"/>
      <c r="P88" s="69"/>
      <c r="Q88" s="70"/>
      <c r="R88" s="50">
        <f t="shared" si="22"/>
        <v>0</v>
      </c>
      <c r="S88" s="71"/>
      <c r="T88" s="69"/>
      <c r="U88" s="72"/>
      <c r="V88" s="73"/>
      <c r="W88" s="74"/>
      <c r="X88" s="75"/>
      <c r="Y88" s="75"/>
      <c r="Z88" s="107"/>
      <c r="AA88" s="77"/>
      <c r="AB88" s="73"/>
      <c r="AC88" s="74"/>
      <c r="AD88" s="75"/>
      <c r="AE88" s="75"/>
      <c r="AF88" s="75"/>
      <c r="AG88" s="75"/>
      <c r="AH88" s="75"/>
      <c r="AI88" s="75"/>
      <c r="AJ88" s="78"/>
      <c r="AK88" s="79"/>
      <c r="AL88" s="75"/>
      <c r="AM88" s="75"/>
      <c r="AN88" s="75"/>
      <c r="AO88" s="75"/>
      <c r="AP88" s="75"/>
      <c r="AQ88" s="75"/>
      <c r="AR88" s="75"/>
      <c r="AS88" s="77"/>
      <c r="AT88" s="74"/>
      <c r="AU88" s="78"/>
      <c r="AV88" s="79"/>
      <c r="AW88" s="75"/>
      <c r="AX88" s="75"/>
      <c r="AY88" s="75"/>
      <c r="AZ88" s="77"/>
      <c r="BA88" s="74"/>
      <c r="BB88" s="75"/>
      <c r="BC88" s="75"/>
      <c r="BD88" s="77"/>
      <c r="BE88" s="6">
        <f t="shared" si="23"/>
        <v>0</v>
      </c>
    </row>
    <row r="89" spans="1:57">
      <c r="A89" s="61"/>
      <c r="B89" s="40"/>
      <c r="C89" s="62">
        <f t="shared" si="15"/>
        <v>0</v>
      </c>
      <c r="D89" s="63">
        <f t="shared" si="16"/>
        <v>0</v>
      </c>
      <c r="E89" s="63">
        <f t="shared" si="17"/>
        <v>0</v>
      </c>
      <c r="F89" s="63">
        <f t="shared" si="18"/>
        <v>0</v>
      </c>
      <c r="G89" s="63">
        <f t="shared" si="20"/>
        <v>0</v>
      </c>
      <c r="H89" s="63">
        <f t="shared" si="19"/>
        <v>0</v>
      </c>
      <c r="I89" s="64">
        <f t="shared" si="21"/>
        <v>0</v>
      </c>
      <c r="J89" s="65"/>
      <c r="K89" s="65"/>
      <c r="L89" s="83"/>
      <c r="M89" s="67"/>
      <c r="N89" s="68"/>
      <c r="O89" s="62"/>
      <c r="P89" s="69"/>
      <c r="Q89" s="70"/>
      <c r="R89" s="50">
        <f t="shared" si="22"/>
        <v>0</v>
      </c>
      <c r="S89" s="71"/>
      <c r="T89" s="94"/>
      <c r="U89" s="72"/>
      <c r="V89" s="73"/>
      <c r="W89" s="74"/>
      <c r="X89" s="75"/>
      <c r="Y89" s="75"/>
      <c r="Z89" s="76"/>
      <c r="AA89" s="77"/>
      <c r="AB89" s="73"/>
      <c r="AC89" s="74"/>
      <c r="AD89" s="75"/>
      <c r="AE89" s="75"/>
      <c r="AF89" s="75"/>
      <c r="AG89" s="75"/>
      <c r="AH89" s="75"/>
      <c r="AI89" s="75"/>
      <c r="AJ89" s="78"/>
      <c r="AK89" s="79"/>
      <c r="AL89" s="75"/>
      <c r="AM89" s="75"/>
      <c r="AN89" s="75"/>
      <c r="AO89" s="75"/>
      <c r="AP89" s="75"/>
      <c r="AQ89" s="75"/>
      <c r="AR89" s="75"/>
      <c r="AS89" s="77"/>
      <c r="AT89" s="74"/>
      <c r="AU89" s="78"/>
      <c r="AV89" s="79"/>
      <c r="AW89" s="75"/>
      <c r="AX89" s="75"/>
      <c r="AY89" s="75"/>
      <c r="AZ89" s="77"/>
      <c r="BA89" s="74"/>
      <c r="BB89" s="75"/>
      <c r="BC89" s="75"/>
      <c r="BD89" s="77"/>
      <c r="BE89" s="6">
        <f t="shared" si="23"/>
        <v>0</v>
      </c>
    </row>
    <row r="90" spans="1:57">
      <c r="A90" s="61"/>
      <c r="B90" s="40"/>
      <c r="C90" s="62">
        <f t="shared" si="15"/>
        <v>0</v>
      </c>
      <c r="D90" s="63">
        <f t="shared" si="16"/>
        <v>0</v>
      </c>
      <c r="E90" s="63">
        <f t="shared" si="17"/>
        <v>0</v>
      </c>
      <c r="F90" s="63">
        <f t="shared" si="18"/>
        <v>0</v>
      </c>
      <c r="G90" s="63">
        <f t="shared" si="20"/>
        <v>0</v>
      </c>
      <c r="H90" s="63">
        <f t="shared" si="19"/>
        <v>0</v>
      </c>
      <c r="I90" s="64">
        <f t="shared" si="21"/>
        <v>0</v>
      </c>
      <c r="J90" s="65"/>
      <c r="K90" s="65"/>
      <c r="L90" s="83"/>
      <c r="M90" s="67"/>
      <c r="N90" s="68"/>
      <c r="O90" s="62"/>
      <c r="P90" s="69"/>
      <c r="Q90" s="70"/>
      <c r="R90" s="50">
        <f t="shared" si="22"/>
        <v>0</v>
      </c>
      <c r="S90" s="71"/>
      <c r="T90" s="94"/>
      <c r="U90" s="72"/>
      <c r="V90" s="73"/>
      <c r="W90" s="74"/>
      <c r="X90" s="75"/>
      <c r="Y90" s="75"/>
      <c r="Z90" s="76"/>
      <c r="AA90" s="77"/>
      <c r="AB90" s="73"/>
      <c r="AC90" s="74"/>
      <c r="AD90" s="75"/>
      <c r="AE90" s="75"/>
      <c r="AF90" s="75"/>
      <c r="AG90" s="75"/>
      <c r="AH90" s="75"/>
      <c r="AI90" s="75"/>
      <c r="AJ90" s="78"/>
      <c r="AK90" s="79"/>
      <c r="AL90" s="75"/>
      <c r="AM90" s="75"/>
      <c r="AN90" s="75"/>
      <c r="AO90" s="75"/>
      <c r="AP90" s="75"/>
      <c r="AQ90" s="75"/>
      <c r="AR90" s="75"/>
      <c r="AS90" s="77"/>
      <c r="AT90" s="74"/>
      <c r="AU90" s="78"/>
      <c r="AV90" s="79"/>
      <c r="AW90" s="75"/>
      <c r="AX90" s="75"/>
      <c r="AY90" s="75"/>
      <c r="AZ90" s="77"/>
      <c r="BA90" s="74"/>
      <c r="BB90" s="75"/>
      <c r="BC90" s="75"/>
      <c r="BD90" s="77"/>
      <c r="BE90" s="6">
        <f t="shared" si="23"/>
        <v>0</v>
      </c>
    </row>
    <row r="91" spans="1:57">
      <c r="A91" s="61"/>
      <c r="B91" s="40"/>
      <c r="C91" s="62">
        <f t="shared" si="15"/>
        <v>0</v>
      </c>
      <c r="D91" s="63">
        <f t="shared" si="16"/>
        <v>0</v>
      </c>
      <c r="E91" s="63">
        <f t="shared" si="17"/>
        <v>0</v>
      </c>
      <c r="F91" s="63">
        <f t="shared" si="18"/>
        <v>0</v>
      </c>
      <c r="G91" s="63">
        <f t="shared" si="20"/>
        <v>0</v>
      </c>
      <c r="H91" s="63">
        <f t="shared" si="19"/>
        <v>0</v>
      </c>
      <c r="I91" s="64">
        <f t="shared" si="21"/>
        <v>0</v>
      </c>
      <c r="J91" s="65"/>
      <c r="K91" s="65"/>
      <c r="L91" s="83"/>
      <c r="M91" s="67"/>
      <c r="N91" s="68"/>
      <c r="O91" s="62"/>
      <c r="P91" s="69"/>
      <c r="Q91" s="70"/>
      <c r="R91" s="50">
        <f t="shared" si="22"/>
        <v>0</v>
      </c>
      <c r="S91" s="71"/>
      <c r="T91" s="85"/>
      <c r="U91" s="72"/>
      <c r="V91" s="73"/>
      <c r="W91" s="74"/>
      <c r="X91" s="75"/>
      <c r="Y91" s="75"/>
      <c r="Z91" s="76"/>
      <c r="AA91" s="77"/>
      <c r="AB91" s="73"/>
      <c r="AC91" s="74"/>
      <c r="AD91" s="75"/>
      <c r="AE91" s="75"/>
      <c r="AF91" s="75"/>
      <c r="AG91" s="75"/>
      <c r="AH91" s="75"/>
      <c r="AI91" s="75"/>
      <c r="AJ91" s="78"/>
      <c r="AK91" s="79"/>
      <c r="AL91" s="75"/>
      <c r="AM91" s="75"/>
      <c r="AN91" s="75"/>
      <c r="AO91" s="75"/>
      <c r="AP91" s="75"/>
      <c r="AQ91" s="75"/>
      <c r="AR91" s="75"/>
      <c r="AS91" s="77"/>
      <c r="AT91" s="74"/>
      <c r="AU91" s="78"/>
      <c r="AV91" s="79"/>
      <c r="AW91" s="75"/>
      <c r="AX91" s="75"/>
      <c r="AY91" s="75"/>
      <c r="AZ91" s="77"/>
      <c r="BA91" s="74"/>
      <c r="BB91" s="75"/>
      <c r="BC91" s="75"/>
      <c r="BD91" s="77"/>
      <c r="BE91" s="6">
        <f t="shared" si="23"/>
        <v>0</v>
      </c>
    </row>
    <row r="92" spans="1:57" ht="15" customHeight="1">
      <c r="A92" s="61"/>
      <c r="B92" s="40"/>
      <c r="C92" s="62">
        <f t="shared" si="15"/>
        <v>0</v>
      </c>
      <c r="D92" s="63">
        <f t="shared" si="16"/>
        <v>0</v>
      </c>
      <c r="E92" s="63">
        <f t="shared" si="17"/>
        <v>0</v>
      </c>
      <c r="F92" s="63">
        <f t="shared" si="18"/>
        <v>0</v>
      </c>
      <c r="G92" s="63">
        <f t="shared" si="20"/>
        <v>0</v>
      </c>
      <c r="H92" s="63">
        <f t="shared" si="19"/>
        <v>0</v>
      </c>
      <c r="I92" s="64">
        <f t="shared" si="21"/>
        <v>0</v>
      </c>
      <c r="J92" s="91"/>
      <c r="K92" s="65"/>
      <c r="L92" s="83"/>
      <c r="M92" s="67"/>
      <c r="N92" s="68"/>
      <c r="O92" s="62"/>
      <c r="P92" s="69"/>
      <c r="Q92" s="70"/>
      <c r="R92" s="50">
        <f t="shared" si="22"/>
        <v>0</v>
      </c>
      <c r="S92" s="71"/>
      <c r="T92" s="94"/>
      <c r="U92" s="72"/>
      <c r="V92" s="73"/>
      <c r="W92" s="74"/>
      <c r="X92" s="75"/>
      <c r="Y92" s="75"/>
      <c r="Z92" s="76"/>
      <c r="AA92" s="77"/>
      <c r="AB92" s="73"/>
      <c r="AC92" s="74"/>
      <c r="AD92" s="75"/>
      <c r="AE92" s="75"/>
      <c r="AF92" s="75"/>
      <c r="AG92" s="75"/>
      <c r="AH92" s="75"/>
      <c r="AI92" s="75"/>
      <c r="AJ92" s="78"/>
      <c r="AK92" s="79"/>
      <c r="AL92" s="75"/>
      <c r="AM92" s="75"/>
      <c r="AN92" s="75"/>
      <c r="AO92" s="75"/>
      <c r="AP92" s="75"/>
      <c r="AQ92" s="75"/>
      <c r="AR92" s="75"/>
      <c r="AS92" s="77"/>
      <c r="AT92" s="74"/>
      <c r="AU92" s="78"/>
      <c r="AV92" s="79"/>
      <c r="AW92" s="75"/>
      <c r="AX92" s="75"/>
      <c r="AY92" s="75"/>
      <c r="AZ92" s="77"/>
      <c r="BA92" s="74"/>
      <c r="BB92" s="75"/>
      <c r="BC92" s="75"/>
      <c r="BD92" s="77"/>
      <c r="BE92" s="6">
        <f t="shared" si="23"/>
        <v>0</v>
      </c>
    </row>
    <row r="93" spans="1:57">
      <c r="A93" s="61"/>
      <c r="B93" s="40"/>
      <c r="C93" s="62">
        <f t="shared" si="15"/>
        <v>0</v>
      </c>
      <c r="D93" s="63">
        <f t="shared" si="16"/>
        <v>0</v>
      </c>
      <c r="E93" s="63">
        <f t="shared" si="17"/>
        <v>0</v>
      </c>
      <c r="F93" s="63">
        <f t="shared" si="18"/>
        <v>0</v>
      </c>
      <c r="G93" s="63">
        <f t="shared" si="20"/>
        <v>0</v>
      </c>
      <c r="H93" s="63">
        <f t="shared" si="19"/>
        <v>0</v>
      </c>
      <c r="I93" s="64">
        <f t="shared" si="21"/>
        <v>0</v>
      </c>
      <c r="J93" s="65"/>
      <c r="K93" s="65"/>
      <c r="L93" s="83"/>
      <c r="M93" s="67"/>
      <c r="N93" s="68"/>
      <c r="O93" s="62"/>
      <c r="P93" s="69"/>
      <c r="Q93" s="70"/>
      <c r="R93" s="50">
        <f t="shared" si="22"/>
        <v>0</v>
      </c>
      <c r="S93" s="71"/>
      <c r="T93" s="94"/>
      <c r="U93" s="72"/>
      <c r="V93" s="73"/>
      <c r="W93" s="74"/>
      <c r="X93" s="75"/>
      <c r="Y93" s="75"/>
      <c r="Z93" s="76"/>
      <c r="AA93" s="77"/>
      <c r="AB93" s="73"/>
      <c r="AC93" s="74"/>
      <c r="AD93" s="75"/>
      <c r="AE93" s="75"/>
      <c r="AF93" s="75"/>
      <c r="AG93" s="75"/>
      <c r="AH93" s="75"/>
      <c r="AI93" s="75"/>
      <c r="AJ93" s="78"/>
      <c r="AK93" s="79"/>
      <c r="AL93" s="75"/>
      <c r="AM93" s="75"/>
      <c r="AN93" s="75"/>
      <c r="AO93" s="75"/>
      <c r="AP93" s="75"/>
      <c r="AQ93" s="75"/>
      <c r="AR93" s="75"/>
      <c r="AS93" s="77"/>
      <c r="AT93" s="74"/>
      <c r="AU93" s="78"/>
      <c r="AV93" s="79"/>
      <c r="AW93" s="75"/>
      <c r="AX93" s="75"/>
      <c r="AY93" s="75"/>
      <c r="AZ93" s="77"/>
      <c r="BA93" s="74"/>
      <c r="BB93" s="75"/>
      <c r="BC93" s="75"/>
      <c r="BD93" s="77"/>
      <c r="BE93" s="6">
        <f t="shared" si="23"/>
        <v>0</v>
      </c>
    </row>
    <row r="94" spans="1:57">
      <c r="A94" s="61"/>
      <c r="B94" s="40"/>
      <c r="C94" s="62">
        <f t="shared" si="15"/>
        <v>0</v>
      </c>
      <c r="D94" s="63">
        <f t="shared" si="16"/>
        <v>0</v>
      </c>
      <c r="E94" s="63">
        <f t="shared" si="17"/>
        <v>0</v>
      </c>
      <c r="F94" s="63">
        <f t="shared" si="18"/>
        <v>0</v>
      </c>
      <c r="G94" s="63">
        <f t="shared" si="20"/>
        <v>0</v>
      </c>
      <c r="H94" s="63">
        <f t="shared" si="19"/>
        <v>0</v>
      </c>
      <c r="I94" s="64">
        <f t="shared" si="21"/>
        <v>0</v>
      </c>
      <c r="J94" s="65"/>
      <c r="K94" s="65"/>
      <c r="L94" s="83"/>
      <c r="M94" s="67"/>
      <c r="N94" s="68"/>
      <c r="O94" s="62"/>
      <c r="P94" s="69"/>
      <c r="Q94" s="70"/>
      <c r="R94" s="50">
        <f t="shared" si="22"/>
        <v>0</v>
      </c>
      <c r="S94" s="71"/>
      <c r="T94" s="94"/>
      <c r="U94" s="72"/>
      <c r="V94" s="73"/>
      <c r="W94" s="74"/>
      <c r="X94" s="75"/>
      <c r="Y94" s="75"/>
      <c r="Z94" s="76"/>
      <c r="AA94" s="77"/>
      <c r="AB94" s="73"/>
      <c r="AC94" s="74"/>
      <c r="AD94" s="75"/>
      <c r="AE94" s="75"/>
      <c r="AF94" s="75"/>
      <c r="AG94" s="75"/>
      <c r="AH94" s="75"/>
      <c r="AI94" s="75"/>
      <c r="AJ94" s="78"/>
      <c r="AK94" s="79"/>
      <c r="AL94" s="75"/>
      <c r="AM94" s="75"/>
      <c r="AN94" s="75"/>
      <c r="AO94" s="75"/>
      <c r="AP94" s="75"/>
      <c r="AQ94" s="75"/>
      <c r="AR94" s="75"/>
      <c r="AS94" s="77"/>
      <c r="AT94" s="74"/>
      <c r="AU94" s="78"/>
      <c r="AV94" s="79"/>
      <c r="AW94" s="75"/>
      <c r="AX94" s="75"/>
      <c r="AY94" s="75"/>
      <c r="AZ94" s="77"/>
      <c r="BA94" s="74"/>
      <c r="BB94" s="75"/>
      <c r="BC94" s="75"/>
      <c r="BD94" s="77"/>
      <c r="BE94" s="6">
        <f t="shared" si="23"/>
        <v>0</v>
      </c>
    </row>
    <row r="95" spans="1:57">
      <c r="A95" s="61"/>
      <c r="B95" s="40"/>
      <c r="C95" s="62">
        <f t="shared" si="15"/>
        <v>0</v>
      </c>
      <c r="D95" s="63">
        <f t="shared" si="16"/>
        <v>0</v>
      </c>
      <c r="E95" s="63">
        <f t="shared" si="17"/>
        <v>0</v>
      </c>
      <c r="F95" s="63">
        <f t="shared" si="18"/>
        <v>0</v>
      </c>
      <c r="G95" s="63">
        <f t="shared" si="20"/>
        <v>0</v>
      </c>
      <c r="H95" s="63">
        <f t="shared" si="19"/>
        <v>0</v>
      </c>
      <c r="I95" s="64">
        <f t="shared" si="21"/>
        <v>0</v>
      </c>
      <c r="J95" s="65"/>
      <c r="K95" s="65"/>
      <c r="L95" s="83"/>
      <c r="M95" s="67"/>
      <c r="N95" s="68"/>
      <c r="O95" s="62"/>
      <c r="P95" s="69"/>
      <c r="Q95" s="70"/>
      <c r="R95" s="50">
        <f t="shared" si="22"/>
        <v>0</v>
      </c>
      <c r="S95" s="71"/>
      <c r="T95" s="94"/>
      <c r="U95" s="72"/>
      <c r="V95" s="73"/>
      <c r="W95" s="74"/>
      <c r="X95" s="75"/>
      <c r="Y95" s="75"/>
      <c r="Z95" s="76"/>
      <c r="AA95" s="77"/>
      <c r="AB95" s="73"/>
      <c r="AC95" s="74"/>
      <c r="AD95" s="75"/>
      <c r="AE95" s="75"/>
      <c r="AF95" s="75"/>
      <c r="AG95" s="75"/>
      <c r="AH95" s="75"/>
      <c r="AI95" s="75"/>
      <c r="AJ95" s="78"/>
      <c r="AK95" s="79"/>
      <c r="AL95" s="75"/>
      <c r="AM95" s="75"/>
      <c r="AN95" s="75"/>
      <c r="AO95" s="75"/>
      <c r="AP95" s="75"/>
      <c r="AQ95" s="75"/>
      <c r="AR95" s="75"/>
      <c r="AS95" s="77"/>
      <c r="AT95" s="74"/>
      <c r="AU95" s="78"/>
      <c r="AV95" s="79"/>
      <c r="AW95" s="75"/>
      <c r="AX95" s="75"/>
      <c r="AY95" s="75"/>
      <c r="AZ95" s="77"/>
      <c r="BA95" s="74"/>
      <c r="BB95" s="75"/>
      <c r="BC95" s="75"/>
      <c r="BD95" s="77"/>
      <c r="BE95" s="6">
        <f t="shared" si="23"/>
        <v>0</v>
      </c>
    </row>
    <row r="96" spans="1:57">
      <c r="A96" s="61"/>
      <c r="B96" s="40"/>
      <c r="C96" s="62">
        <f t="shared" si="15"/>
        <v>0</v>
      </c>
      <c r="D96" s="63">
        <f t="shared" si="16"/>
        <v>0</v>
      </c>
      <c r="E96" s="63">
        <f t="shared" si="17"/>
        <v>0</v>
      </c>
      <c r="F96" s="63">
        <f t="shared" si="18"/>
        <v>0</v>
      </c>
      <c r="G96" s="63">
        <f t="shared" si="20"/>
        <v>0</v>
      </c>
      <c r="H96" s="63">
        <f t="shared" si="19"/>
        <v>0</v>
      </c>
      <c r="I96" s="64">
        <f t="shared" si="21"/>
        <v>0</v>
      </c>
      <c r="J96" s="65"/>
      <c r="K96" s="65"/>
      <c r="L96" s="83"/>
      <c r="M96" s="67"/>
      <c r="N96" s="68"/>
      <c r="O96" s="62"/>
      <c r="P96" s="69"/>
      <c r="Q96" s="70"/>
      <c r="R96" s="50">
        <f t="shared" si="22"/>
        <v>0</v>
      </c>
      <c r="S96" s="71"/>
      <c r="T96" s="94"/>
      <c r="U96" s="72"/>
      <c r="V96" s="73"/>
      <c r="W96" s="74"/>
      <c r="X96" s="75"/>
      <c r="Y96" s="75"/>
      <c r="Z96" s="76"/>
      <c r="AA96" s="77"/>
      <c r="AB96" s="73"/>
      <c r="AC96" s="74"/>
      <c r="AD96" s="75"/>
      <c r="AE96" s="75"/>
      <c r="AF96" s="75"/>
      <c r="AG96" s="75"/>
      <c r="AH96" s="75"/>
      <c r="AI96" s="75"/>
      <c r="AJ96" s="78"/>
      <c r="AK96" s="79"/>
      <c r="AL96" s="75"/>
      <c r="AM96" s="75"/>
      <c r="AN96" s="75"/>
      <c r="AO96" s="75"/>
      <c r="AP96" s="75"/>
      <c r="AQ96" s="75"/>
      <c r="AR96" s="75"/>
      <c r="AS96" s="77"/>
      <c r="AT96" s="74"/>
      <c r="AU96" s="78"/>
      <c r="AV96" s="79"/>
      <c r="AW96" s="75"/>
      <c r="AX96" s="75"/>
      <c r="AY96" s="75"/>
      <c r="AZ96" s="77"/>
      <c r="BA96" s="74"/>
      <c r="BB96" s="75"/>
      <c r="BC96" s="75"/>
      <c r="BD96" s="77"/>
      <c r="BE96" s="6">
        <f t="shared" si="23"/>
        <v>0</v>
      </c>
    </row>
    <row r="97" spans="1:57">
      <c r="A97" s="61"/>
      <c r="B97" s="40"/>
      <c r="C97" s="62">
        <f t="shared" si="15"/>
        <v>0</v>
      </c>
      <c r="D97" s="63">
        <f t="shared" si="16"/>
        <v>0</v>
      </c>
      <c r="E97" s="63">
        <f t="shared" si="17"/>
        <v>0</v>
      </c>
      <c r="F97" s="63">
        <f t="shared" si="18"/>
        <v>0</v>
      </c>
      <c r="G97" s="63">
        <f t="shared" si="20"/>
        <v>0</v>
      </c>
      <c r="H97" s="63">
        <f t="shared" si="19"/>
        <v>0</v>
      </c>
      <c r="I97" s="64">
        <f t="shared" si="21"/>
        <v>0</v>
      </c>
      <c r="J97" s="65"/>
      <c r="K97" s="65"/>
      <c r="L97" s="83"/>
      <c r="M97" s="67"/>
      <c r="N97" s="68"/>
      <c r="O97" s="62"/>
      <c r="P97" s="69"/>
      <c r="Q97" s="70"/>
      <c r="R97" s="50">
        <f t="shared" si="22"/>
        <v>0</v>
      </c>
      <c r="S97" s="71"/>
      <c r="T97" s="94"/>
      <c r="U97" s="72"/>
      <c r="V97" s="73"/>
      <c r="W97" s="74"/>
      <c r="X97" s="75"/>
      <c r="Y97" s="75"/>
      <c r="Z97" s="76"/>
      <c r="AA97" s="77"/>
      <c r="AB97" s="73"/>
      <c r="AC97" s="74"/>
      <c r="AD97" s="75"/>
      <c r="AE97" s="75"/>
      <c r="AF97" s="75"/>
      <c r="AG97" s="75"/>
      <c r="AH97" s="75"/>
      <c r="AI97" s="75"/>
      <c r="AJ97" s="78"/>
      <c r="AK97" s="79"/>
      <c r="AL97" s="75"/>
      <c r="AM97" s="75"/>
      <c r="AN97" s="75"/>
      <c r="AO97" s="75"/>
      <c r="AP97" s="75"/>
      <c r="AQ97" s="75"/>
      <c r="AR97" s="75"/>
      <c r="AS97" s="77"/>
      <c r="AT97" s="74"/>
      <c r="AU97" s="78"/>
      <c r="AV97" s="79"/>
      <c r="AW97" s="75"/>
      <c r="AX97" s="75"/>
      <c r="AY97" s="75"/>
      <c r="AZ97" s="77"/>
      <c r="BA97" s="74"/>
      <c r="BB97" s="75"/>
      <c r="BC97" s="75"/>
      <c r="BD97" s="77"/>
      <c r="BE97" s="6">
        <f t="shared" si="23"/>
        <v>0</v>
      </c>
    </row>
    <row r="98" spans="1:57">
      <c r="A98" s="61"/>
      <c r="B98" s="40"/>
      <c r="C98" s="62">
        <f t="shared" si="15"/>
        <v>0</v>
      </c>
      <c r="D98" s="63">
        <f t="shared" si="16"/>
        <v>0</v>
      </c>
      <c r="E98" s="63">
        <f t="shared" si="17"/>
        <v>0</v>
      </c>
      <c r="F98" s="63">
        <f t="shared" si="18"/>
        <v>0</v>
      </c>
      <c r="G98" s="63">
        <f t="shared" si="20"/>
        <v>0</v>
      </c>
      <c r="H98" s="63">
        <f t="shared" si="19"/>
        <v>0</v>
      </c>
      <c r="I98" s="64">
        <f t="shared" si="21"/>
        <v>0</v>
      </c>
      <c r="J98" s="65"/>
      <c r="K98" s="65"/>
      <c r="L98" s="83"/>
      <c r="M98" s="67"/>
      <c r="N98" s="68"/>
      <c r="O98" s="62"/>
      <c r="P98" s="69"/>
      <c r="Q98" s="70"/>
      <c r="R98" s="50">
        <f t="shared" si="22"/>
        <v>0</v>
      </c>
      <c r="S98" s="71"/>
      <c r="T98" s="94"/>
      <c r="U98" s="72"/>
      <c r="V98" s="73"/>
      <c r="W98" s="74"/>
      <c r="X98" s="75"/>
      <c r="Y98" s="75"/>
      <c r="Z98" s="76"/>
      <c r="AA98" s="77"/>
      <c r="AB98" s="73"/>
      <c r="AC98" s="74"/>
      <c r="AD98" s="75"/>
      <c r="AE98" s="75"/>
      <c r="AF98" s="75"/>
      <c r="AG98" s="75"/>
      <c r="AH98" s="75"/>
      <c r="AI98" s="75"/>
      <c r="AJ98" s="78"/>
      <c r="AK98" s="79"/>
      <c r="AL98" s="75"/>
      <c r="AM98" s="75"/>
      <c r="AN98" s="75"/>
      <c r="AO98" s="75"/>
      <c r="AP98" s="75"/>
      <c r="AQ98" s="75"/>
      <c r="AR98" s="75"/>
      <c r="AS98" s="77"/>
      <c r="AT98" s="74"/>
      <c r="AU98" s="78"/>
      <c r="AV98" s="79"/>
      <c r="AW98" s="75"/>
      <c r="AX98" s="75"/>
      <c r="AY98" s="75"/>
      <c r="AZ98" s="77"/>
      <c r="BA98" s="74"/>
      <c r="BB98" s="75"/>
      <c r="BC98" s="75"/>
      <c r="BD98" s="77"/>
      <c r="BE98" s="6">
        <f t="shared" si="23"/>
        <v>0</v>
      </c>
    </row>
    <row r="99" spans="1:57">
      <c r="A99" s="61"/>
      <c r="B99" s="40"/>
      <c r="C99" s="62">
        <f t="shared" si="15"/>
        <v>0</v>
      </c>
      <c r="D99" s="63">
        <f t="shared" si="16"/>
        <v>0</v>
      </c>
      <c r="E99" s="63">
        <f t="shared" si="17"/>
        <v>0</v>
      </c>
      <c r="F99" s="63">
        <f t="shared" si="18"/>
        <v>0</v>
      </c>
      <c r="G99" s="63">
        <f t="shared" si="20"/>
        <v>0</v>
      </c>
      <c r="H99" s="63">
        <f t="shared" si="19"/>
        <v>0</v>
      </c>
      <c r="I99" s="64">
        <f t="shared" si="21"/>
        <v>0</v>
      </c>
      <c r="J99" s="65"/>
      <c r="K99" s="65"/>
      <c r="L99" s="83"/>
      <c r="M99" s="108"/>
      <c r="N99" s="68"/>
      <c r="O99" s="62"/>
      <c r="P99" s="69"/>
      <c r="Q99" s="70"/>
      <c r="R99" s="50">
        <f t="shared" si="22"/>
        <v>0</v>
      </c>
      <c r="S99" s="71"/>
      <c r="T99" s="94"/>
      <c r="U99" s="72"/>
      <c r="V99" s="73"/>
      <c r="W99" s="74"/>
      <c r="X99" s="75"/>
      <c r="Y99" s="75"/>
      <c r="Z99" s="76"/>
      <c r="AA99" s="77"/>
      <c r="AB99" s="73"/>
      <c r="AC99" s="74"/>
      <c r="AD99" s="75"/>
      <c r="AE99" s="75"/>
      <c r="AF99" s="75"/>
      <c r="AG99" s="75"/>
      <c r="AH99" s="75"/>
      <c r="AI99" s="75"/>
      <c r="AJ99" s="78"/>
      <c r="AK99" s="79"/>
      <c r="AL99" s="75"/>
      <c r="AM99" s="75"/>
      <c r="AN99" s="75"/>
      <c r="AO99" s="75"/>
      <c r="AP99" s="75"/>
      <c r="AQ99" s="75"/>
      <c r="AR99" s="75"/>
      <c r="AS99" s="77"/>
      <c r="AT99" s="74"/>
      <c r="AU99" s="78"/>
      <c r="AV99" s="79"/>
      <c r="AW99" s="75"/>
      <c r="AX99" s="75"/>
      <c r="AY99" s="75"/>
      <c r="AZ99" s="77"/>
      <c r="BA99" s="74"/>
      <c r="BB99" s="75"/>
      <c r="BC99" s="75"/>
      <c r="BD99" s="77"/>
      <c r="BE99" s="6">
        <f t="shared" si="23"/>
        <v>0</v>
      </c>
    </row>
    <row r="100" spans="1:57">
      <c r="A100" s="61"/>
      <c r="B100" s="40"/>
      <c r="C100" s="62">
        <f t="shared" si="15"/>
        <v>0</v>
      </c>
      <c r="D100" s="63">
        <f t="shared" si="16"/>
        <v>0</v>
      </c>
      <c r="E100" s="63">
        <f t="shared" si="17"/>
        <v>0</v>
      </c>
      <c r="F100" s="63">
        <f t="shared" si="18"/>
        <v>0</v>
      </c>
      <c r="G100" s="63">
        <f t="shared" si="20"/>
        <v>0</v>
      </c>
      <c r="H100" s="63">
        <f t="shared" si="19"/>
        <v>0</v>
      </c>
      <c r="I100" s="64">
        <f t="shared" si="21"/>
        <v>0</v>
      </c>
      <c r="J100" s="65"/>
      <c r="K100" s="65"/>
      <c r="L100" s="83"/>
      <c r="M100" s="67"/>
      <c r="N100" s="68"/>
      <c r="O100" s="62"/>
      <c r="P100" s="69"/>
      <c r="Q100" s="70"/>
      <c r="R100" s="50">
        <f t="shared" si="22"/>
        <v>0</v>
      </c>
      <c r="S100" s="71"/>
      <c r="T100" s="94"/>
      <c r="U100" s="72"/>
      <c r="V100" s="73"/>
      <c r="W100" s="74"/>
      <c r="X100" s="75"/>
      <c r="Y100" s="75"/>
      <c r="Z100" s="76"/>
      <c r="AA100" s="77"/>
      <c r="AB100" s="73"/>
      <c r="AC100" s="74"/>
      <c r="AD100" s="75"/>
      <c r="AE100" s="75"/>
      <c r="AF100" s="75"/>
      <c r="AG100" s="75"/>
      <c r="AH100" s="75"/>
      <c r="AI100" s="75"/>
      <c r="AJ100" s="78"/>
      <c r="AK100" s="79"/>
      <c r="AL100" s="75"/>
      <c r="AM100" s="75"/>
      <c r="AN100" s="75"/>
      <c r="AO100" s="75"/>
      <c r="AP100" s="75"/>
      <c r="AQ100" s="75"/>
      <c r="AR100" s="75"/>
      <c r="AS100" s="77"/>
      <c r="AT100" s="74"/>
      <c r="AU100" s="78"/>
      <c r="AV100" s="79"/>
      <c r="AW100" s="75"/>
      <c r="AX100" s="75"/>
      <c r="AY100" s="75"/>
      <c r="AZ100" s="77"/>
      <c r="BA100" s="74"/>
      <c r="BB100" s="75"/>
      <c r="BC100" s="75"/>
      <c r="BD100" s="77"/>
      <c r="BE100" s="6">
        <f t="shared" si="23"/>
        <v>0</v>
      </c>
    </row>
    <row r="101" spans="1:57">
      <c r="A101" s="61"/>
      <c r="B101" s="40"/>
      <c r="C101" s="62">
        <f t="shared" ref="C101:C113" si="24">SUM(AB101:AJ101)</f>
        <v>0</v>
      </c>
      <c r="D101" s="63">
        <f t="shared" ref="D101:D113" si="25">SUM(AK101:AS101)</f>
        <v>0</v>
      </c>
      <c r="E101" s="63">
        <f t="shared" ref="E101:E113" si="26">SUM(AT101:AU101)</f>
        <v>0</v>
      </c>
      <c r="F101" s="63">
        <f t="shared" ref="F101:F113" si="27">SUM(AV101:AZ101)</f>
        <v>0</v>
      </c>
      <c r="G101" s="63">
        <f t="shared" si="20"/>
        <v>0</v>
      </c>
      <c r="H101" s="63">
        <f t="shared" ref="H101:H113" si="28">SUM(V101:AA101)</f>
        <v>0</v>
      </c>
      <c r="I101" s="64">
        <f t="shared" si="21"/>
        <v>0</v>
      </c>
      <c r="J101" s="65"/>
      <c r="K101" s="65"/>
      <c r="L101" s="83"/>
      <c r="M101" s="67"/>
      <c r="N101" s="68"/>
      <c r="O101" s="62"/>
      <c r="P101" s="69"/>
      <c r="Q101" s="70"/>
      <c r="R101" s="50">
        <f t="shared" si="22"/>
        <v>0</v>
      </c>
      <c r="S101" s="71"/>
      <c r="T101" s="94"/>
      <c r="U101" s="72"/>
      <c r="V101" s="73"/>
      <c r="W101" s="74"/>
      <c r="X101" s="75"/>
      <c r="Y101" s="75"/>
      <c r="Z101" s="76"/>
      <c r="AA101" s="77"/>
      <c r="AB101" s="73"/>
      <c r="AC101" s="74"/>
      <c r="AD101" s="75"/>
      <c r="AE101" s="75"/>
      <c r="AF101" s="75"/>
      <c r="AG101" s="75"/>
      <c r="AH101" s="75"/>
      <c r="AI101" s="75"/>
      <c r="AJ101" s="78"/>
      <c r="AK101" s="79"/>
      <c r="AL101" s="75"/>
      <c r="AM101" s="75"/>
      <c r="AN101" s="75"/>
      <c r="AO101" s="75"/>
      <c r="AP101" s="75"/>
      <c r="AQ101" s="75"/>
      <c r="AR101" s="75"/>
      <c r="AS101" s="77"/>
      <c r="AT101" s="74"/>
      <c r="AU101" s="78"/>
      <c r="AV101" s="79"/>
      <c r="AW101" s="75"/>
      <c r="AX101" s="75"/>
      <c r="AY101" s="75"/>
      <c r="AZ101" s="77"/>
      <c r="BA101" s="74"/>
      <c r="BB101" s="75"/>
      <c r="BC101" s="75"/>
      <c r="BD101" s="77"/>
      <c r="BE101" s="6">
        <f t="shared" si="23"/>
        <v>0</v>
      </c>
    </row>
    <row r="102" spans="1:57">
      <c r="A102" s="61"/>
      <c r="B102" s="40"/>
      <c r="C102" s="62">
        <f t="shared" si="24"/>
        <v>0</v>
      </c>
      <c r="D102" s="63">
        <f t="shared" si="25"/>
        <v>0</v>
      </c>
      <c r="E102" s="63">
        <f t="shared" si="26"/>
        <v>0</v>
      </c>
      <c r="F102" s="63">
        <f t="shared" si="27"/>
        <v>0</v>
      </c>
      <c r="G102" s="63">
        <f t="shared" si="20"/>
        <v>0</v>
      </c>
      <c r="H102" s="63">
        <f t="shared" si="28"/>
        <v>0</v>
      </c>
      <c r="I102" s="64">
        <f t="shared" si="21"/>
        <v>0</v>
      </c>
      <c r="J102" s="65"/>
      <c r="K102" s="65"/>
      <c r="L102" s="83"/>
      <c r="M102" s="67"/>
      <c r="N102" s="68"/>
      <c r="O102" s="62"/>
      <c r="P102" s="69"/>
      <c r="Q102" s="70"/>
      <c r="R102" s="50">
        <f t="shared" si="22"/>
        <v>0</v>
      </c>
      <c r="S102" s="71"/>
      <c r="T102" s="94"/>
      <c r="U102" s="72"/>
      <c r="V102" s="73"/>
      <c r="W102" s="74"/>
      <c r="X102" s="75"/>
      <c r="Y102" s="75"/>
      <c r="Z102" s="76"/>
      <c r="AA102" s="77"/>
      <c r="AB102" s="73"/>
      <c r="AC102" s="74"/>
      <c r="AD102" s="75"/>
      <c r="AE102" s="75"/>
      <c r="AF102" s="75"/>
      <c r="AG102" s="75"/>
      <c r="AH102" s="75"/>
      <c r="AI102" s="75"/>
      <c r="AJ102" s="78"/>
      <c r="AK102" s="79"/>
      <c r="AL102" s="75"/>
      <c r="AM102" s="75"/>
      <c r="AN102" s="75"/>
      <c r="AO102" s="75"/>
      <c r="AP102" s="75"/>
      <c r="AQ102" s="75"/>
      <c r="AR102" s="75"/>
      <c r="AS102" s="77"/>
      <c r="AT102" s="74"/>
      <c r="AU102" s="78"/>
      <c r="AV102" s="79"/>
      <c r="AW102" s="75"/>
      <c r="AX102" s="75"/>
      <c r="AY102" s="75"/>
      <c r="AZ102" s="77"/>
      <c r="BA102" s="74"/>
      <c r="BB102" s="75"/>
      <c r="BC102" s="75"/>
      <c r="BD102" s="77"/>
      <c r="BE102" s="6">
        <f t="shared" si="23"/>
        <v>0</v>
      </c>
    </row>
    <row r="103" spans="1:57">
      <c r="A103" s="61"/>
      <c r="B103" s="40"/>
      <c r="C103" s="62">
        <f t="shared" si="24"/>
        <v>0</v>
      </c>
      <c r="D103" s="63">
        <f t="shared" si="25"/>
        <v>0</v>
      </c>
      <c r="E103" s="63">
        <f t="shared" si="26"/>
        <v>0</v>
      </c>
      <c r="F103" s="63">
        <f t="shared" si="27"/>
        <v>0</v>
      </c>
      <c r="G103" s="63">
        <f t="shared" si="20"/>
        <v>0</v>
      </c>
      <c r="H103" s="63">
        <f t="shared" si="28"/>
        <v>0</v>
      </c>
      <c r="I103" s="64">
        <f t="shared" si="21"/>
        <v>0</v>
      </c>
      <c r="J103" s="65"/>
      <c r="K103" s="65"/>
      <c r="L103" s="83"/>
      <c r="M103" s="67"/>
      <c r="N103" s="68"/>
      <c r="O103" s="62"/>
      <c r="P103" s="69"/>
      <c r="Q103" s="70"/>
      <c r="R103" s="50">
        <f t="shared" si="22"/>
        <v>0</v>
      </c>
      <c r="S103" s="71"/>
      <c r="T103" s="94"/>
      <c r="U103" s="72"/>
      <c r="V103" s="73"/>
      <c r="W103" s="74"/>
      <c r="X103" s="75"/>
      <c r="Y103" s="74"/>
      <c r="Z103" s="73"/>
      <c r="AA103" s="77"/>
      <c r="AB103" s="73"/>
      <c r="AC103" s="74"/>
      <c r="AD103" s="75"/>
      <c r="AE103" s="75"/>
      <c r="AF103" s="75"/>
      <c r="AG103" s="75"/>
      <c r="AH103" s="75"/>
      <c r="AI103" s="75"/>
      <c r="AJ103" s="78"/>
      <c r="AK103" s="79"/>
      <c r="AL103" s="75"/>
      <c r="AM103" s="75"/>
      <c r="AN103" s="75"/>
      <c r="AO103" s="75"/>
      <c r="AP103" s="75"/>
      <c r="AQ103" s="75"/>
      <c r="AR103" s="75"/>
      <c r="AS103" s="77"/>
      <c r="AT103" s="74"/>
      <c r="AU103" s="78"/>
      <c r="AV103" s="79"/>
      <c r="AW103" s="75"/>
      <c r="AX103" s="75"/>
      <c r="AY103" s="75"/>
      <c r="AZ103" s="77"/>
      <c r="BA103" s="74"/>
      <c r="BB103" s="75"/>
      <c r="BC103" s="75"/>
      <c r="BD103" s="77"/>
      <c r="BE103" s="6">
        <f t="shared" si="23"/>
        <v>0</v>
      </c>
    </row>
    <row r="104" spans="1:57">
      <c r="A104" s="61"/>
      <c r="B104" s="40"/>
      <c r="C104" s="62">
        <f t="shared" si="24"/>
        <v>0</v>
      </c>
      <c r="D104" s="63">
        <f t="shared" si="25"/>
        <v>0</v>
      </c>
      <c r="E104" s="63">
        <f t="shared" si="26"/>
        <v>0</v>
      </c>
      <c r="F104" s="63">
        <f t="shared" si="27"/>
        <v>0</v>
      </c>
      <c r="G104" s="63">
        <f t="shared" si="20"/>
        <v>0</v>
      </c>
      <c r="H104" s="63">
        <f t="shared" si="28"/>
        <v>0</v>
      </c>
      <c r="I104" s="64">
        <f t="shared" si="21"/>
        <v>0</v>
      </c>
      <c r="J104" s="65"/>
      <c r="K104" s="65"/>
      <c r="L104" s="83"/>
      <c r="M104" s="67"/>
      <c r="N104" s="68"/>
      <c r="O104" s="62"/>
      <c r="P104" s="69"/>
      <c r="Q104" s="70"/>
      <c r="R104" s="50">
        <f t="shared" si="22"/>
        <v>0</v>
      </c>
      <c r="S104" s="71"/>
      <c r="T104" s="94"/>
      <c r="U104" s="72"/>
      <c r="V104" s="73"/>
      <c r="W104" s="74"/>
      <c r="X104" s="75"/>
      <c r="Y104" s="74"/>
      <c r="Z104" s="73"/>
      <c r="AA104" s="77"/>
      <c r="AB104" s="73"/>
      <c r="AC104" s="74"/>
      <c r="AD104" s="75"/>
      <c r="AE104" s="75"/>
      <c r="AF104" s="75"/>
      <c r="AG104" s="75"/>
      <c r="AH104" s="75"/>
      <c r="AI104" s="75"/>
      <c r="AJ104" s="78"/>
      <c r="AK104" s="79"/>
      <c r="AL104" s="75"/>
      <c r="AM104" s="75"/>
      <c r="AN104" s="75"/>
      <c r="AO104" s="75"/>
      <c r="AP104" s="75"/>
      <c r="AQ104" s="75"/>
      <c r="AR104" s="75"/>
      <c r="AS104" s="77"/>
      <c r="AT104" s="74"/>
      <c r="AU104" s="78"/>
      <c r="AV104" s="79"/>
      <c r="AW104" s="75"/>
      <c r="AX104" s="75"/>
      <c r="AY104" s="75"/>
      <c r="AZ104" s="77"/>
      <c r="BA104" s="74"/>
      <c r="BB104" s="75"/>
      <c r="BC104" s="75"/>
      <c r="BD104" s="77"/>
      <c r="BE104" s="6">
        <f t="shared" si="23"/>
        <v>0</v>
      </c>
    </row>
    <row r="105" spans="1:57">
      <c r="A105" s="61"/>
      <c r="B105" s="40"/>
      <c r="C105" s="62">
        <f t="shared" si="24"/>
        <v>0</v>
      </c>
      <c r="D105" s="63">
        <f t="shared" si="25"/>
        <v>0</v>
      </c>
      <c r="E105" s="63">
        <f t="shared" si="26"/>
        <v>0</v>
      </c>
      <c r="F105" s="63">
        <f t="shared" si="27"/>
        <v>0</v>
      </c>
      <c r="G105" s="63">
        <f t="shared" si="20"/>
        <v>0</v>
      </c>
      <c r="H105" s="63">
        <f t="shared" si="28"/>
        <v>0</v>
      </c>
      <c r="I105" s="64">
        <f t="shared" si="21"/>
        <v>0</v>
      </c>
      <c r="J105" s="65"/>
      <c r="K105" s="65"/>
      <c r="L105" s="83"/>
      <c r="M105" s="67"/>
      <c r="N105" s="68"/>
      <c r="O105" s="62"/>
      <c r="P105" s="69"/>
      <c r="Q105" s="70"/>
      <c r="R105" s="50">
        <f t="shared" si="22"/>
        <v>0</v>
      </c>
      <c r="S105" s="71"/>
      <c r="T105" s="94"/>
      <c r="U105" s="72"/>
      <c r="V105" s="73"/>
      <c r="W105" s="74"/>
      <c r="X105" s="75"/>
      <c r="Y105" s="74"/>
      <c r="Z105" s="73"/>
      <c r="AA105" s="77"/>
      <c r="AB105" s="73"/>
      <c r="AC105" s="74"/>
      <c r="AD105" s="75"/>
      <c r="AE105" s="75"/>
      <c r="AF105" s="75"/>
      <c r="AG105" s="75"/>
      <c r="AH105" s="75"/>
      <c r="AI105" s="75"/>
      <c r="AJ105" s="78"/>
      <c r="AK105" s="79"/>
      <c r="AL105" s="75"/>
      <c r="AM105" s="75"/>
      <c r="AN105" s="75"/>
      <c r="AO105" s="75"/>
      <c r="AP105" s="75"/>
      <c r="AQ105" s="75"/>
      <c r="AR105" s="75"/>
      <c r="AS105" s="77"/>
      <c r="AT105" s="74"/>
      <c r="AU105" s="78"/>
      <c r="AV105" s="79"/>
      <c r="AW105" s="75"/>
      <c r="AX105" s="75"/>
      <c r="AY105" s="75"/>
      <c r="AZ105" s="77"/>
      <c r="BA105" s="74"/>
      <c r="BB105" s="75"/>
      <c r="BC105" s="75"/>
      <c r="BD105" s="77"/>
      <c r="BE105" s="6">
        <f t="shared" si="23"/>
        <v>0</v>
      </c>
    </row>
    <row r="106" spans="1:57" ht="16.2" customHeight="1">
      <c r="A106" s="61"/>
      <c r="B106" s="40"/>
      <c r="C106" s="62">
        <f t="shared" si="24"/>
        <v>0</v>
      </c>
      <c r="D106" s="63">
        <f t="shared" si="25"/>
        <v>0</v>
      </c>
      <c r="E106" s="63">
        <f t="shared" si="26"/>
        <v>0</v>
      </c>
      <c r="F106" s="63">
        <f t="shared" si="27"/>
        <v>0</v>
      </c>
      <c r="G106" s="63">
        <f t="shared" si="20"/>
        <v>0</v>
      </c>
      <c r="H106" s="63">
        <f t="shared" si="28"/>
        <v>0</v>
      </c>
      <c r="I106" s="64">
        <f t="shared" si="21"/>
        <v>0</v>
      </c>
      <c r="J106" s="65"/>
      <c r="K106" s="65"/>
      <c r="L106" s="83"/>
      <c r="M106" s="67"/>
      <c r="N106" s="68"/>
      <c r="O106" s="62"/>
      <c r="P106" s="69"/>
      <c r="Q106" s="70"/>
      <c r="R106" s="50">
        <f t="shared" si="22"/>
        <v>0</v>
      </c>
      <c r="S106" s="71"/>
      <c r="T106" s="94"/>
      <c r="U106" s="72"/>
      <c r="V106" s="73"/>
      <c r="W106" s="74"/>
      <c r="X106" s="75"/>
      <c r="Y106" s="74"/>
      <c r="Z106" s="73"/>
      <c r="AA106" s="77"/>
      <c r="AB106" s="73"/>
      <c r="AC106" s="74"/>
      <c r="AD106" s="75"/>
      <c r="AE106" s="75"/>
      <c r="AF106" s="75"/>
      <c r="AG106" s="75"/>
      <c r="AH106" s="75"/>
      <c r="AI106" s="75"/>
      <c r="AJ106" s="78"/>
      <c r="AK106" s="79"/>
      <c r="AL106" s="75"/>
      <c r="AM106" s="75"/>
      <c r="AN106" s="75"/>
      <c r="AO106" s="75"/>
      <c r="AP106" s="75"/>
      <c r="AQ106" s="75"/>
      <c r="AR106" s="75"/>
      <c r="AS106" s="77"/>
      <c r="AT106" s="74"/>
      <c r="AU106" s="78"/>
      <c r="AV106" s="79"/>
      <c r="AW106" s="75"/>
      <c r="AX106" s="75"/>
      <c r="AY106" s="75"/>
      <c r="AZ106" s="77"/>
      <c r="BA106" s="74"/>
      <c r="BB106" s="75"/>
      <c r="BC106" s="75"/>
      <c r="BD106" s="77"/>
      <c r="BE106" s="6">
        <f t="shared" si="23"/>
        <v>0</v>
      </c>
    </row>
    <row r="107" spans="1:57">
      <c r="A107" s="61"/>
      <c r="B107" s="40"/>
      <c r="C107" s="62">
        <f t="shared" si="24"/>
        <v>0</v>
      </c>
      <c r="D107" s="63">
        <f t="shared" si="25"/>
        <v>0</v>
      </c>
      <c r="E107" s="63">
        <f t="shared" si="26"/>
        <v>0</v>
      </c>
      <c r="F107" s="63">
        <f t="shared" si="27"/>
        <v>0</v>
      </c>
      <c r="G107" s="63">
        <f t="shared" si="20"/>
        <v>0</v>
      </c>
      <c r="H107" s="63">
        <f t="shared" si="28"/>
        <v>0</v>
      </c>
      <c r="I107" s="64">
        <f t="shared" si="21"/>
        <v>0</v>
      </c>
      <c r="J107" s="65"/>
      <c r="K107" s="65"/>
      <c r="L107" s="83"/>
      <c r="M107" s="67"/>
      <c r="N107" s="68"/>
      <c r="O107" s="62"/>
      <c r="P107" s="69"/>
      <c r="Q107" s="70"/>
      <c r="R107" s="50">
        <f t="shared" si="22"/>
        <v>0</v>
      </c>
      <c r="S107" s="109"/>
      <c r="T107" s="94"/>
      <c r="U107" s="72"/>
      <c r="V107" s="73"/>
      <c r="W107" s="74"/>
      <c r="X107" s="75"/>
      <c r="Y107" s="75"/>
      <c r="Z107" s="76"/>
      <c r="AA107" s="77"/>
      <c r="AB107" s="73"/>
      <c r="AC107" s="74"/>
      <c r="AD107" s="75"/>
      <c r="AE107" s="75"/>
      <c r="AF107" s="75"/>
      <c r="AG107" s="75"/>
      <c r="AH107" s="75"/>
      <c r="AI107" s="75"/>
      <c r="AJ107" s="78"/>
      <c r="AK107" s="79"/>
      <c r="AL107" s="75"/>
      <c r="AM107" s="75"/>
      <c r="AN107" s="75"/>
      <c r="AO107" s="75"/>
      <c r="AP107" s="75"/>
      <c r="AQ107" s="75"/>
      <c r="AR107" s="75"/>
      <c r="AS107" s="77"/>
      <c r="AT107" s="74"/>
      <c r="AU107" s="78"/>
      <c r="AV107" s="79"/>
      <c r="AW107" s="75"/>
      <c r="AX107" s="75"/>
      <c r="AY107" s="75"/>
      <c r="AZ107" s="77"/>
      <c r="BA107" s="74"/>
      <c r="BB107" s="75"/>
      <c r="BC107" s="75"/>
      <c r="BD107" s="77"/>
      <c r="BE107" s="6">
        <f t="shared" si="23"/>
        <v>0</v>
      </c>
    </row>
    <row r="108" spans="1:57">
      <c r="A108" s="61"/>
      <c r="B108" s="40"/>
      <c r="C108" s="62">
        <f t="shared" si="24"/>
        <v>0</v>
      </c>
      <c r="D108" s="63">
        <f t="shared" si="25"/>
        <v>0</v>
      </c>
      <c r="E108" s="63">
        <f t="shared" si="26"/>
        <v>0</v>
      </c>
      <c r="F108" s="63">
        <f t="shared" si="27"/>
        <v>0</v>
      </c>
      <c r="G108" s="63">
        <f t="shared" si="20"/>
        <v>0</v>
      </c>
      <c r="H108" s="63">
        <f t="shared" si="28"/>
        <v>0</v>
      </c>
      <c r="I108" s="64">
        <f t="shared" si="21"/>
        <v>0</v>
      </c>
      <c r="J108" s="65"/>
      <c r="K108" s="65"/>
      <c r="L108" s="83"/>
      <c r="M108" s="67"/>
      <c r="N108" s="68"/>
      <c r="O108" s="62"/>
      <c r="P108" s="69"/>
      <c r="Q108" s="70"/>
      <c r="R108" s="50">
        <f t="shared" si="22"/>
        <v>0</v>
      </c>
      <c r="S108" s="71"/>
      <c r="T108" s="94"/>
      <c r="U108" s="72"/>
      <c r="V108" s="73"/>
      <c r="W108" s="74"/>
      <c r="X108" s="75"/>
      <c r="Y108" s="75"/>
      <c r="Z108" s="76"/>
      <c r="AA108" s="77"/>
      <c r="AB108" s="73"/>
      <c r="AC108" s="74"/>
      <c r="AD108" s="75"/>
      <c r="AE108" s="75"/>
      <c r="AF108" s="75"/>
      <c r="AG108" s="75"/>
      <c r="AH108" s="75"/>
      <c r="AI108" s="75"/>
      <c r="AJ108" s="78"/>
      <c r="AK108" s="79"/>
      <c r="AL108" s="75"/>
      <c r="AM108" s="75"/>
      <c r="AN108" s="75"/>
      <c r="AO108" s="75"/>
      <c r="AP108" s="75"/>
      <c r="AQ108" s="75"/>
      <c r="AR108" s="75"/>
      <c r="AS108" s="77"/>
      <c r="AT108" s="74"/>
      <c r="AU108" s="78"/>
      <c r="AV108" s="79"/>
      <c r="AW108" s="75"/>
      <c r="AX108" s="75"/>
      <c r="AY108" s="75"/>
      <c r="AZ108" s="77"/>
      <c r="BA108" s="74"/>
      <c r="BB108" s="75"/>
      <c r="BC108" s="75"/>
      <c r="BD108" s="77"/>
      <c r="BE108" s="6">
        <f t="shared" si="23"/>
        <v>0</v>
      </c>
    </row>
    <row r="109" spans="1:57">
      <c r="A109" s="61"/>
      <c r="B109" s="40"/>
      <c r="C109" s="62">
        <f t="shared" si="24"/>
        <v>0</v>
      </c>
      <c r="D109" s="63">
        <f t="shared" si="25"/>
        <v>0</v>
      </c>
      <c r="E109" s="63">
        <f t="shared" si="26"/>
        <v>0</v>
      </c>
      <c r="F109" s="63">
        <f t="shared" si="27"/>
        <v>0</v>
      </c>
      <c r="G109" s="63">
        <f t="shared" si="20"/>
        <v>0</v>
      </c>
      <c r="H109" s="63">
        <f t="shared" si="28"/>
        <v>0</v>
      </c>
      <c r="I109" s="64">
        <f t="shared" si="21"/>
        <v>0</v>
      </c>
      <c r="J109" s="65"/>
      <c r="K109" s="65"/>
      <c r="L109" s="83"/>
      <c r="M109" s="67"/>
      <c r="N109" s="68"/>
      <c r="O109" s="62"/>
      <c r="P109" s="69"/>
      <c r="Q109" s="70"/>
      <c r="R109" s="50">
        <f t="shared" si="22"/>
        <v>0</v>
      </c>
      <c r="S109" s="71"/>
      <c r="T109" s="94"/>
      <c r="U109" s="72"/>
      <c r="V109" s="73"/>
      <c r="W109" s="74"/>
      <c r="X109" s="75"/>
      <c r="Y109" s="75"/>
      <c r="Z109" s="76"/>
      <c r="AA109" s="77"/>
      <c r="AB109" s="73"/>
      <c r="AC109" s="74"/>
      <c r="AD109" s="75"/>
      <c r="AE109" s="75"/>
      <c r="AF109" s="75"/>
      <c r="AG109" s="75"/>
      <c r="AH109" s="75"/>
      <c r="AI109" s="75"/>
      <c r="AJ109" s="78"/>
      <c r="AK109" s="79"/>
      <c r="AL109" s="75"/>
      <c r="AM109" s="75"/>
      <c r="AN109" s="75"/>
      <c r="AO109" s="75"/>
      <c r="AP109" s="75"/>
      <c r="AQ109" s="75"/>
      <c r="AR109" s="75"/>
      <c r="AS109" s="77"/>
      <c r="AT109" s="74"/>
      <c r="AU109" s="78"/>
      <c r="AV109" s="79"/>
      <c r="AW109" s="75"/>
      <c r="AX109" s="75"/>
      <c r="AY109" s="75"/>
      <c r="AZ109" s="77"/>
      <c r="BA109" s="74"/>
      <c r="BB109" s="75"/>
      <c r="BC109" s="75"/>
      <c r="BD109" s="77"/>
      <c r="BE109" s="6">
        <f t="shared" si="23"/>
        <v>0</v>
      </c>
    </row>
    <row r="110" spans="1:57">
      <c r="A110" s="61"/>
      <c r="B110" s="40"/>
      <c r="C110" s="62">
        <f t="shared" si="24"/>
        <v>0</v>
      </c>
      <c r="D110" s="63">
        <f t="shared" si="25"/>
        <v>0</v>
      </c>
      <c r="E110" s="63">
        <f t="shared" si="26"/>
        <v>0</v>
      </c>
      <c r="F110" s="63">
        <f t="shared" si="27"/>
        <v>0</v>
      </c>
      <c r="G110" s="63">
        <f t="shared" si="20"/>
        <v>0</v>
      </c>
      <c r="H110" s="63">
        <f t="shared" si="28"/>
        <v>0</v>
      </c>
      <c r="I110" s="64">
        <f t="shared" si="21"/>
        <v>0</v>
      </c>
      <c r="J110" s="65"/>
      <c r="K110" s="65"/>
      <c r="L110" s="83"/>
      <c r="M110" s="67"/>
      <c r="N110" s="68"/>
      <c r="O110" s="62"/>
      <c r="P110" s="69"/>
      <c r="Q110" s="70"/>
      <c r="R110" s="50">
        <f t="shared" si="22"/>
        <v>0</v>
      </c>
      <c r="S110" s="71"/>
      <c r="T110" s="94"/>
      <c r="U110" s="72"/>
      <c r="V110" s="73"/>
      <c r="W110" s="74"/>
      <c r="X110" s="75"/>
      <c r="Y110" s="75"/>
      <c r="Z110" s="76"/>
      <c r="AA110" s="77"/>
      <c r="AB110" s="73"/>
      <c r="AC110" s="74"/>
      <c r="AD110" s="75"/>
      <c r="AE110" s="75"/>
      <c r="AF110" s="75"/>
      <c r="AG110" s="75"/>
      <c r="AH110" s="75"/>
      <c r="AI110" s="75"/>
      <c r="AJ110" s="78"/>
      <c r="AK110" s="79"/>
      <c r="AL110" s="75"/>
      <c r="AM110" s="75"/>
      <c r="AN110" s="75"/>
      <c r="AO110" s="75"/>
      <c r="AP110" s="75"/>
      <c r="AQ110" s="75"/>
      <c r="AR110" s="75"/>
      <c r="AS110" s="77"/>
      <c r="AT110" s="74"/>
      <c r="AU110" s="78"/>
      <c r="AV110" s="79"/>
      <c r="AW110" s="75"/>
      <c r="AX110" s="75"/>
      <c r="AY110" s="75"/>
      <c r="AZ110" s="77"/>
      <c r="BA110" s="74"/>
      <c r="BB110" s="75"/>
      <c r="BC110" s="75"/>
      <c r="BD110" s="77"/>
      <c r="BE110" s="6">
        <f t="shared" si="23"/>
        <v>0</v>
      </c>
    </row>
    <row r="111" spans="1:57">
      <c r="A111" s="61"/>
      <c r="B111" s="40"/>
      <c r="C111" s="62">
        <f t="shared" si="24"/>
        <v>0</v>
      </c>
      <c r="D111" s="63">
        <f t="shared" si="25"/>
        <v>0</v>
      </c>
      <c r="E111" s="63">
        <f t="shared" si="26"/>
        <v>0</v>
      </c>
      <c r="F111" s="63">
        <f t="shared" si="27"/>
        <v>0</v>
      </c>
      <c r="G111" s="63">
        <f t="shared" si="20"/>
        <v>0</v>
      </c>
      <c r="H111" s="63">
        <f t="shared" si="28"/>
        <v>0</v>
      </c>
      <c r="I111" s="64">
        <f t="shared" si="21"/>
        <v>0</v>
      </c>
      <c r="J111" s="65"/>
      <c r="K111" s="65"/>
      <c r="L111" s="83"/>
      <c r="M111" s="67"/>
      <c r="N111" s="68"/>
      <c r="O111" s="62"/>
      <c r="P111" s="69"/>
      <c r="Q111" s="70"/>
      <c r="R111" s="50">
        <f t="shared" si="22"/>
        <v>0</v>
      </c>
      <c r="S111" s="71"/>
      <c r="T111" s="94"/>
      <c r="U111" s="72"/>
      <c r="V111" s="73"/>
      <c r="W111" s="74"/>
      <c r="X111" s="75"/>
      <c r="Y111" s="75"/>
      <c r="Z111" s="76"/>
      <c r="AA111" s="77"/>
      <c r="AB111" s="106"/>
      <c r="AC111" s="106"/>
      <c r="AD111" s="75"/>
      <c r="AE111" s="75"/>
      <c r="AF111" s="75"/>
      <c r="AG111" s="75"/>
      <c r="AH111" s="75"/>
      <c r="AI111" s="75"/>
      <c r="AJ111" s="78"/>
      <c r="AK111" s="79"/>
      <c r="AL111" s="75"/>
      <c r="AM111" s="75"/>
      <c r="AN111" s="75"/>
      <c r="AO111" s="75"/>
      <c r="AP111" s="75"/>
      <c r="AQ111" s="75"/>
      <c r="AR111" s="75"/>
      <c r="AS111" s="77"/>
      <c r="AT111" s="74"/>
      <c r="AU111" s="78"/>
      <c r="AV111" s="79"/>
      <c r="AW111" s="75"/>
      <c r="AX111" s="75"/>
      <c r="AY111" s="75"/>
      <c r="AZ111" s="77"/>
      <c r="BA111" s="74"/>
      <c r="BB111" s="75"/>
      <c r="BC111" s="75"/>
      <c r="BD111" s="77"/>
      <c r="BE111" s="6">
        <f t="shared" ref="BE111:BE114" si="29">I111-SUM(AB111:BD111)</f>
        <v>0</v>
      </c>
    </row>
    <row r="112" spans="1:57" ht="16.2" customHeight="1">
      <c r="A112" s="61"/>
      <c r="B112" s="40"/>
      <c r="C112" s="62">
        <f t="shared" si="24"/>
        <v>0</v>
      </c>
      <c r="D112" s="63">
        <f t="shared" si="25"/>
        <v>0</v>
      </c>
      <c r="E112" s="63">
        <f t="shared" si="26"/>
        <v>0</v>
      </c>
      <c r="F112" s="63">
        <f t="shared" si="27"/>
        <v>0</v>
      </c>
      <c r="G112" s="63">
        <f t="shared" si="20"/>
        <v>0</v>
      </c>
      <c r="H112" s="63">
        <f t="shared" si="28"/>
        <v>0</v>
      </c>
      <c r="I112" s="64">
        <f t="shared" si="21"/>
        <v>0</v>
      </c>
      <c r="J112" s="65"/>
      <c r="K112" s="65"/>
      <c r="L112" s="83"/>
      <c r="M112" s="67"/>
      <c r="N112" s="68"/>
      <c r="O112" s="62"/>
      <c r="P112" s="69"/>
      <c r="Q112" s="70"/>
      <c r="R112" s="50">
        <f t="shared" si="22"/>
        <v>0</v>
      </c>
      <c r="S112" s="71"/>
      <c r="T112" s="94"/>
      <c r="U112" s="72"/>
      <c r="V112" s="73"/>
      <c r="W112" s="74"/>
      <c r="X112" s="75"/>
      <c r="Y112" s="75"/>
      <c r="Z112" s="76"/>
      <c r="AA112" s="77"/>
      <c r="AB112" s="73"/>
      <c r="AC112" s="74"/>
      <c r="AD112" s="75"/>
      <c r="AE112" s="75"/>
      <c r="AF112" s="75"/>
      <c r="AG112" s="75"/>
      <c r="AH112" s="75"/>
      <c r="AI112" s="75"/>
      <c r="AJ112" s="78"/>
      <c r="AK112" s="79"/>
      <c r="AL112" s="75"/>
      <c r="AM112" s="75"/>
      <c r="AN112" s="75"/>
      <c r="AO112" s="75"/>
      <c r="AP112" s="75"/>
      <c r="AQ112" s="75"/>
      <c r="AR112" s="75"/>
      <c r="AS112" s="77"/>
      <c r="AT112" s="74"/>
      <c r="AU112" s="78"/>
      <c r="AV112" s="79"/>
      <c r="AW112" s="75"/>
      <c r="AX112" s="75"/>
      <c r="AY112" s="75"/>
      <c r="AZ112" s="77"/>
      <c r="BA112" s="74"/>
      <c r="BB112" s="75"/>
      <c r="BC112" s="75"/>
      <c r="BD112" s="77"/>
      <c r="BE112" s="6">
        <f t="shared" si="29"/>
        <v>0</v>
      </c>
    </row>
    <row r="113" spans="1:57">
      <c r="A113" s="61"/>
      <c r="B113" s="40"/>
      <c r="C113" s="62">
        <f t="shared" si="24"/>
        <v>0</v>
      </c>
      <c r="D113" s="63">
        <f t="shared" si="25"/>
        <v>0</v>
      </c>
      <c r="E113" s="63">
        <f t="shared" si="26"/>
        <v>0</v>
      </c>
      <c r="F113" s="63">
        <f t="shared" si="27"/>
        <v>0</v>
      </c>
      <c r="G113" s="63">
        <f t="shared" si="20"/>
        <v>0</v>
      </c>
      <c r="H113" s="63">
        <f t="shared" si="28"/>
        <v>0</v>
      </c>
      <c r="I113" s="64">
        <f t="shared" si="21"/>
        <v>0</v>
      </c>
      <c r="J113" s="65"/>
      <c r="K113" s="65"/>
      <c r="L113" s="83"/>
      <c r="M113" s="67"/>
      <c r="N113" s="68"/>
      <c r="O113" s="62"/>
      <c r="P113" s="69"/>
      <c r="Q113" s="70"/>
      <c r="R113" s="50">
        <f t="shared" si="22"/>
        <v>0</v>
      </c>
      <c r="S113" s="71"/>
      <c r="T113" s="94"/>
      <c r="U113" s="72"/>
      <c r="V113" s="73"/>
      <c r="W113" s="74"/>
      <c r="X113" s="75"/>
      <c r="Y113" s="75"/>
      <c r="Z113" s="76"/>
      <c r="AA113" s="77"/>
      <c r="AB113" s="73"/>
      <c r="AC113" s="74"/>
      <c r="AD113" s="75"/>
      <c r="AE113" s="75"/>
      <c r="AF113" s="75"/>
      <c r="AG113" s="75"/>
      <c r="AH113" s="75"/>
      <c r="AI113" s="75"/>
      <c r="AJ113" s="78"/>
      <c r="AK113" s="79"/>
      <c r="AL113" s="75"/>
      <c r="AM113" s="75"/>
      <c r="AN113" s="75"/>
      <c r="AO113" s="75"/>
      <c r="AP113" s="75"/>
      <c r="AQ113" s="75"/>
      <c r="AR113" s="75"/>
      <c r="AS113" s="77"/>
      <c r="AT113" s="74"/>
      <c r="AU113" s="78"/>
      <c r="AV113" s="79"/>
      <c r="AW113" s="75"/>
      <c r="AX113" s="75"/>
      <c r="AY113" s="75"/>
      <c r="AZ113" s="77"/>
      <c r="BA113" s="74"/>
      <c r="BB113" s="75"/>
      <c r="BC113" s="75"/>
      <c r="BD113" s="77"/>
      <c r="BE113" s="6">
        <f t="shared" si="29"/>
        <v>0</v>
      </c>
    </row>
    <row r="114" spans="1:57" s="3" customFormat="1" ht="31.2" customHeight="1">
      <c r="A114" s="554" t="s">
        <v>97</v>
      </c>
      <c r="B114" s="555"/>
      <c r="C114" s="110">
        <f>SUM(C5:C113)</f>
        <v>0</v>
      </c>
      <c r="D114" s="110">
        <f t="shared" ref="D114:J114" si="30">SUM(D5:D113)</f>
        <v>0</v>
      </c>
      <c r="E114" s="110">
        <f t="shared" si="30"/>
        <v>0</v>
      </c>
      <c r="F114" s="110">
        <f t="shared" si="30"/>
        <v>0</v>
      </c>
      <c r="G114" s="110">
        <f t="shared" si="30"/>
        <v>0</v>
      </c>
      <c r="H114" s="110">
        <f t="shared" si="30"/>
        <v>0</v>
      </c>
      <c r="I114" s="110">
        <f t="shared" si="30"/>
        <v>0</v>
      </c>
      <c r="J114" s="110">
        <f t="shared" si="30"/>
        <v>0</v>
      </c>
      <c r="K114" s="110">
        <f t="shared" ref="K114:N114" si="31">SUM(K5:K113)</f>
        <v>0</v>
      </c>
      <c r="L114" s="110">
        <f t="shared" si="31"/>
        <v>0</v>
      </c>
      <c r="M114" s="110">
        <f t="shared" si="31"/>
        <v>0</v>
      </c>
      <c r="N114" s="110">
        <f t="shared" si="31"/>
        <v>0</v>
      </c>
      <c r="O114" s="110"/>
      <c r="P114" s="111">
        <f>SUM(P5:P113)</f>
        <v>0</v>
      </c>
      <c r="Q114" s="110">
        <f>SUM(Q5:Q113)</f>
        <v>0</v>
      </c>
      <c r="R114" s="112">
        <f>R4+N114+P114+Q114-M114-L114-K114-J114-I114</f>
        <v>0</v>
      </c>
      <c r="S114" s="110"/>
      <c r="T114" s="111"/>
      <c r="U114" s="111"/>
      <c r="V114" s="113">
        <f>SUM(V5:V113)</f>
        <v>0</v>
      </c>
      <c r="W114" s="113">
        <f>SUM(W5:W113)</f>
        <v>0</v>
      </c>
      <c r="X114" s="113">
        <f>SUM(X5:X113)</f>
        <v>0</v>
      </c>
      <c r="Y114" s="113">
        <f t="shared" ref="Y114:AD114" si="32">SUM(Y5:Y113)</f>
        <v>0</v>
      </c>
      <c r="Z114" s="113">
        <f t="shared" si="32"/>
        <v>0</v>
      </c>
      <c r="AA114" s="113">
        <f t="shared" si="32"/>
        <v>0</v>
      </c>
      <c r="AB114" s="114">
        <f t="shared" si="32"/>
        <v>0</v>
      </c>
      <c r="AC114" s="114">
        <f t="shared" si="32"/>
        <v>0</v>
      </c>
      <c r="AD114" s="114">
        <f t="shared" si="32"/>
        <v>0</v>
      </c>
      <c r="AE114" s="114">
        <f t="shared" ref="AE114:BD114" si="33">SUM(AE5:AE113)</f>
        <v>0</v>
      </c>
      <c r="AF114" s="114">
        <f t="shared" si="33"/>
        <v>0</v>
      </c>
      <c r="AG114" s="114">
        <f t="shared" si="33"/>
        <v>0</v>
      </c>
      <c r="AH114" s="114">
        <f t="shared" si="33"/>
        <v>0</v>
      </c>
      <c r="AI114" s="114">
        <f t="shared" si="33"/>
        <v>0</v>
      </c>
      <c r="AJ114" s="114">
        <f t="shared" si="33"/>
        <v>0</v>
      </c>
      <c r="AK114" s="114">
        <f t="shared" si="33"/>
        <v>0</v>
      </c>
      <c r="AL114" s="114">
        <f t="shared" si="33"/>
        <v>0</v>
      </c>
      <c r="AM114" s="114">
        <f t="shared" si="33"/>
        <v>0</v>
      </c>
      <c r="AN114" s="114">
        <f t="shared" si="33"/>
        <v>0</v>
      </c>
      <c r="AO114" s="114">
        <f t="shared" si="33"/>
        <v>0</v>
      </c>
      <c r="AP114" s="114">
        <f t="shared" si="33"/>
        <v>0</v>
      </c>
      <c r="AQ114" s="114">
        <f t="shared" si="33"/>
        <v>0</v>
      </c>
      <c r="AR114" s="114">
        <f t="shared" si="33"/>
        <v>0</v>
      </c>
      <c r="AS114" s="114">
        <f t="shared" si="33"/>
        <v>0</v>
      </c>
      <c r="AT114" s="114">
        <f t="shared" si="33"/>
        <v>0</v>
      </c>
      <c r="AU114" s="114">
        <f t="shared" si="33"/>
        <v>0</v>
      </c>
      <c r="AV114" s="114">
        <f t="shared" si="33"/>
        <v>0</v>
      </c>
      <c r="AW114" s="114">
        <f t="shared" si="33"/>
        <v>0</v>
      </c>
      <c r="AX114" s="114">
        <f t="shared" si="33"/>
        <v>0</v>
      </c>
      <c r="AY114" s="114">
        <f t="shared" si="33"/>
        <v>0</v>
      </c>
      <c r="AZ114" s="114">
        <f t="shared" si="33"/>
        <v>0</v>
      </c>
      <c r="BA114" s="114">
        <f t="shared" si="33"/>
        <v>0</v>
      </c>
      <c r="BB114" s="114">
        <f t="shared" si="33"/>
        <v>0</v>
      </c>
      <c r="BC114" s="114">
        <f t="shared" si="33"/>
        <v>0</v>
      </c>
      <c r="BD114" s="115">
        <f t="shared" si="33"/>
        <v>0</v>
      </c>
      <c r="BE114" s="6">
        <f t="shared" si="29"/>
        <v>0</v>
      </c>
    </row>
    <row r="115" spans="1:57" s="3" customFormat="1" ht="22.95" customHeight="1">
      <c r="A115" s="116" t="s">
        <v>118</v>
      </c>
      <c r="B115" s="117"/>
      <c r="C115" s="118"/>
      <c r="D115" s="119"/>
      <c r="E115" s="119"/>
      <c r="F115" s="119"/>
      <c r="G115" s="119"/>
      <c r="H115" s="119"/>
      <c r="I115" s="120">
        <f t="shared" ref="I115:I120" si="34">SUM(C115:H115)</f>
        <v>0</v>
      </c>
      <c r="J115" s="121"/>
      <c r="K115" s="121"/>
      <c r="L115" s="122"/>
      <c r="M115" s="123"/>
      <c r="N115" s="124"/>
      <c r="O115" s="118"/>
      <c r="P115" s="125"/>
      <c r="Q115" s="126"/>
      <c r="R115" s="50">
        <f t="shared" ref="R115:R122" si="35">R114+SUM(N115:Q115)-SUM(I115:M115)</f>
        <v>0</v>
      </c>
      <c r="S115" s="127"/>
      <c r="T115" s="128"/>
      <c r="U115" s="129"/>
      <c r="V115" s="130"/>
      <c r="W115" s="131"/>
      <c r="X115" s="132"/>
      <c r="Y115" s="132"/>
      <c r="Z115" s="133"/>
      <c r="AA115" s="134"/>
      <c r="AB115" s="130"/>
      <c r="AC115" s="131"/>
      <c r="AD115" s="132"/>
      <c r="AE115" s="132"/>
      <c r="AF115" s="132"/>
      <c r="AG115" s="132"/>
      <c r="AH115" s="132"/>
      <c r="AI115" s="132"/>
      <c r="AJ115" s="135"/>
      <c r="AK115" s="130"/>
      <c r="AL115" s="132"/>
      <c r="AM115" s="132"/>
      <c r="AN115" s="132"/>
      <c r="AO115" s="132"/>
      <c r="AP115" s="132"/>
      <c r="AQ115" s="132"/>
      <c r="AR115" s="132"/>
      <c r="AS115" s="135"/>
      <c r="AT115" s="130"/>
      <c r="AU115" s="135"/>
      <c r="AV115" s="130"/>
      <c r="AW115" s="132"/>
      <c r="AX115" s="132"/>
      <c r="AY115" s="132"/>
      <c r="AZ115" s="135"/>
      <c r="BA115" s="130"/>
      <c r="BB115" s="132"/>
      <c r="BC115" s="132"/>
      <c r="BD115" s="134"/>
      <c r="BE115" s="6"/>
    </row>
    <row r="116" spans="1:57" ht="15" customHeight="1">
      <c r="A116" s="136"/>
      <c r="B116" s="40"/>
      <c r="C116" s="62">
        <f>SUM(AB116:AJ116)</f>
        <v>0</v>
      </c>
      <c r="D116" s="63">
        <f>SUM(AK116:AS116)</f>
        <v>0</v>
      </c>
      <c r="E116" s="63">
        <f>SUM(AT116:AU116)</f>
        <v>0</v>
      </c>
      <c r="F116" s="63">
        <f>SUM(AV116:AZ116)</f>
        <v>0</v>
      </c>
      <c r="G116" s="63">
        <f t="shared" ref="G116:G118" si="36">SUM(BA116:BD116)</f>
        <v>0</v>
      </c>
      <c r="H116" s="63">
        <f>SUM(V116:AA116)</f>
        <v>0</v>
      </c>
      <c r="I116" s="64">
        <f t="shared" si="34"/>
        <v>0</v>
      </c>
      <c r="J116" s="65"/>
      <c r="K116" s="137"/>
      <c r="L116" s="83"/>
      <c r="M116" s="67"/>
      <c r="N116" s="68"/>
      <c r="O116" s="62"/>
      <c r="P116" s="69"/>
      <c r="Q116" s="70"/>
      <c r="R116" s="50">
        <f t="shared" si="35"/>
        <v>0</v>
      </c>
      <c r="S116" s="138"/>
      <c r="T116" s="69"/>
      <c r="U116" s="72"/>
      <c r="V116" s="139"/>
      <c r="W116" s="140"/>
      <c r="X116" s="141"/>
      <c r="Y116" s="141"/>
      <c r="Z116" s="142"/>
      <c r="AA116" s="143"/>
      <c r="AB116" s="139"/>
      <c r="AC116" s="140"/>
      <c r="AD116" s="141"/>
      <c r="AE116" s="141"/>
      <c r="AF116" s="141"/>
      <c r="AG116" s="141"/>
      <c r="AH116" s="141"/>
      <c r="AI116" s="141"/>
      <c r="AJ116" s="144"/>
      <c r="AK116" s="139"/>
      <c r="AL116" s="141"/>
      <c r="AM116" s="141"/>
      <c r="AN116" s="141"/>
      <c r="AO116" s="141"/>
      <c r="AP116" s="141"/>
      <c r="AQ116" s="141"/>
      <c r="AR116" s="141"/>
      <c r="AS116" s="144"/>
      <c r="AT116" s="139"/>
      <c r="AU116" s="144"/>
      <c r="AV116" s="139"/>
      <c r="AW116" s="141"/>
      <c r="AX116" s="141"/>
      <c r="AY116" s="141"/>
      <c r="AZ116" s="144"/>
      <c r="BA116" s="139"/>
      <c r="BB116" s="141"/>
      <c r="BC116" s="141"/>
      <c r="BD116" s="143"/>
      <c r="BE116" s="6">
        <f>I116-SUM(AB116:BD116)</f>
        <v>0</v>
      </c>
    </row>
    <row r="117" spans="1:57" ht="15" customHeight="1">
      <c r="A117" s="136"/>
      <c r="B117" s="40"/>
      <c r="C117" s="62">
        <f>SUM(AB117:AJ117)</f>
        <v>0</v>
      </c>
      <c r="D117" s="63">
        <f>SUM(AK117:AS117)</f>
        <v>0</v>
      </c>
      <c r="E117" s="63">
        <f>SUM(AT117:AU117)</f>
        <v>0</v>
      </c>
      <c r="F117" s="63">
        <f>SUM(AV117:AZ117)</f>
        <v>0</v>
      </c>
      <c r="G117" s="63">
        <f t="shared" si="36"/>
        <v>0</v>
      </c>
      <c r="H117" s="63">
        <f>SUM(V117:AA117)</f>
        <v>0</v>
      </c>
      <c r="I117" s="64">
        <f t="shared" si="34"/>
        <v>0</v>
      </c>
      <c r="J117" s="65"/>
      <c r="K117" s="137"/>
      <c r="L117" s="83"/>
      <c r="M117" s="67"/>
      <c r="N117" s="68"/>
      <c r="O117" s="62"/>
      <c r="P117" s="69"/>
      <c r="Q117" s="70"/>
      <c r="R117" s="50">
        <f t="shared" si="35"/>
        <v>0</v>
      </c>
      <c r="S117" s="138"/>
      <c r="T117" s="69"/>
      <c r="U117" s="145"/>
      <c r="V117" s="139"/>
      <c r="W117" s="140"/>
      <c r="X117" s="141"/>
      <c r="Y117" s="141"/>
      <c r="Z117" s="142"/>
      <c r="AA117" s="143"/>
      <c r="AB117" s="106"/>
      <c r="AC117" s="106"/>
      <c r="AD117" s="141"/>
      <c r="AE117" s="141"/>
      <c r="AF117" s="141"/>
      <c r="AG117" s="141"/>
      <c r="AH117" s="141"/>
      <c r="AI117" s="141"/>
      <c r="AJ117" s="144"/>
      <c r="AK117" s="139"/>
      <c r="AL117" s="141"/>
      <c r="AM117" s="141"/>
      <c r="AN117" s="141"/>
      <c r="AO117" s="141"/>
      <c r="AP117" s="141"/>
      <c r="AQ117" s="141"/>
      <c r="AR117" s="141"/>
      <c r="AS117" s="144"/>
      <c r="AT117" s="139"/>
      <c r="AU117" s="144"/>
      <c r="AV117" s="139"/>
      <c r="AW117" s="141"/>
      <c r="AX117" s="141"/>
      <c r="AY117" s="141"/>
      <c r="AZ117" s="144"/>
      <c r="BA117" s="139"/>
      <c r="BB117" s="141"/>
      <c r="BC117" s="141"/>
      <c r="BD117" s="143"/>
      <c r="BE117" s="6">
        <f>I117-SUM(AB117:BD117)</f>
        <v>0</v>
      </c>
    </row>
    <row r="118" spans="1:57" ht="15" customHeight="1">
      <c r="A118" s="136"/>
      <c r="B118" s="40"/>
      <c r="C118" s="62">
        <f>SUM(AB118:AJ118)</f>
        <v>0</v>
      </c>
      <c r="D118" s="63">
        <f>SUM(AK118:AS118)</f>
        <v>0</v>
      </c>
      <c r="E118" s="63">
        <f>SUM(AT118:AU118)</f>
        <v>0</v>
      </c>
      <c r="F118" s="63">
        <f>SUM(AV118:AZ118)</f>
        <v>0</v>
      </c>
      <c r="G118" s="63">
        <f t="shared" si="36"/>
        <v>0</v>
      </c>
      <c r="H118" s="63">
        <f>SUM(V118:AA118)</f>
        <v>0</v>
      </c>
      <c r="I118" s="64">
        <f t="shared" si="34"/>
        <v>0</v>
      </c>
      <c r="J118" s="65"/>
      <c r="K118" s="137"/>
      <c r="L118" s="83"/>
      <c r="M118" s="67"/>
      <c r="N118" s="68"/>
      <c r="O118" s="62"/>
      <c r="P118" s="69"/>
      <c r="Q118" s="70"/>
      <c r="R118" s="50">
        <f t="shared" si="35"/>
        <v>0</v>
      </c>
      <c r="S118" s="138"/>
      <c r="T118" s="69"/>
      <c r="U118" s="145"/>
      <c r="V118" s="139"/>
      <c r="W118" s="140"/>
      <c r="X118" s="141"/>
      <c r="Y118" s="141"/>
      <c r="Z118" s="142"/>
      <c r="AA118" s="143"/>
      <c r="AB118" s="139"/>
      <c r="AC118" s="140"/>
      <c r="AD118" s="141"/>
      <c r="AE118" s="141"/>
      <c r="AF118" s="141"/>
      <c r="AG118" s="141"/>
      <c r="AH118" s="141"/>
      <c r="AI118" s="141"/>
      <c r="AJ118" s="144"/>
      <c r="AK118" s="139"/>
      <c r="AL118" s="141"/>
      <c r="AM118" s="141"/>
      <c r="AN118" s="141"/>
      <c r="AO118" s="141"/>
      <c r="AP118" s="141"/>
      <c r="AQ118" s="141"/>
      <c r="AR118" s="141"/>
      <c r="AS118" s="144"/>
      <c r="AT118" s="139"/>
      <c r="AU118" s="144"/>
      <c r="AV118" s="139"/>
      <c r="AW118" s="141"/>
      <c r="AX118" s="141"/>
      <c r="AY118" s="141"/>
      <c r="AZ118" s="144"/>
      <c r="BA118" s="139"/>
      <c r="BB118" s="141"/>
      <c r="BC118" s="141"/>
      <c r="BD118" s="143"/>
      <c r="BE118" s="6">
        <f>I118-SUM(AB118:BD118)</f>
        <v>0</v>
      </c>
    </row>
    <row r="119" spans="1:57" ht="15" customHeight="1">
      <c r="A119" s="136"/>
      <c r="B119" s="40"/>
      <c r="C119" s="62"/>
      <c r="D119" s="63"/>
      <c r="E119" s="63"/>
      <c r="F119" s="63"/>
      <c r="G119" s="63"/>
      <c r="H119" s="63"/>
      <c r="I119" s="64"/>
      <c r="J119" s="65"/>
      <c r="K119" s="137"/>
      <c r="L119" s="83"/>
      <c r="M119" s="67"/>
      <c r="N119" s="68"/>
      <c r="O119" s="62"/>
      <c r="P119" s="69"/>
      <c r="Q119" s="70"/>
      <c r="R119" s="50">
        <f t="shared" si="35"/>
        <v>0</v>
      </c>
      <c r="S119" s="138"/>
      <c r="T119" s="69"/>
      <c r="U119" s="72"/>
      <c r="V119" s="139"/>
      <c r="W119" s="140"/>
      <c r="X119" s="141"/>
      <c r="Y119" s="141"/>
      <c r="Z119" s="142"/>
      <c r="AA119" s="143"/>
      <c r="AB119" s="139"/>
      <c r="AC119" s="140"/>
      <c r="AD119" s="141"/>
      <c r="AE119" s="141"/>
      <c r="AF119" s="141"/>
      <c r="AG119" s="141"/>
      <c r="AH119" s="141"/>
      <c r="AI119" s="141"/>
      <c r="AJ119" s="144"/>
      <c r="AK119" s="139"/>
      <c r="AL119" s="141"/>
      <c r="AM119" s="141"/>
      <c r="AN119" s="141"/>
      <c r="AO119" s="141"/>
      <c r="AP119" s="141"/>
      <c r="AQ119" s="141"/>
      <c r="AR119" s="141"/>
      <c r="AS119" s="144"/>
      <c r="AT119" s="139"/>
      <c r="AU119" s="144"/>
      <c r="AV119" s="139"/>
      <c r="AW119" s="141"/>
      <c r="AX119" s="141"/>
      <c r="AY119" s="141"/>
      <c r="AZ119" s="144"/>
      <c r="BA119" s="139"/>
      <c r="BB119" s="141"/>
      <c r="BC119" s="141"/>
      <c r="BD119" s="143"/>
    </row>
    <row r="120" spans="1:57" ht="15" customHeight="1">
      <c r="A120" s="136"/>
      <c r="B120" s="40"/>
      <c r="C120" s="62">
        <f>SUM(AB120:AJ120)</f>
        <v>0</v>
      </c>
      <c r="D120" s="63">
        <f>SUM(AK120:AS120)</f>
        <v>0</v>
      </c>
      <c r="E120" s="63">
        <f>SUM(AT120:AU120)</f>
        <v>0</v>
      </c>
      <c r="F120" s="63">
        <f>SUM(AV120:AZ120)</f>
        <v>0</v>
      </c>
      <c r="G120" s="63">
        <f>SUM(BA120:BD120)</f>
        <v>0</v>
      </c>
      <c r="H120" s="63">
        <f>SUM(V120:AA120)</f>
        <v>0</v>
      </c>
      <c r="I120" s="64">
        <f t="shared" si="34"/>
        <v>0</v>
      </c>
      <c r="J120" s="65"/>
      <c r="K120" s="137"/>
      <c r="L120" s="83"/>
      <c r="M120" s="67"/>
      <c r="N120" s="68"/>
      <c r="O120" s="62"/>
      <c r="P120" s="69"/>
      <c r="Q120" s="70"/>
      <c r="R120" s="50">
        <f t="shared" si="35"/>
        <v>0</v>
      </c>
      <c r="S120" s="138"/>
      <c r="T120" s="69"/>
      <c r="U120" s="72"/>
      <c r="V120" s="139"/>
      <c r="W120" s="140"/>
      <c r="X120" s="141"/>
      <c r="Y120" s="141"/>
      <c r="Z120" s="142"/>
      <c r="AA120" s="143"/>
      <c r="AB120" s="139"/>
      <c r="AC120" s="140"/>
      <c r="AD120" s="141"/>
      <c r="AE120" s="141"/>
      <c r="AF120" s="141"/>
      <c r="AG120" s="141"/>
      <c r="AH120" s="141"/>
      <c r="AI120" s="141"/>
      <c r="AJ120" s="144"/>
      <c r="AK120" s="139"/>
      <c r="AL120" s="141"/>
      <c r="AM120" s="141"/>
      <c r="AN120" s="141"/>
      <c r="AO120" s="141"/>
      <c r="AP120" s="141"/>
      <c r="AQ120" s="141"/>
      <c r="AR120" s="141"/>
      <c r="AS120" s="144"/>
      <c r="AT120" s="139"/>
      <c r="AU120" s="144"/>
      <c r="AV120" s="139"/>
      <c r="AW120" s="141"/>
      <c r="AX120" s="141"/>
      <c r="AY120" s="141"/>
      <c r="AZ120" s="144"/>
      <c r="BA120" s="139"/>
      <c r="BB120" s="141"/>
      <c r="BC120" s="141"/>
      <c r="BD120" s="143"/>
      <c r="BE120" s="6">
        <f>I120-SUM(AB120:BD120)</f>
        <v>0</v>
      </c>
    </row>
    <row r="121" spans="1:57" ht="15" customHeight="1">
      <c r="A121" s="136"/>
      <c r="B121" s="40"/>
      <c r="C121" s="146"/>
      <c r="D121" s="147"/>
      <c r="E121" s="147"/>
      <c r="F121" s="147"/>
      <c r="G121" s="147"/>
      <c r="H121" s="147"/>
      <c r="I121" s="148"/>
      <c r="J121" s="149"/>
      <c r="K121" s="150"/>
      <c r="L121" s="151"/>
      <c r="M121" s="152"/>
      <c r="N121" s="153"/>
      <c r="O121" s="146"/>
      <c r="P121" s="154"/>
      <c r="Q121" s="155"/>
      <c r="R121" s="50">
        <f t="shared" si="35"/>
        <v>0</v>
      </c>
      <c r="S121" s="138"/>
      <c r="T121" s="69"/>
      <c r="U121" s="72"/>
      <c r="V121" s="156"/>
      <c r="W121" s="157"/>
      <c r="X121" s="158"/>
      <c r="Y121" s="158"/>
      <c r="Z121" s="159"/>
      <c r="AA121" s="160"/>
      <c r="AB121" s="156"/>
      <c r="AC121" s="157"/>
      <c r="AD121" s="158"/>
      <c r="AE121" s="158"/>
      <c r="AF121" s="158"/>
      <c r="AG121" s="158"/>
      <c r="AH121" s="158"/>
      <c r="AI121" s="158"/>
      <c r="AJ121" s="161"/>
      <c r="AK121" s="156"/>
      <c r="AL121" s="158"/>
      <c r="AM121" s="157"/>
      <c r="AN121" s="158"/>
      <c r="AO121" s="158"/>
      <c r="AP121" s="158"/>
      <c r="AQ121" s="158"/>
      <c r="AR121" s="158"/>
      <c r="AS121" s="161"/>
      <c r="AT121" s="156"/>
      <c r="AU121" s="161"/>
      <c r="AV121" s="156"/>
      <c r="AW121" s="158"/>
      <c r="AX121" s="158"/>
      <c r="AY121" s="158"/>
      <c r="AZ121" s="161"/>
      <c r="BA121" s="156"/>
      <c r="BB121" s="158"/>
      <c r="BC121" s="158"/>
      <c r="BD121" s="160"/>
    </row>
    <row r="122" spans="1:57" s="3" customFormat="1" ht="15" customHeight="1">
      <c r="A122" s="162" t="s">
        <v>119</v>
      </c>
      <c r="B122" s="163"/>
      <c r="C122" s="164">
        <f t="shared" ref="C122:Q122" si="37">SUM(C116:C120)</f>
        <v>0</v>
      </c>
      <c r="D122" s="165">
        <f t="shared" si="37"/>
        <v>0</v>
      </c>
      <c r="E122" s="165">
        <f t="shared" si="37"/>
        <v>0</v>
      </c>
      <c r="F122" s="165">
        <f t="shared" si="37"/>
        <v>0</v>
      </c>
      <c r="G122" s="165">
        <f t="shared" si="37"/>
        <v>0</v>
      </c>
      <c r="H122" s="165">
        <f t="shared" si="37"/>
        <v>0</v>
      </c>
      <c r="I122" s="166">
        <f t="shared" si="37"/>
        <v>0</v>
      </c>
      <c r="J122" s="167">
        <f t="shared" si="37"/>
        <v>0</v>
      </c>
      <c r="K122" s="167">
        <f>SUM(K116:K121)</f>
        <v>0</v>
      </c>
      <c r="L122" s="168">
        <f>SUM(L116:L120)</f>
        <v>0</v>
      </c>
      <c r="M122" s="169">
        <f>SUM(M116:M120)</f>
        <v>0</v>
      </c>
      <c r="N122" s="170">
        <f t="shared" si="37"/>
        <v>0</v>
      </c>
      <c r="O122" s="164"/>
      <c r="P122" s="171">
        <f t="shared" si="37"/>
        <v>0</v>
      </c>
      <c r="Q122" s="172">
        <f t="shared" si="37"/>
        <v>0</v>
      </c>
      <c r="R122" s="173">
        <f t="shared" si="35"/>
        <v>0</v>
      </c>
      <c r="S122" s="174"/>
      <c r="T122" s="171"/>
      <c r="U122" s="175"/>
      <c r="V122" s="176">
        <f>SUM(V116:V120)</f>
        <v>0</v>
      </c>
      <c r="W122" s="177"/>
      <c r="X122" s="178">
        <f>SUM(X116:X120)</f>
        <v>0</v>
      </c>
      <c r="Y122" s="178"/>
      <c r="Z122" s="179">
        <f>SUM(Z116:Z120)</f>
        <v>0</v>
      </c>
      <c r="AA122" s="180">
        <f>SUM(AA116:AA120)</f>
        <v>0</v>
      </c>
      <c r="AB122" s="176">
        <f t="shared" ref="AB122:BD122" si="38">SUM(AB116:AB120)</f>
        <v>0</v>
      </c>
      <c r="AC122" s="177"/>
      <c r="AD122" s="178">
        <f t="shared" si="38"/>
        <v>0</v>
      </c>
      <c r="AE122" s="178">
        <f t="shared" si="38"/>
        <v>0</v>
      </c>
      <c r="AF122" s="178">
        <f t="shared" si="38"/>
        <v>0</v>
      </c>
      <c r="AG122" s="178">
        <f t="shared" si="38"/>
        <v>0</v>
      </c>
      <c r="AH122" s="178">
        <f t="shared" si="38"/>
        <v>0</v>
      </c>
      <c r="AI122" s="178">
        <f t="shared" si="38"/>
        <v>0</v>
      </c>
      <c r="AJ122" s="181">
        <f t="shared" si="38"/>
        <v>0</v>
      </c>
      <c r="AK122" s="176">
        <f t="shared" si="38"/>
        <v>0</v>
      </c>
      <c r="AL122" s="178">
        <f t="shared" si="38"/>
        <v>0</v>
      </c>
      <c r="AM122" s="176">
        <f t="shared" si="38"/>
        <v>0</v>
      </c>
      <c r="AN122" s="178">
        <f t="shared" si="38"/>
        <v>0</v>
      </c>
      <c r="AO122" s="178">
        <f t="shared" si="38"/>
        <v>0</v>
      </c>
      <c r="AP122" s="178">
        <f t="shared" si="38"/>
        <v>0</v>
      </c>
      <c r="AQ122" s="178">
        <f t="shared" si="38"/>
        <v>0</v>
      </c>
      <c r="AR122" s="178">
        <f t="shared" si="38"/>
        <v>0</v>
      </c>
      <c r="AS122" s="181">
        <f t="shared" si="38"/>
        <v>0</v>
      </c>
      <c r="AT122" s="176">
        <f t="shared" si="38"/>
        <v>0</v>
      </c>
      <c r="AU122" s="181">
        <f t="shared" si="38"/>
        <v>0</v>
      </c>
      <c r="AV122" s="176">
        <f t="shared" si="38"/>
        <v>0</v>
      </c>
      <c r="AW122" s="178">
        <f t="shared" si="38"/>
        <v>0</v>
      </c>
      <c r="AX122" s="178">
        <f t="shared" si="38"/>
        <v>0</v>
      </c>
      <c r="AY122" s="178">
        <f t="shared" si="38"/>
        <v>0</v>
      </c>
      <c r="AZ122" s="181">
        <f t="shared" si="38"/>
        <v>0</v>
      </c>
      <c r="BA122" s="176">
        <f t="shared" si="38"/>
        <v>0</v>
      </c>
      <c r="BB122" s="178">
        <f t="shared" si="38"/>
        <v>0</v>
      </c>
      <c r="BC122" s="178">
        <f t="shared" si="38"/>
        <v>0</v>
      </c>
      <c r="BD122" s="180">
        <f t="shared" si="38"/>
        <v>0</v>
      </c>
      <c r="BE122" s="6">
        <f>I122-SUM(AB122:BD122)</f>
        <v>0</v>
      </c>
    </row>
    <row r="123" spans="1:57" s="4" customFormat="1" ht="14.25" customHeight="1">
      <c r="B123" s="5"/>
      <c r="C123" s="182"/>
      <c r="D123" s="182"/>
      <c r="E123" s="182"/>
      <c r="F123" s="182"/>
      <c r="I123" s="183"/>
      <c r="P123" s="2"/>
      <c r="R123" s="183"/>
      <c r="S123" s="183"/>
      <c r="T123" s="2"/>
      <c r="U123" s="2"/>
      <c r="Z123" s="2"/>
      <c r="BE123" s="182"/>
    </row>
    <row r="124" spans="1:57" s="4" customFormat="1" ht="14.25" customHeight="1">
      <c r="B124" s="5"/>
      <c r="C124" s="183"/>
      <c r="D124" s="183"/>
      <c r="E124" s="183"/>
      <c r="F124" s="183"/>
      <c r="G124" s="183"/>
      <c r="H124" s="183"/>
      <c r="I124" s="183"/>
      <c r="J124" s="183"/>
      <c r="K124" s="183"/>
      <c r="L124" s="183"/>
      <c r="M124" s="183"/>
      <c r="N124" s="183"/>
      <c r="O124" s="183"/>
      <c r="P124" s="184"/>
      <c r="Q124" s="183"/>
      <c r="R124" s="183"/>
      <c r="S124" s="183"/>
      <c r="T124" s="184"/>
      <c r="U124" s="184"/>
      <c r="V124" s="183"/>
      <c r="W124" s="183"/>
      <c r="X124" s="183"/>
      <c r="Y124" s="183"/>
      <c r="Z124" s="183"/>
      <c r="AA124" s="183"/>
      <c r="AB124" s="183"/>
      <c r="AC124" s="183"/>
      <c r="AD124" s="183"/>
      <c r="AE124" s="183"/>
      <c r="AF124" s="183"/>
      <c r="AG124" s="183"/>
      <c r="AH124" s="183"/>
      <c r="AI124" s="183"/>
      <c r="AJ124" s="183"/>
      <c r="AK124" s="183"/>
      <c r="AL124" s="183"/>
      <c r="AM124" s="183"/>
      <c r="AN124" s="183"/>
      <c r="AO124" s="183"/>
      <c r="AP124" s="183"/>
      <c r="AQ124" s="183"/>
      <c r="AR124" s="183"/>
      <c r="AS124" s="183"/>
      <c r="AT124" s="183"/>
      <c r="AU124" s="183"/>
      <c r="AV124" s="183"/>
      <c r="AW124" s="183"/>
      <c r="AX124" s="183"/>
      <c r="AY124" s="183"/>
      <c r="AZ124" s="183"/>
      <c r="BA124" s="183"/>
      <c r="BB124" s="183"/>
      <c r="BC124" s="183"/>
      <c r="BD124" s="183"/>
      <c r="BE124" s="182"/>
    </row>
    <row r="125" spans="1:57" ht="31.5" customHeight="1">
      <c r="AB125" s="185"/>
      <c r="AC125" s="185"/>
    </row>
    <row r="126" spans="1:57" ht="21.75" customHeight="1">
      <c r="R126" s="186"/>
      <c r="AB126" s="187"/>
      <c r="AC126" s="187"/>
    </row>
  </sheetData>
  <autoFilter ref="A3:BE126" xr:uid="{00000000-0009-0000-0000-000004000000}"/>
  <mergeCells count="26">
    <mergeCell ref="V2:AA2"/>
    <mergeCell ref="AB2:AJ2"/>
    <mergeCell ref="AK2:AS2"/>
    <mergeCell ref="AT2:AU2"/>
    <mergeCell ref="AV2:AZ2"/>
    <mergeCell ref="BA2:BD2"/>
    <mergeCell ref="A4:B4"/>
    <mergeCell ref="A114:B114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R2:R3"/>
    <mergeCell ref="S2:S3"/>
    <mergeCell ref="T2:T3"/>
    <mergeCell ref="U2:U3"/>
    <mergeCell ref="N2:Q2"/>
  </mergeCells>
  <phoneticPr fontId="46" type="noConversion"/>
  <hyperlinks>
    <hyperlink ref="A1" location="汇总表!A1" display="←返回" xr:uid="{00000000-0004-0000-0400-000000000000}"/>
  </hyperlinks>
  <pageMargins left="0.7" right="0.7" top="0.75" bottom="0.75" header="0.3" footer="0.3"/>
  <pageSetup paperSize="9" orientation="landscape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E126"/>
  <sheetViews>
    <sheetView zoomScale="115" zoomScaleNormal="115" workbookViewId="0">
      <pane xSplit="2" ySplit="4" topLeftCell="C107" activePane="bottomRight" state="frozen"/>
      <selection pane="topRight"/>
      <selection pane="bottomLeft"/>
      <selection pane="bottomRight" activeCell="A31" sqref="A31:XFD40"/>
    </sheetView>
  </sheetViews>
  <sheetFormatPr defaultColWidth="9" defaultRowHeight="17.399999999999999" outlineLevelCol="1"/>
  <cols>
    <col min="1" max="1" width="6.69921875" style="4" customWidth="1"/>
    <col min="2" max="2" width="7" style="5" customWidth="1"/>
    <col min="3" max="6" width="4.8984375" style="6" customWidth="1" outlineLevel="1"/>
    <col min="7" max="8" width="4.8984375" style="7" customWidth="1" outlineLevel="1"/>
    <col min="9" max="9" width="4.8984375" style="7" customWidth="1"/>
    <col min="10" max="10" width="4.09765625" style="7" customWidth="1" outlineLevel="1"/>
    <col min="11" max="11" width="4.19921875" style="7" customWidth="1" outlineLevel="1"/>
    <col min="12" max="13" width="4.8984375" style="7" customWidth="1"/>
    <col min="14" max="15" width="4.8984375" style="7" customWidth="1" outlineLevel="1"/>
    <col min="16" max="16" width="4.8984375" style="8" customWidth="1" outlineLevel="1"/>
    <col min="17" max="17" width="4.8984375" style="7" customWidth="1" outlineLevel="1"/>
    <col min="18" max="18" width="7.59765625" style="7" customWidth="1"/>
    <col min="19" max="19" width="4.69921875" style="7" customWidth="1"/>
    <col min="20" max="20" width="4.09765625" style="8" customWidth="1"/>
    <col min="21" max="21" width="9.5" style="8" customWidth="1"/>
    <col min="22" max="25" width="5.3984375" style="7" customWidth="1" outlineLevel="1"/>
    <col min="26" max="26" width="4.8984375" style="8" customWidth="1" outlineLevel="1"/>
    <col min="27" max="27" width="5.69921875" style="7" customWidth="1" outlineLevel="1"/>
    <col min="28" max="28" width="5.09765625" style="9" customWidth="1" outlineLevel="1"/>
    <col min="29" max="29" width="4.09765625" style="9" customWidth="1" outlineLevel="1"/>
    <col min="30" max="30" width="4.59765625" style="9" customWidth="1" outlineLevel="1"/>
    <col min="31" max="35" width="3.8984375" style="9" customWidth="1" outlineLevel="1"/>
    <col min="36" max="36" width="3.8984375" style="9" customWidth="1"/>
    <col min="37" max="44" width="4.5" style="7" customWidth="1" outlineLevel="1"/>
    <col min="45" max="45" width="4.5" style="7" customWidth="1"/>
    <col min="46" max="47" width="4.8984375" style="7" customWidth="1"/>
    <col min="48" max="48" width="5" style="7" customWidth="1"/>
    <col min="49" max="50" width="4.09765625" style="7" customWidth="1"/>
    <col min="51" max="51" width="4.19921875" style="7" customWidth="1"/>
    <col min="52" max="52" width="4.8984375" style="7" customWidth="1"/>
    <col min="53" max="53" width="6.3984375" style="7" customWidth="1"/>
    <col min="54" max="54" width="6.59765625" style="7" customWidth="1"/>
    <col min="55" max="56" width="4.19921875" style="7" customWidth="1"/>
    <col min="57" max="57" width="2.3984375" style="6" customWidth="1"/>
    <col min="58" max="16384" width="9" style="7"/>
  </cols>
  <sheetData>
    <row r="1" spans="1:57">
      <c r="A1" s="188" t="s">
        <v>93</v>
      </c>
      <c r="R1" s="11"/>
      <c r="S1" s="11"/>
    </row>
    <row r="2" spans="1:57" s="1" customFormat="1" ht="25.5" customHeight="1">
      <c r="A2" s="556" t="s">
        <v>65</v>
      </c>
      <c r="B2" s="558" t="s">
        <v>66</v>
      </c>
      <c r="C2" s="560" t="s">
        <v>68</v>
      </c>
      <c r="D2" s="562" t="s">
        <v>69</v>
      </c>
      <c r="E2" s="564" t="s">
        <v>70</v>
      </c>
      <c r="F2" s="566" t="s">
        <v>71</v>
      </c>
      <c r="G2" s="550" t="s">
        <v>72</v>
      </c>
      <c r="H2" s="569" t="s">
        <v>73</v>
      </c>
      <c r="I2" s="571" t="s">
        <v>74</v>
      </c>
      <c r="J2" s="573" t="s">
        <v>75</v>
      </c>
      <c r="K2" s="575" t="s">
        <v>76</v>
      </c>
      <c r="L2" s="536" t="s">
        <v>100</v>
      </c>
      <c r="M2" s="536" t="s">
        <v>101</v>
      </c>
      <c r="N2" s="577" t="s">
        <v>79</v>
      </c>
      <c r="O2" s="577"/>
      <c r="P2" s="577"/>
      <c r="Q2" s="577"/>
      <c r="R2" s="538" t="s">
        <v>80</v>
      </c>
      <c r="S2" s="540" t="s">
        <v>81</v>
      </c>
      <c r="T2" s="542" t="s">
        <v>82</v>
      </c>
      <c r="U2" s="544" t="s">
        <v>83</v>
      </c>
      <c r="V2" s="578" t="s">
        <v>73</v>
      </c>
      <c r="W2" s="579"/>
      <c r="X2" s="569"/>
      <c r="Y2" s="569"/>
      <c r="Z2" s="569"/>
      <c r="AA2" s="580"/>
      <c r="AB2" s="581" t="s">
        <v>68</v>
      </c>
      <c r="AC2" s="582"/>
      <c r="AD2" s="583"/>
      <c r="AE2" s="583"/>
      <c r="AF2" s="583"/>
      <c r="AG2" s="583"/>
      <c r="AH2" s="583"/>
      <c r="AI2" s="583"/>
      <c r="AJ2" s="584"/>
      <c r="AK2" s="585" t="s">
        <v>69</v>
      </c>
      <c r="AL2" s="586"/>
      <c r="AM2" s="586"/>
      <c r="AN2" s="586"/>
      <c r="AO2" s="586"/>
      <c r="AP2" s="586"/>
      <c r="AQ2" s="586"/>
      <c r="AR2" s="586"/>
      <c r="AS2" s="587"/>
      <c r="AT2" s="588" t="s">
        <v>70</v>
      </c>
      <c r="AU2" s="589"/>
      <c r="AV2" s="546" t="s">
        <v>71</v>
      </c>
      <c r="AW2" s="547"/>
      <c r="AX2" s="547"/>
      <c r="AY2" s="547"/>
      <c r="AZ2" s="548"/>
      <c r="BA2" s="549" t="s">
        <v>84</v>
      </c>
      <c r="BB2" s="550"/>
      <c r="BC2" s="550"/>
      <c r="BD2" s="551"/>
      <c r="BE2" s="12"/>
    </row>
    <row r="3" spans="1:57" s="2" customFormat="1" ht="30" customHeight="1">
      <c r="A3" s="557"/>
      <c r="B3" s="559"/>
      <c r="C3" s="561"/>
      <c r="D3" s="563"/>
      <c r="E3" s="565"/>
      <c r="F3" s="567"/>
      <c r="G3" s="568"/>
      <c r="H3" s="570"/>
      <c r="I3" s="572"/>
      <c r="J3" s="574"/>
      <c r="K3" s="576"/>
      <c r="L3" s="537"/>
      <c r="M3" s="537"/>
      <c r="N3" s="13" t="s">
        <v>102</v>
      </c>
      <c r="O3" s="13" t="s">
        <v>103</v>
      </c>
      <c r="P3" s="13" t="s">
        <v>104</v>
      </c>
      <c r="Q3" s="14" t="s">
        <v>105</v>
      </c>
      <c r="R3" s="539"/>
      <c r="S3" s="541"/>
      <c r="T3" s="543"/>
      <c r="U3" s="545"/>
      <c r="V3" s="15" t="s">
        <v>19</v>
      </c>
      <c r="W3" s="16" t="s">
        <v>106</v>
      </c>
      <c r="X3" s="17" t="s">
        <v>107</v>
      </c>
      <c r="Y3" s="17" t="s">
        <v>108</v>
      </c>
      <c r="Z3" s="17" t="s">
        <v>109</v>
      </c>
      <c r="AA3" s="18" t="s">
        <v>32</v>
      </c>
      <c r="AB3" s="19" t="s">
        <v>110</v>
      </c>
      <c r="AC3" s="19" t="s">
        <v>111</v>
      </c>
      <c r="AD3" s="19" t="s">
        <v>26</v>
      </c>
      <c r="AE3" s="19" t="s">
        <v>27</v>
      </c>
      <c r="AF3" s="19" t="s">
        <v>28</v>
      </c>
      <c r="AG3" s="19" t="s">
        <v>29</v>
      </c>
      <c r="AH3" s="19" t="s">
        <v>30</v>
      </c>
      <c r="AI3" s="19" t="s">
        <v>19</v>
      </c>
      <c r="AJ3" s="20" t="s">
        <v>32</v>
      </c>
      <c r="AK3" s="21" t="s">
        <v>112</v>
      </c>
      <c r="AL3" s="22" t="s">
        <v>113</v>
      </c>
      <c r="AM3" s="22" t="s">
        <v>114</v>
      </c>
      <c r="AN3" s="22" t="s">
        <v>115</v>
      </c>
      <c r="AO3" s="22" t="s">
        <v>19</v>
      </c>
      <c r="AP3" s="22" t="s">
        <v>36</v>
      </c>
      <c r="AQ3" s="22" t="s">
        <v>37</v>
      </c>
      <c r="AR3" s="22" t="s">
        <v>38</v>
      </c>
      <c r="AS3" s="23" t="s">
        <v>32</v>
      </c>
      <c r="AT3" s="24" t="s">
        <v>40</v>
      </c>
      <c r="AU3" s="25" t="s">
        <v>116</v>
      </c>
      <c r="AV3" s="26" t="s">
        <v>51</v>
      </c>
      <c r="AW3" s="27" t="s">
        <v>52</v>
      </c>
      <c r="AX3" s="27" t="s">
        <v>53</v>
      </c>
      <c r="AY3" s="27" t="s">
        <v>86</v>
      </c>
      <c r="AZ3" s="28" t="s">
        <v>87</v>
      </c>
      <c r="BA3" s="29" t="s">
        <v>44</v>
      </c>
      <c r="BB3" s="30" t="s">
        <v>45</v>
      </c>
      <c r="BC3" s="30"/>
      <c r="BD3" s="31"/>
      <c r="BE3" s="32"/>
    </row>
    <row r="4" spans="1:57" s="3" customFormat="1" ht="20.25" customHeight="1">
      <c r="A4" s="552" t="s">
        <v>117</v>
      </c>
      <c r="B4" s="553"/>
      <c r="C4" s="33"/>
      <c r="D4" s="33"/>
      <c r="E4" s="33"/>
      <c r="F4" s="33"/>
      <c r="G4" s="34"/>
      <c r="H4" s="35"/>
      <c r="I4" s="33"/>
      <c r="J4" s="34"/>
      <c r="K4" s="34"/>
      <c r="L4" s="34"/>
      <c r="M4" s="34"/>
      <c r="N4" s="34"/>
      <c r="O4" s="34"/>
      <c r="P4" s="36"/>
      <c r="Q4" s="34"/>
      <c r="R4" s="33">
        <v>0</v>
      </c>
      <c r="S4" s="34"/>
      <c r="T4" s="36"/>
      <c r="U4" s="36"/>
      <c r="V4" s="34"/>
      <c r="W4" s="34"/>
      <c r="X4" s="34"/>
      <c r="Y4" s="34"/>
      <c r="Z4" s="36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34"/>
      <c r="BA4" s="34"/>
      <c r="BB4" s="34"/>
      <c r="BC4" s="34"/>
      <c r="BD4" s="37"/>
      <c r="BE4" s="38"/>
    </row>
    <row r="5" spans="1:57">
      <c r="A5" s="39"/>
      <c r="B5" s="40"/>
      <c r="C5" s="41">
        <f t="shared" ref="C5:C36" si="0">SUM(AB5:AJ5)</f>
        <v>0</v>
      </c>
      <c r="D5" s="42">
        <f t="shared" ref="D5:D36" si="1">SUM(AK5:AS5)</f>
        <v>0</v>
      </c>
      <c r="E5" s="42">
        <f t="shared" ref="E5:E36" si="2">SUM(AT5:AU5)</f>
        <v>0</v>
      </c>
      <c r="F5" s="42">
        <f t="shared" ref="F5:F36" si="3">SUM(AV5:AZ5)</f>
        <v>0</v>
      </c>
      <c r="G5" s="42">
        <f>SUM(BA5:BD5)</f>
        <v>0</v>
      </c>
      <c r="H5" s="42">
        <f t="shared" ref="H5:H36" si="4">SUM(V5:AA5)</f>
        <v>0</v>
      </c>
      <c r="I5" s="43">
        <f>SUM(C5:H5)</f>
        <v>0</v>
      </c>
      <c r="J5" s="44"/>
      <c r="K5" s="44"/>
      <c r="L5" s="45"/>
      <c r="M5" s="46"/>
      <c r="N5" s="47"/>
      <c r="O5" s="41"/>
      <c r="P5" s="48"/>
      <c r="Q5" s="49"/>
      <c r="R5" s="50">
        <f>R4+SUM(N5:Q5)-SUM(I5:M5)</f>
        <v>0</v>
      </c>
      <c r="S5" s="51"/>
      <c r="T5" s="52"/>
      <c r="U5" s="53"/>
      <c r="V5" s="54"/>
      <c r="W5" s="55"/>
      <c r="X5" s="56"/>
      <c r="Y5" s="56"/>
      <c r="Z5" s="57"/>
      <c r="AA5" s="58"/>
      <c r="AB5" s="54"/>
      <c r="AC5" s="55"/>
      <c r="AD5" s="56"/>
      <c r="AE5" s="56"/>
      <c r="AF5" s="56"/>
      <c r="AG5" s="56"/>
      <c r="AH5" s="56"/>
      <c r="AI5" s="56"/>
      <c r="AJ5" s="59"/>
      <c r="AK5" s="60"/>
      <c r="AL5" s="56"/>
      <c r="AM5" s="56"/>
      <c r="AN5" s="56"/>
      <c r="AO5" s="56"/>
      <c r="AP5" s="56"/>
      <c r="AQ5" s="56"/>
      <c r="AR5" s="56"/>
      <c r="AS5" s="58"/>
      <c r="AT5" s="55"/>
      <c r="AU5" s="59"/>
      <c r="AV5" s="60"/>
      <c r="AW5" s="56"/>
      <c r="AX5" s="56"/>
      <c r="AY5" s="56"/>
      <c r="AZ5" s="58"/>
      <c r="BA5" s="55"/>
      <c r="BB5" s="56"/>
      <c r="BC5" s="56"/>
      <c r="BD5" s="58"/>
      <c r="BE5" s="6">
        <f t="shared" ref="BE5:BE45" si="5">I5-SUM(AB5:BD5)</f>
        <v>0</v>
      </c>
    </row>
    <row r="6" spans="1:57">
      <c r="A6" s="61"/>
      <c r="B6" s="40"/>
      <c r="C6" s="62">
        <f t="shared" si="0"/>
        <v>0</v>
      </c>
      <c r="D6" s="63">
        <f t="shared" si="1"/>
        <v>0</v>
      </c>
      <c r="E6" s="63">
        <f t="shared" si="2"/>
        <v>0</v>
      </c>
      <c r="F6" s="63">
        <f t="shared" si="3"/>
        <v>0</v>
      </c>
      <c r="G6" s="63">
        <f t="shared" ref="G6:G69" si="6">SUM(BA6:BD6)</f>
        <v>0</v>
      </c>
      <c r="H6" s="63">
        <f t="shared" si="4"/>
        <v>0</v>
      </c>
      <c r="I6" s="64">
        <f t="shared" ref="I6:I69" si="7">SUM(C6:H6)</f>
        <v>0</v>
      </c>
      <c r="J6" s="65"/>
      <c r="K6" s="65"/>
      <c r="L6" s="66"/>
      <c r="M6" s="67"/>
      <c r="N6" s="68"/>
      <c r="O6" s="62"/>
      <c r="P6" s="69"/>
      <c r="Q6" s="70"/>
      <c r="R6" s="50">
        <f t="shared" ref="R6:R69" si="8">R5+SUM(N6:Q6)-SUM(I6:M6)</f>
        <v>0</v>
      </c>
      <c r="S6" s="71"/>
      <c r="T6" s="69"/>
      <c r="U6" s="72"/>
      <c r="V6" s="73"/>
      <c r="W6" s="74"/>
      <c r="X6" s="75"/>
      <c r="Y6" s="75"/>
      <c r="Z6" s="76"/>
      <c r="AA6" s="77"/>
      <c r="AB6" s="73"/>
      <c r="AC6" s="74"/>
      <c r="AD6" s="75"/>
      <c r="AE6" s="75"/>
      <c r="AF6" s="75"/>
      <c r="AG6" s="75"/>
      <c r="AI6" s="75"/>
      <c r="AJ6" s="78"/>
      <c r="AK6" s="79"/>
      <c r="AL6" s="75"/>
      <c r="AM6" s="75"/>
      <c r="AN6" s="75"/>
      <c r="AO6" s="75"/>
      <c r="AP6" s="75"/>
      <c r="AQ6" s="75"/>
      <c r="AR6" s="75"/>
      <c r="AS6" s="77"/>
      <c r="AT6" s="74"/>
      <c r="AU6" s="78"/>
      <c r="AV6" s="79"/>
      <c r="AW6" s="75"/>
      <c r="AX6" s="75"/>
      <c r="AY6" s="75"/>
      <c r="AZ6" s="77"/>
      <c r="BA6" s="74"/>
      <c r="BB6" s="75"/>
      <c r="BC6" s="75"/>
      <c r="BD6" s="77"/>
      <c r="BE6" s="6">
        <f t="shared" si="5"/>
        <v>0</v>
      </c>
    </row>
    <row r="7" spans="1:57">
      <c r="A7" s="61"/>
      <c r="B7" s="40"/>
      <c r="C7" s="62">
        <f t="shared" si="0"/>
        <v>0</v>
      </c>
      <c r="D7" s="63">
        <f t="shared" si="1"/>
        <v>0</v>
      </c>
      <c r="E7" s="63">
        <f t="shared" si="2"/>
        <v>0</v>
      </c>
      <c r="F7" s="63">
        <f t="shared" si="3"/>
        <v>0</v>
      </c>
      <c r="G7" s="63">
        <f t="shared" si="6"/>
        <v>0</v>
      </c>
      <c r="H7" s="63">
        <f t="shared" si="4"/>
        <v>0</v>
      </c>
      <c r="I7" s="64">
        <f t="shared" si="7"/>
        <v>0</v>
      </c>
      <c r="J7" s="65"/>
      <c r="K7" s="65"/>
      <c r="L7" s="80"/>
      <c r="M7" s="67"/>
      <c r="N7" s="68"/>
      <c r="O7" s="62"/>
      <c r="P7" s="69"/>
      <c r="Q7" s="70"/>
      <c r="R7" s="50">
        <f t="shared" si="8"/>
        <v>0</v>
      </c>
      <c r="S7" s="71"/>
      <c r="T7" s="69"/>
      <c r="U7" s="72"/>
      <c r="V7" s="73"/>
      <c r="W7" s="74"/>
      <c r="X7" s="75"/>
      <c r="Y7" s="75"/>
      <c r="Z7" s="76"/>
      <c r="AA7" s="77"/>
      <c r="AB7" s="73"/>
      <c r="AC7" s="74"/>
      <c r="AD7" s="75"/>
      <c r="AE7" s="75"/>
      <c r="AF7" s="75"/>
      <c r="AG7" s="75"/>
      <c r="AH7" s="75"/>
      <c r="AI7" s="75"/>
      <c r="AJ7" s="78"/>
      <c r="AK7" s="79"/>
      <c r="AL7" s="75"/>
      <c r="AM7" s="75"/>
      <c r="AN7" s="75"/>
      <c r="AO7" s="75"/>
      <c r="AP7" s="75"/>
      <c r="AQ7" s="75"/>
      <c r="AR7" s="75"/>
      <c r="AS7" s="77"/>
      <c r="AT7" s="74"/>
      <c r="AU7" s="78"/>
      <c r="AV7" s="79"/>
      <c r="AW7" s="75"/>
      <c r="AX7" s="75"/>
      <c r="AY7" s="75"/>
      <c r="AZ7" s="77"/>
      <c r="BA7" s="74"/>
      <c r="BB7" s="75"/>
      <c r="BC7" s="75"/>
      <c r="BD7" s="77"/>
      <c r="BE7" s="6">
        <f t="shared" si="5"/>
        <v>0</v>
      </c>
    </row>
    <row r="8" spans="1:57">
      <c r="A8" s="61"/>
      <c r="B8" s="40"/>
      <c r="C8" s="62">
        <f t="shared" si="0"/>
        <v>0</v>
      </c>
      <c r="D8" s="42">
        <f t="shared" si="1"/>
        <v>0</v>
      </c>
      <c r="E8" s="63">
        <f t="shared" si="2"/>
        <v>0</v>
      </c>
      <c r="F8" s="63">
        <f t="shared" si="3"/>
        <v>0</v>
      </c>
      <c r="G8" s="63">
        <f t="shared" si="6"/>
        <v>0</v>
      </c>
      <c r="H8" s="63">
        <f t="shared" si="4"/>
        <v>0</v>
      </c>
      <c r="I8" s="64">
        <f t="shared" si="7"/>
        <v>0</v>
      </c>
      <c r="J8" s="65"/>
      <c r="K8" s="65"/>
      <c r="L8" s="80"/>
      <c r="M8" s="67"/>
      <c r="N8" s="68"/>
      <c r="O8" s="41"/>
      <c r="P8" s="48"/>
      <c r="Q8" s="70"/>
      <c r="R8" s="50">
        <f t="shared" si="8"/>
        <v>0</v>
      </c>
      <c r="S8" s="71"/>
      <c r="T8" s="69"/>
      <c r="U8" s="81"/>
      <c r="V8" s="73"/>
      <c r="W8" s="74"/>
      <c r="X8" s="75"/>
      <c r="Y8" s="75"/>
      <c r="Z8" s="76"/>
      <c r="AA8" s="77"/>
      <c r="AB8" s="73"/>
      <c r="AC8" s="74"/>
      <c r="AD8" s="75"/>
      <c r="AE8" s="75"/>
      <c r="AF8" s="75"/>
      <c r="AG8" s="75"/>
      <c r="AH8" s="75"/>
      <c r="AI8" s="75"/>
      <c r="AJ8" s="78"/>
      <c r="AK8" s="79"/>
      <c r="AL8" s="75"/>
      <c r="AM8" s="75"/>
      <c r="AN8" s="75"/>
      <c r="AO8" s="75"/>
      <c r="AP8" s="75"/>
      <c r="AQ8" s="75"/>
      <c r="AR8" s="75"/>
      <c r="AS8" s="77"/>
      <c r="AT8" s="74"/>
      <c r="AU8" s="78"/>
      <c r="AV8" s="79"/>
      <c r="AW8" s="75"/>
      <c r="AX8" s="75"/>
      <c r="AY8" s="75"/>
      <c r="AZ8" s="77"/>
      <c r="BA8" s="74"/>
      <c r="BB8" s="75"/>
      <c r="BC8" s="75"/>
      <c r="BD8" s="77"/>
      <c r="BE8" s="6">
        <f t="shared" si="5"/>
        <v>0</v>
      </c>
    </row>
    <row r="9" spans="1:57">
      <c r="A9" s="61"/>
      <c r="B9" s="40"/>
      <c r="C9" s="62">
        <f t="shared" si="0"/>
        <v>0</v>
      </c>
      <c r="D9" s="63">
        <f t="shared" si="1"/>
        <v>0</v>
      </c>
      <c r="E9" s="63">
        <f t="shared" si="2"/>
        <v>0</v>
      </c>
      <c r="F9" s="63">
        <f t="shared" si="3"/>
        <v>0</v>
      </c>
      <c r="G9" s="63">
        <f t="shared" si="6"/>
        <v>0</v>
      </c>
      <c r="H9" s="63">
        <f t="shared" si="4"/>
        <v>0</v>
      </c>
      <c r="I9" s="64">
        <f t="shared" si="7"/>
        <v>0</v>
      </c>
      <c r="J9" s="65"/>
      <c r="K9" s="65"/>
      <c r="L9" s="80"/>
      <c r="M9" s="67"/>
      <c r="N9" s="68"/>
      <c r="O9" s="41"/>
      <c r="P9" s="48"/>
      <c r="Q9" s="70"/>
      <c r="R9" s="50">
        <f t="shared" si="8"/>
        <v>0</v>
      </c>
      <c r="S9" s="71"/>
      <c r="T9" s="69"/>
      <c r="U9" s="81"/>
      <c r="V9" s="73"/>
      <c r="W9" s="74"/>
      <c r="X9" s="75"/>
      <c r="Y9" s="75"/>
      <c r="Z9" s="76"/>
      <c r="AA9" s="77"/>
      <c r="AB9" s="73"/>
      <c r="AC9" s="74"/>
      <c r="AD9" s="75"/>
      <c r="AE9" s="75"/>
      <c r="AF9" s="75"/>
      <c r="AG9" s="75"/>
      <c r="AH9" s="75"/>
      <c r="AI9" s="75"/>
      <c r="AJ9" s="78"/>
      <c r="AK9" s="79"/>
      <c r="AL9" s="75"/>
      <c r="AM9" s="75"/>
      <c r="AN9" s="75"/>
      <c r="AO9" s="75"/>
      <c r="AP9" s="75"/>
      <c r="AQ9" s="75"/>
      <c r="AR9" s="75"/>
      <c r="AS9" s="77"/>
      <c r="AT9" s="74"/>
      <c r="AU9" s="78"/>
      <c r="AV9" s="79"/>
      <c r="AW9" s="75"/>
      <c r="AX9" s="75"/>
      <c r="AY9" s="75"/>
      <c r="AZ9" s="77"/>
      <c r="BA9" s="74"/>
      <c r="BB9" s="75"/>
      <c r="BC9" s="75"/>
      <c r="BD9" s="77"/>
      <c r="BE9" s="6">
        <f t="shared" si="5"/>
        <v>0</v>
      </c>
    </row>
    <row r="10" spans="1:57">
      <c r="A10" s="61"/>
      <c r="B10" s="40"/>
      <c r="C10" s="62">
        <f t="shared" si="0"/>
        <v>0</v>
      </c>
      <c r="D10" s="63">
        <f t="shared" si="1"/>
        <v>0</v>
      </c>
      <c r="E10" s="63">
        <f t="shared" si="2"/>
        <v>0</v>
      </c>
      <c r="F10" s="63">
        <f t="shared" si="3"/>
        <v>0</v>
      </c>
      <c r="G10" s="63">
        <f t="shared" si="6"/>
        <v>0</v>
      </c>
      <c r="H10" s="63">
        <f t="shared" si="4"/>
        <v>0</v>
      </c>
      <c r="I10" s="64">
        <f t="shared" si="7"/>
        <v>0</v>
      </c>
      <c r="J10" s="65"/>
      <c r="K10" s="65"/>
      <c r="L10" s="80"/>
      <c r="M10" s="67"/>
      <c r="N10" s="68"/>
      <c r="O10" s="41"/>
      <c r="P10" s="48"/>
      <c r="Q10" s="70"/>
      <c r="R10" s="50">
        <f t="shared" si="8"/>
        <v>0</v>
      </c>
      <c r="S10" s="71"/>
      <c r="T10" s="69"/>
      <c r="U10" s="81"/>
      <c r="V10" s="73"/>
      <c r="W10" s="74"/>
      <c r="X10" s="75"/>
      <c r="Y10" s="75"/>
      <c r="Z10" s="76"/>
      <c r="AA10" s="77"/>
      <c r="AB10" s="73"/>
      <c r="AC10" s="74"/>
      <c r="AD10" s="75"/>
      <c r="AE10" s="75"/>
      <c r="AF10" s="75"/>
      <c r="AG10" s="75"/>
      <c r="AH10" s="75"/>
      <c r="AI10" s="75"/>
      <c r="AJ10" s="78"/>
      <c r="AK10" s="79"/>
      <c r="AL10" s="75"/>
      <c r="AM10" s="75"/>
      <c r="AN10" s="75"/>
      <c r="AO10" s="75"/>
      <c r="AP10" s="75"/>
      <c r="AQ10" s="75"/>
      <c r="AR10" s="75"/>
      <c r="AS10" s="77"/>
      <c r="AT10" s="74"/>
      <c r="AU10" s="78"/>
      <c r="AV10" s="79"/>
      <c r="AW10" s="75"/>
      <c r="AX10" s="75"/>
      <c r="AY10" s="75"/>
      <c r="AZ10" s="77"/>
      <c r="BA10" s="74"/>
      <c r="BB10" s="75"/>
      <c r="BC10" s="75"/>
      <c r="BD10" s="77"/>
      <c r="BE10" s="6">
        <f t="shared" si="5"/>
        <v>0</v>
      </c>
    </row>
    <row r="11" spans="1:57">
      <c r="A11" s="61"/>
      <c r="B11" s="40"/>
      <c r="C11" s="62">
        <f t="shared" si="0"/>
        <v>0</v>
      </c>
      <c r="D11" s="63">
        <f t="shared" si="1"/>
        <v>0</v>
      </c>
      <c r="E11" s="63">
        <f t="shared" si="2"/>
        <v>0</v>
      </c>
      <c r="F11" s="63">
        <f t="shared" si="3"/>
        <v>0</v>
      </c>
      <c r="G11" s="63">
        <f t="shared" si="6"/>
        <v>0</v>
      </c>
      <c r="H11" s="63">
        <f t="shared" si="4"/>
        <v>0</v>
      </c>
      <c r="I11" s="64">
        <f t="shared" si="7"/>
        <v>0</v>
      </c>
      <c r="J11" s="65"/>
      <c r="K11" s="65"/>
      <c r="L11" s="80"/>
      <c r="M11" s="67"/>
      <c r="N11" s="68"/>
      <c r="O11" s="41"/>
      <c r="P11" s="48"/>
      <c r="Q11" s="70"/>
      <c r="R11" s="50">
        <f t="shared" si="8"/>
        <v>0</v>
      </c>
      <c r="S11" s="82"/>
      <c r="T11" s="69"/>
      <c r="U11" s="81"/>
      <c r="V11" s="73"/>
      <c r="W11" s="74"/>
      <c r="X11" s="75"/>
      <c r="Y11" s="75"/>
      <c r="Z11" s="76"/>
      <c r="AA11" s="77"/>
      <c r="AB11" s="73"/>
      <c r="AC11" s="74"/>
      <c r="AD11" s="75"/>
      <c r="AE11" s="75"/>
      <c r="AF11" s="75"/>
      <c r="AG11" s="75"/>
      <c r="AH11" s="75"/>
      <c r="AI11" s="75"/>
      <c r="AJ11" s="78"/>
      <c r="AK11" s="79"/>
      <c r="AL11" s="75"/>
      <c r="AM11" s="75"/>
      <c r="AN11" s="75"/>
      <c r="AO11" s="75"/>
      <c r="AP11" s="75"/>
      <c r="AQ11" s="75"/>
      <c r="AR11" s="75"/>
      <c r="AS11" s="77"/>
      <c r="AT11" s="74"/>
      <c r="AU11" s="78"/>
      <c r="AV11" s="79"/>
      <c r="AW11" s="75"/>
      <c r="AX11" s="75"/>
      <c r="AY11" s="75"/>
      <c r="AZ11" s="77"/>
      <c r="BA11" s="74"/>
      <c r="BB11" s="75"/>
      <c r="BC11" s="75"/>
      <c r="BD11" s="77"/>
      <c r="BE11" s="6">
        <f t="shared" si="5"/>
        <v>0</v>
      </c>
    </row>
    <row r="12" spans="1:57">
      <c r="A12" s="61"/>
      <c r="B12" s="40"/>
      <c r="C12" s="62">
        <f t="shared" si="0"/>
        <v>0</v>
      </c>
      <c r="D12" s="63">
        <f t="shared" si="1"/>
        <v>0</v>
      </c>
      <c r="E12" s="63">
        <f t="shared" si="2"/>
        <v>0</v>
      </c>
      <c r="F12" s="63">
        <f t="shared" si="3"/>
        <v>0</v>
      </c>
      <c r="G12" s="63">
        <f t="shared" si="6"/>
        <v>0</v>
      </c>
      <c r="H12" s="63">
        <f t="shared" si="4"/>
        <v>0</v>
      </c>
      <c r="I12" s="64">
        <f t="shared" si="7"/>
        <v>0</v>
      </c>
      <c r="J12" s="65"/>
      <c r="K12" s="65"/>
      <c r="L12" s="83"/>
      <c r="M12" s="67"/>
      <c r="N12" s="68"/>
      <c r="O12" s="62"/>
      <c r="P12" s="69"/>
      <c r="Q12" s="70"/>
      <c r="R12" s="50">
        <f t="shared" si="8"/>
        <v>0</v>
      </c>
      <c r="S12" s="71"/>
      <c r="T12" s="69"/>
      <c r="U12" s="81"/>
      <c r="V12" s="73"/>
      <c r="W12" s="74"/>
      <c r="X12" s="75"/>
      <c r="Y12" s="75"/>
      <c r="Z12" s="76"/>
      <c r="AA12" s="77"/>
      <c r="AB12" s="73"/>
      <c r="AC12" s="74"/>
      <c r="AD12" s="75"/>
      <c r="AE12" s="75"/>
      <c r="AF12" s="75"/>
      <c r="AG12" s="75"/>
      <c r="AH12" s="75"/>
      <c r="AI12" s="75"/>
      <c r="AJ12" s="78"/>
      <c r="AK12" s="79"/>
      <c r="AL12" s="75"/>
      <c r="AM12" s="75"/>
      <c r="AN12" s="75"/>
      <c r="AO12" s="75"/>
      <c r="AP12" s="75"/>
      <c r="AQ12" s="75"/>
      <c r="AR12" s="75"/>
      <c r="AS12" s="77"/>
      <c r="AT12" s="74"/>
      <c r="AU12" s="78"/>
      <c r="AV12" s="79"/>
      <c r="AW12" s="75"/>
      <c r="AX12" s="75"/>
      <c r="AY12" s="75"/>
      <c r="AZ12" s="77"/>
      <c r="BA12" s="74"/>
      <c r="BB12" s="75"/>
      <c r="BC12" s="75"/>
      <c r="BD12" s="77"/>
      <c r="BE12" s="6">
        <f t="shared" si="5"/>
        <v>0</v>
      </c>
    </row>
    <row r="13" spans="1:57">
      <c r="A13" s="61"/>
      <c r="B13" s="40"/>
      <c r="C13" s="62">
        <f t="shared" si="0"/>
        <v>0</v>
      </c>
      <c r="D13" s="63">
        <f t="shared" si="1"/>
        <v>0</v>
      </c>
      <c r="E13" s="63">
        <f t="shared" si="2"/>
        <v>0</v>
      </c>
      <c r="F13" s="63">
        <f t="shared" si="3"/>
        <v>0</v>
      </c>
      <c r="G13" s="63">
        <f t="shared" si="6"/>
        <v>0</v>
      </c>
      <c r="H13" s="63">
        <f t="shared" si="4"/>
        <v>0</v>
      </c>
      <c r="I13" s="64">
        <f t="shared" si="7"/>
        <v>0</v>
      </c>
      <c r="J13" s="65"/>
      <c r="K13" s="65"/>
      <c r="L13" s="83"/>
      <c r="M13" s="67"/>
      <c r="N13" s="68"/>
      <c r="O13" s="41"/>
      <c r="P13" s="48"/>
      <c r="Q13" s="70"/>
      <c r="R13" s="50">
        <f t="shared" si="8"/>
        <v>0</v>
      </c>
      <c r="S13" s="71"/>
      <c r="T13" s="69"/>
      <c r="U13" s="81"/>
      <c r="V13" s="73"/>
      <c r="W13" s="74"/>
      <c r="X13" s="75"/>
      <c r="Y13" s="75"/>
      <c r="Z13" s="76"/>
      <c r="AA13" s="77"/>
      <c r="AB13" s="73"/>
      <c r="AC13" s="74"/>
      <c r="AD13" s="75"/>
      <c r="AE13" s="75"/>
      <c r="AF13" s="75"/>
      <c r="AG13" s="75"/>
      <c r="AH13" s="75"/>
      <c r="AI13" s="75"/>
      <c r="AJ13" s="78"/>
      <c r="AK13" s="79"/>
      <c r="AL13" s="75"/>
      <c r="AM13" s="75"/>
      <c r="AN13" s="75"/>
      <c r="AO13" s="75"/>
      <c r="AP13" s="75"/>
      <c r="AQ13" s="75"/>
      <c r="AR13" s="75"/>
      <c r="AS13" s="77"/>
      <c r="AT13" s="74"/>
      <c r="AU13" s="78"/>
      <c r="AV13" s="79"/>
      <c r="AW13" s="75"/>
      <c r="AX13" s="75"/>
      <c r="AY13" s="75"/>
      <c r="AZ13" s="77"/>
      <c r="BA13" s="74"/>
      <c r="BB13" s="75"/>
      <c r="BC13" s="75"/>
      <c r="BD13" s="77"/>
      <c r="BE13" s="6">
        <f t="shared" si="5"/>
        <v>0</v>
      </c>
    </row>
    <row r="14" spans="1:57">
      <c r="A14" s="61"/>
      <c r="B14" s="40"/>
      <c r="C14" s="62">
        <f t="shared" si="0"/>
        <v>0</v>
      </c>
      <c r="D14" s="63">
        <f t="shared" si="1"/>
        <v>0</v>
      </c>
      <c r="E14" s="63">
        <f t="shared" si="2"/>
        <v>0</v>
      </c>
      <c r="F14" s="63">
        <f t="shared" si="3"/>
        <v>0</v>
      </c>
      <c r="G14" s="63">
        <f t="shared" si="6"/>
        <v>0</v>
      </c>
      <c r="H14" s="63">
        <f t="shared" si="4"/>
        <v>0</v>
      </c>
      <c r="I14" s="64">
        <f t="shared" si="7"/>
        <v>0</v>
      </c>
      <c r="J14" s="65"/>
      <c r="K14" s="65"/>
      <c r="L14" s="83"/>
      <c r="M14" s="67"/>
      <c r="N14" s="68"/>
      <c r="O14" s="41"/>
      <c r="P14" s="48"/>
      <c r="Q14" s="70"/>
      <c r="R14" s="50">
        <f t="shared" si="8"/>
        <v>0</v>
      </c>
      <c r="S14" s="71"/>
      <c r="T14" s="69"/>
      <c r="U14" s="81"/>
      <c r="V14" s="73"/>
      <c r="W14" s="74"/>
      <c r="X14" s="75"/>
      <c r="Y14" s="75"/>
      <c r="Z14" s="76"/>
      <c r="AA14" s="77"/>
      <c r="AB14" s="73"/>
      <c r="AC14" s="74"/>
      <c r="AD14" s="75"/>
      <c r="AE14" s="75"/>
      <c r="AF14" s="75"/>
      <c r="AG14" s="75"/>
      <c r="AH14" s="75"/>
      <c r="AI14" s="75"/>
      <c r="AJ14" s="78"/>
      <c r="AK14" s="79"/>
      <c r="AL14" s="75"/>
      <c r="AM14" s="75"/>
      <c r="AN14" s="75"/>
      <c r="AO14" s="75"/>
      <c r="AP14" s="75"/>
      <c r="AQ14" s="75"/>
      <c r="AR14" s="75"/>
      <c r="AS14" s="77"/>
      <c r="AT14" s="74"/>
      <c r="AU14" s="78"/>
      <c r="AV14" s="79"/>
      <c r="AW14" s="75"/>
      <c r="AX14" s="75"/>
      <c r="AY14" s="75"/>
      <c r="AZ14" s="77"/>
      <c r="BA14" s="74"/>
      <c r="BB14" s="75"/>
      <c r="BC14" s="75"/>
      <c r="BD14" s="77"/>
      <c r="BE14" s="6">
        <f t="shared" si="5"/>
        <v>0</v>
      </c>
    </row>
    <row r="15" spans="1:57">
      <c r="A15" s="61"/>
      <c r="B15" s="40"/>
      <c r="C15" s="62">
        <f t="shared" si="0"/>
        <v>0</v>
      </c>
      <c r="D15" s="63">
        <f t="shared" si="1"/>
        <v>0</v>
      </c>
      <c r="E15" s="63">
        <f t="shared" si="2"/>
        <v>0</v>
      </c>
      <c r="F15" s="63">
        <f t="shared" si="3"/>
        <v>0</v>
      </c>
      <c r="G15" s="63">
        <f t="shared" si="6"/>
        <v>0</v>
      </c>
      <c r="H15" s="63">
        <f t="shared" si="4"/>
        <v>0</v>
      </c>
      <c r="I15" s="64">
        <f t="shared" si="7"/>
        <v>0</v>
      </c>
      <c r="J15" s="65"/>
      <c r="K15" s="65"/>
      <c r="L15" s="83"/>
      <c r="M15" s="67"/>
      <c r="N15" s="68"/>
      <c r="O15" s="41"/>
      <c r="P15" s="48"/>
      <c r="Q15" s="70"/>
      <c r="R15" s="50">
        <f t="shared" si="8"/>
        <v>0</v>
      </c>
      <c r="S15" s="71"/>
      <c r="T15" s="69"/>
      <c r="U15" s="81"/>
      <c r="V15" s="73"/>
      <c r="W15" s="74"/>
      <c r="X15" s="75"/>
      <c r="Y15" s="75"/>
      <c r="Z15" s="76"/>
      <c r="AA15" s="77"/>
      <c r="AB15" s="73"/>
      <c r="AC15" s="74"/>
      <c r="AD15" s="75"/>
      <c r="AE15" s="75"/>
      <c r="AF15" s="75"/>
      <c r="AG15" s="75"/>
      <c r="AH15" s="75"/>
      <c r="AI15" s="75"/>
      <c r="AJ15" s="78"/>
      <c r="AK15" s="79"/>
      <c r="AL15" s="75"/>
      <c r="AM15" s="75"/>
      <c r="AN15" s="75"/>
      <c r="AO15" s="75"/>
      <c r="AP15" s="75"/>
      <c r="AQ15" s="75"/>
      <c r="AR15" s="75"/>
      <c r="AS15" s="77"/>
      <c r="AT15" s="74"/>
      <c r="AU15" s="78"/>
      <c r="AV15" s="79"/>
      <c r="AW15" s="75"/>
      <c r="AX15" s="75"/>
      <c r="AY15" s="75"/>
      <c r="AZ15" s="77"/>
      <c r="BA15" s="74"/>
      <c r="BB15" s="75"/>
      <c r="BC15" s="75"/>
      <c r="BD15" s="77"/>
      <c r="BE15" s="6">
        <f t="shared" si="5"/>
        <v>0</v>
      </c>
    </row>
    <row r="16" spans="1:57">
      <c r="A16" s="61"/>
      <c r="B16" s="40"/>
      <c r="C16" s="62">
        <f t="shared" si="0"/>
        <v>0</v>
      </c>
      <c r="D16" s="63">
        <f t="shared" si="1"/>
        <v>0</v>
      </c>
      <c r="E16" s="63">
        <f t="shared" si="2"/>
        <v>0</v>
      </c>
      <c r="F16" s="63">
        <f t="shared" si="3"/>
        <v>0</v>
      </c>
      <c r="G16" s="63">
        <f t="shared" si="6"/>
        <v>0</v>
      </c>
      <c r="H16" s="63">
        <f t="shared" si="4"/>
        <v>0</v>
      </c>
      <c r="I16" s="64">
        <f t="shared" si="7"/>
        <v>0</v>
      </c>
      <c r="J16" s="65"/>
      <c r="K16" s="65"/>
      <c r="L16" s="83"/>
      <c r="M16" s="67"/>
      <c r="N16" s="68"/>
      <c r="O16" s="41"/>
      <c r="P16" s="48"/>
      <c r="Q16" s="70"/>
      <c r="R16" s="50">
        <f t="shared" si="8"/>
        <v>0</v>
      </c>
      <c r="S16" s="71"/>
      <c r="T16" s="69"/>
      <c r="U16" s="81"/>
      <c r="V16" s="73"/>
      <c r="W16" s="74"/>
      <c r="X16" s="75"/>
      <c r="Y16" s="75"/>
      <c r="Z16" s="76"/>
      <c r="AA16" s="77"/>
      <c r="AB16" s="73"/>
      <c r="AC16" s="74"/>
      <c r="AD16" s="75"/>
      <c r="AE16" s="75"/>
      <c r="AF16" s="75"/>
      <c r="AG16" s="75"/>
      <c r="AH16" s="75"/>
      <c r="AI16" s="75"/>
      <c r="AJ16" s="78"/>
      <c r="AK16" s="79"/>
      <c r="AL16" s="75"/>
      <c r="AM16" s="75"/>
      <c r="AN16" s="75"/>
      <c r="AO16" s="75"/>
      <c r="AP16" s="75"/>
      <c r="AQ16" s="75"/>
      <c r="AR16" s="75"/>
      <c r="AS16" s="77"/>
      <c r="AT16" s="74"/>
      <c r="AU16" s="78"/>
      <c r="AV16" s="79"/>
      <c r="AW16" s="75"/>
      <c r="AX16" s="75"/>
      <c r="AY16" s="75"/>
      <c r="AZ16" s="77"/>
      <c r="BA16" s="74"/>
      <c r="BB16" s="75"/>
      <c r="BC16" s="75"/>
      <c r="BD16" s="77"/>
      <c r="BE16" s="6">
        <f t="shared" si="5"/>
        <v>0</v>
      </c>
    </row>
    <row r="17" spans="1:57">
      <c r="A17" s="61"/>
      <c r="B17" s="40"/>
      <c r="C17" s="62">
        <f t="shared" si="0"/>
        <v>0</v>
      </c>
      <c r="D17" s="63">
        <f t="shared" si="1"/>
        <v>0</v>
      </c>
      <c r="E17" s="63">
        <f t="shared" si="2"/>
        <v>0</v>
      </c>
      <c r="F17" s="63">
        <f t="shared" si="3"/>
        <v>0</v>
      </c>
      <c r="G17" s="63">
        <f t="shared" si="6"/>
        <v>0</v>
      </c>
      <c r="H17" s="63">
        <f t="shared" si="4"/>
        <v>0</v>
      </c>
      <c r="I17" s="64">
        <f t="shared" si="7"/>
        <v>0</v>
      </c>
      <c r="J17" s="65"/>
      <c r="K17" s="65"/>
      <c r="L17" s="83"/>
      <c r="M17" s="67"/>
      <c r="N17" s="68"/>
      <c r="O17" s="62"/>
      <c r="P17" s="69"/>
      <c r="Q17" s="70"/>
      <c r="R17" s="50">
        <f t="shared" si="8"/>
        <v>0</v>
      </c>
      <c r="S17" s="71"/>
      <c r="T17" s="69"/>
      <c r="U17" s="81"/>
      <c r="V17" s="73"/>
      <c r="W17" s="74"/>
      <c r="X17" s="75"/>
      <c r="Y17" s="75"/>
      <c r="Z17" s="76"/>
      <c r="AA17" s="77"/>
      <c r="AB17" s="73"/>
      <c r="AC17" s="74"/>
      <c r="AD17" s="75"/>
      <c r="AE17" s="75"/>
      <c r="AF17" s="75"/>
      <c r="AG17" s="75"/>
      <c r="AH17" s="75"/>
      <c r="AI17" s="75"/>
      <c r="AJ17" s="78"/>
      <c r="AK17" s="79"/>
      <c r="AL17" s="75"/>
      <c r="AM17" s="75"/>
      <c r="AN17" s="75"/>
      <c r="AO17" s="75"/>
      <c r="AP17" s="75"/>
      <c r="AQ17" s="75"/>
      <c r="AR17" s="75"/>
      <c r="AS17" s="77"/>
      <c r="AT17" s="74"/>
      <c r="AU17" s="78"/>
      <c r="AV17" s="79"/>
      <c r="AW17" s="75"/>
      <c r="AX17" s="75"/>
      <c r="AY17" s="75"/>
      <c r="AZ17" s="77"/>
      <c r="BA17" s="74"/>
      <c r="BB17" s="75"/>
      <c r="BC17" s="75"/>
      <c r="BD17" s="77"/>
      <c r="BE17" s="6">
        <f t="shared" si="5"/>
        <v>0</v>
      </c>
    </row>
    <row r="18" spans="1:57">
      <c r="A18" s="61"/>
      <c r="B18" s="40"/>
      <c r="C18" s="62">
        <f t="shared" si="0"/>
        <v>0</v>
      </c>
      <c r="D18" s="63">
        <f t="shared" si="1"/>
        <v>0</v>
      </c>
      <c r="E18" s="63">
        <f t="shared" si="2"/>
        <v>0</v>
      </c>
      <c r="F18" s="63">
        <f t="shared" si="3"/>
        <v>0</v>
      </c>
      <c r="G18" s="63">
        <f t="shared" si="6"/>
        <v>0</v>
      </c>
      <c r="H18" s="63">
        <f t="shared" si="4"/>
        <v>0</v>
      </c>
      <c r="I18" s="64">
        <f t="shared" si="7"/>
        <v>0</v>
      </c>
      <c r="J18" s="65"/>
      <c r="K18" s="65"/>
      <c r="L18" s="83"/>
      <c r="M18" s="67"/>
      <c r="N18" s="68"/>
      <c r="O18" s="62"/>
      <c r="P18" s="69"/>
      <c r="Q18" s="70"/>
      <c r="R18" s="50">
        <f t="shared" si="8"/>
        <v>0</v>
      </c>
      <c r="S18" s="71"/>
      <c r="T18" s="69"/>
      <c r="U18" s="81"/>
      <c r="V18" s="73"/>
      <c r="W18" s="74"/>
      <c r="X18" s="75"/>
      <c r="Y18" s="75"/>
      <c r="Z18" s="76"/>
      <c r="AA18" s="77"/>
      <c r="AB18" s="73"/>
      <c r="AC18" s="74"/>
      <c r="AD18" s="75"/>
      <c r="AE18" s="75"/>
      <c r="AF18" s="75"/>
      <c r="AG18" s="75"/>
      <c r="AH18" s="75"/>
      <c r="AI18" s="75"/>
      <c r="AJ18" s="78"/>
      <c r="AK18" s="79"/>
      <c r="AL18" s="75"/>
      <c r="AM18" s="75"/>
      <c r="AN18" s="75"/>
      <c r="AO18" s="75"/>
      <c r="AP18" s="75"/>
      <c r="AQ18" s="75"/>
      <c r="AR18" s="75"/>
      <c r="AS18" s="77"/>
      <c r="AT18" s="74"/>
      <c r="AU18" s="78"/>
      <c r="AV18" s="79"/>
      <c r="AW18" s="75"/>
      <c r="AX18" s="75"/>
      <c r="AY18" s="75"/>
      <c r="AZ18" s="77"/>
      <c r="BA18" s="74"/>
      <c r="BB18" s="75"/>
      <c r="BC18" s="75"/>
      <c r="BD18" s="77"/>
      <c r="BE18" s="6">
        <f t="shared" si="5"/>
        <v>0</v>
      </c>
    </row>
    <row r="19" spans="1:57">
      <c r="A19" s="61"/>
      <c r="B19" s="40"/>
      <c r="C19" s="62">
        <f t="shared" si="0"/>
        <v>0</v>
      </c>
      <c r="D19" s="63">
        <f t="shared" si="1"/>
        <v>0</v>
      </c>
      <c r="E19" s="63">
        <f t="shared" si="2"/>
        <v>0</v>
      </c>
      <c r="F19" s="63">
        <f t="shared" si="3"/>
        <v>0</v>
      </c>
      <c r="G19" s="63">
        <f t="shared" si="6"/>
        <v>0</v>
      </c>
      <c r="H19" s="63">
        <f t="shared" si="4"/>
        <v>0</v>
      </c>
      <c r="I19" s="64">
        <f t="shared" si="7"/>
        <v>0</v>
      </c>
      <c r="J19" s="65"/>
      <c r="K19" s="65"/>
      <c r="L19" s="83"/>
      <c r="M19" s="67"/>
      <c r="N19" s="68"/>
      <c r="O19" s="62"/>
      <c r="P19" s="69"/>
      <c r="Q19" s="70"/>
      <c r="R19" s="50">
        <f t="shared" si="8"/>
        <v>0</v>
      </c>
      <c r="S19" s="71"/>
      <c r="T19" s="69"/>
      <c r="U19" s="81"/>
      <c r="V19" s="73"/>
      <c r="W19" s="74"/>
      <c r="X19" s="75"/>
      <c r="Y19" s="75"/>
      <c r="Z19" s="76"/>
      <c r="AA19" s="77"/>
      <c r="AB19" s="73"/>
      <c r="AC19" s="74"/>
      <c r="AD19" s="75"/>
      <c r="AE19" s="75"/>
      <c r="AF19" s="75"/>
      <c r="AG19" s="75"/>
      <c r="AH19" s="75"/>
      <c r="AI19" s="75"/>
      <c r="AJ19" s="78"/>
      <c r="AK19" s="79"/>
      <c r="AL19" s="75"/>
      <c r="AM19" s="75"/>
      <c r="AN19" s="75"/>
      <c r="AO19" s="75"/>
      <c r="AP19" s="75"/>
      <c r="AQ19" s="75"/>
      <c r="AR19" s="75"/>
      <c r="AS19" s="77"/>
      <c r="AT19" s="74"/>
      <c r="AU19" s="78"/>
      <c r="AV19" s="79"/>
      <c r="AW19" s="75"/>
      <c r="AX19" s="75"/>
      <c r="AY19" s="75"/>
      <c r="AZ19" s="77"/>
      <c r="BA19" s="74"/>
      <c r="BB19" s="75"/>
      <c r="BC19" s="75"/>
      <c r="BD19" s="77"/>
      <c r="BE19" s="6">
        <f t="shared" si="5"/>
        <v>0</v>
      </c>
    </row>
    <row r="20" spans="1:57">
      <c r="A20" s="61"/>
      <c r="B20" s="40"/>
      <c r="C20" s="62">
        <f t="shared" si="0"/>
        <v>0</v>
      </c>
      <c r="D20" s="63">
        <f t="shared" si="1"/>
        <v>0</v>
      </c>
      <c r="E20" s="63">
        <f t="shared" si="2"/>
        <v>0</v>
      </c>
      <c r="F20" s="63">
        <f t="shared" si="3"/>
        <v>0</v>
      </c>
      <c r="G20" s="63">
        <f t="shared" si="6"/>
        <v>0</v>
      </c>
      <c r="H20" s="63">
        <f t="shared" si="4"/>
        <v>0</v>
      </c>
      <c r="I20" s="64">
        <f t="shared" si="7"/>
        <v>0</v>
      </c>
      <c r="J20" s="65"/>
      <c r="K20" s="65"/>
      <c r="L20" s="83"/>
      <c r="M20" s="67"/>
      <c r="N20" s="68"/>
      <c r="O20" s="62"/>
      <c r="P20" s="69"/>
      <c r="Q20" s="70"/>
      <c r="R20" s="50">
        <f t="shared" si="8"/>
        <v>0</v>
      </c>
      <c r="S20" s="71"/>
      <c r="T20" s="69"/>
      <c r="U20" s="81"/>
      <c r="V20" s="73"/>
      <c r="W20" s="74"/>
      <c r="X20" s="75"/>
      <c r="Y20" s="75"/>
      <c r="Z20" s="76"/>
      <c r="AA20" s="77"/>
      <c r="AB20" s="73"/>
      <c r="AC20" s="74"/>
      <c r="AD20" s="75"/>
      <c r="AE20" s="75"/>
      <c r="AF20" s="75"/>
      <c r="AG20" s="75"/>
      <c r="AH20" s="75"/>
      <c r="AI20" s="75"/>
      <c r="AJ20" s="78"/>
      <c r="AK20" s="79"/>
      <c r="AL20" s="75"/>
      <c r="AM20" s="75"/>
      <c r="AN20" s="75"/>
      <c r="AO20" s="75"/>
      <c r="AP20" s="75"/>
      <c r="AQ20" s="75"/>
      <c r="AR20" s="75"/>
      <c r="AS20" s="77"/>
      <c r="AT20" s="74"/>
      <c r="AU20" s="78"/>
      <c r="AV20" s="79"/>
      <c r="AW20" s="75"/>
      <c r="AX20" s="75"/>
      <c r="AY20" s="75"/>
      <c r="AZ20" s="77"/>
      <c r="BA20" s="74"/>
      <c r="BB20" s="75"/>
      <c r="BC20" s="75"/>
      <c r="BD20" s="77"/>
      <c r="BE20" s="6">
        <f t="shared" si="5"/>
        <v>0</v>
      </c>
    </row>
    <row r="21" spans="1:57">
      <c r="A21" s="61"/>
      <c r="B21" s="40"/>
      <c r="C21" s="62">
        <f t="shared" si="0"/>
        <v>0</v>
      </c>
      <c r="D21" s="63">
        <f t="shared" si="1"/>
        <v>0</v>
      </c>
      <c r="E21" s="63">
        <f t="shared" si="2"/>
        <v>0</v>
      </c>
      <c r="F21" s="63">
        <f t="shared" si="3"/>
        <v>0</v>
      </c>
      <c r="G21" s="63">
        <f t="shared" si="6"/>
        <v>0</v>
      </c>
      <c r="H21" s="63">
        <f t="shared" si="4"/>
        <v>0</v>
      </c>
      <c r="I21" s="64">
        <f t="shared" si="7"/>
        <v>0</v>
      </c>
      <c r="J21" s="65"/>
      <c r="K21" s="65"/>
      <c r="L21" s="83"/>
      <c r="M21" s="67"/>
      <c r="N21" s="68"/>
      <c r="O21" s="62"/>
      <c r="P21" s="69"/>
      <c r="Q21" s="70"/>
      <c r="R21" s="50">
        <f t="shared" si="8"/>
        <v>0</v>
      </c>
      <c r="S21" s="71"/>
      <c r="T21" s="69"/>
      <c r="U21" s="81"/>
      <c r="V21" s="73"/>
      <c r="W21" s="74"/>
      <c r="X21" s="75"/>
      <c r="Y21" s="75"/>
      <c r="Z21" s="76"/>
      <c r="AA21" s="77"/>
      <c r="AB21" s="73"/>
      <c r="AC21" s="74"/>
      <c r="AD21" s="75"/>
      <c r="AE21" s="75"/>
      <c r="AF21" s="75"/>
      <c r="AG21" s="75"/>
      <c r="AH21" s="75"/>
      <c r="AI21" s="75"/>
      <c r="AJ21" s="78"/>
      <c r="AK21" s="79"/>
      <c r="AL21" s="75"/>
      <c r="AM21" s="75"/>
      <c r="AN21" s="75"/>
      <c r="AO21" s="75"/>
      <c r="AP21" s="75"/>
      <c r="AQ21" s="75"/>
      <c r="AR21" s="75"/>
      <c r="AS21" s="77"/>
      <c r="AT21" s="74"/>
      <c r="AU21" s="78"/>
      <c r="AV21" s="79"/>
      <c r="AW21" s="75"/>
      <c r="AX21" s="75"/>
      <c r="AY21" s="75"/>
      <c r="AZ21" s="77"/>
      <c r="BA21" s="74"/>
      <c r="BB21" s="75"/>
      <c r="BC21" s="75"/>
      <c r="BD21" s="77"/>
      <c r="BE21" s="6">
        <f t="shared" si="5"/>
        <v>0</v>
      </c>
    </row>
    <row r="22" spans="1:57">
      <c r="A22" s="61"/>
      <c r="B22" s="40"/>
      <c r="C22" s="62">
        <f t="shared" si="0"/>
        <v>0</v>
      </c>
      <c r="D22" s="63">
        <f t="shared" si="1"/>
        <v>0</v>
      </c>
      <c r="E22" s="63">
        <f t="shared" si="2"/>
        <v>0</v>
      </c>
      <c r="F22" s="63">
        <f t="shared" si="3"/>
        <v>0</v>
      </c>
      <c r="G22" s="63">
        <f t="shared" si="6"/>
        <v>0</v>
      </c>
      <c r="H22" s="63">
        <f t="shared" si="4"/>
        <v>0</v>
      </c>
      <c r="I22" s="64">
        <f t="shared" si="7"/>
        <v>0</v>
      </c>
      <c r="J22" s="65"/>
      <c r="K22" s="65"/>
      <c r="L22" s="83"/>
      <c r="M22" s="67"/>
      <c r="N22" s="68"/>
      <c r="O22" s="62"/>
      <c r="P22" s="69"/>
      <c r="Q22" s="70"/>
      <c r="R22" s="50">
        <f t="shared" si="8"/>
        <v>0</v>
      </c>
      <c r="S22" s="71"/>
      <c r="T22" s="69"/>
      <c r="U22" s="81"/>
      <c r="V22" s="73"/>
      <c r="W22" s="74"/>
      <c r="X22" s="75"/>
      <c r="Y22" s="75"/>
      <c r="Z22" s="76"/>
      <c r="AA22" s="77"/>
      <c r="AB22" s="73"/>
      <c r="AC22" s="74"/>
      <c r="AD22" s="75"/>
      <c r="AE22" s="75"/>
      <c r="AF22" s="75"/>
      <c r="AG22" s="75"/>
      <c r="AH22" s="75"/>
      <c r="AI22" s="75"/>
      <c r="AJ22" s="78"/>
      <c r="AK22" s="79"/>
      <c r="AL22" s="75"/>
      <c r="AM22" s="75"/>
      <c r="AN22" s="75"/>
      <c r="AO22" s="75"/>
      <c r="AP22" s="75"/>
      <c r="AQ22" s="75"/>
      <c r="AR22" s="75"/>
      <c r="AS22" s="77"/>
      <c r="AT22" s="74"/>
      <c r="AU22" s="78"/>
      <c r="AV22" s="79"/>
      <c r="AW22" s="75"/>
      <c r="AX22" s="75"/>
      <c r="AY22" s="75"/>
      <c r="AZ22" s="77"/>
      <c r="BA22" s="74"/>
      <c r="BB22" s="75"/>
      <c r="BC22" s="75"/>
      <c r="BD22" s="77"/>
      <c r="BE22" s="6">
        <f t="shared" si="5"/>
        <v>0</v>
      </c>
    </row>
    <row r="23" spans="1:57">
      <c r="A23" s="61"/>
      <c r="B23" s="40"/>
      <c r="C23" s="62">
        <f t="shared" si="0"/>
        <v>0</v>
      </c>
      <c r="D23" s="63">
        <f t="shared" si="1"/>
        <v>0</v>
      </c>
      <c r="E23" s="63">
        <f t="shared" si="2"/>
        <v>0</v>
      </c>
      <c r="F23" s="63">
        <f t="shared" si="3"/>
        <v>0</v>
      </c>
      <c r="G23" s="63">
        <f t="shared" si="6"/>
        <v>0</v>
      </c>
      <c r="H23" s="63">
        <f t="shared" si="4"/>
        <v>0</v>
      </c>
      <c r="I23" s="64">
        <f t="shared" si="7"/>
        <v>0</v>
      </c>
      <c r="J23" s="65"/>
      <c r="K23" s="65"/>
      <c r="L23" s="83"/>
      <c r="M23" s="67"/>
      <c r="N23" s="68"/>
      <c r="O23" s="62"/>
      <c r="P23" s="69"/>
      <c r="Q23" s="70"/>
      <c r="R23" s="50">
        <f t="shared" si="8"/>
        <v>0</v>
      </c>
      <c r="S23" s="71"/>
      <c r="T23" s="69"/>
      <c r="U23" s="81"/>
      <c r="V23" s="73"/>
      <c r="W23" s="74"/>
      <c r="X23" s="75"/>
      <c r="Y23" s="75"/>
      <c r="Z23" s="76"/>
      <c r="AA23" s="77"/>
      <c r="AB23" s="73"/>
      <c r="AC23" s="74"/>
      <c r="AD23" s="75"/>
      <c r="AE23" s="75"/>
      <c r="AF23" s="75"/>
      <c r="AG23" s="75"/>
      <c r="AH23" s="75"/>
      <c r="AI23" s="75"/>
      <c r="AJ23" s="78"/>
      <c r="AK23" s="79"/>
      <c r="AL23" s="75"/>
      <c r="AM23" s="75"/>
      <c r="AN23" s="75"/>
      <c r="AO23" s="75"/>
      <c r="AP23" s="75"/>
      <c r="AQ23" s="75"/>
      <c r="AR23" s="75"/>
      <c r="AS23" s="77"/>
      <c r="AT23" s="74"/>
      <c r="AU23" s="78"/>
      <c r="AV23" s="79"/>
      <c r="AW23" s="75"/>
      <c r="AX23" s="75"/>
      <c r="AY23" s="75"/>
      <c r="AZ23" s="77"/>
      <c r="BA23" s="74"/>
      <c r="BB23" s="75"/>
      <c r="BC23" s="75"/>
      <c r="BD23" s="77"/>
      <c r="BE23" s="6">
        <f t="shared" si="5"/>
        <v>0</v>
      </c>
    </row>
    <row r="24" spans="1:57">
      <c r="A24" s="61"/>
      <c r="B24" s="40"/>
      <c r="C24" s="62">
        <f t="shared" si="0"/>
        <v>0</v>
      </c>
      <c r="D24" s="63">
        <f t="shared" si="1"/>
        <v>0</v>
      </c>
      <c r="E24" s="63">
        <f t="shared" si="2"/>
        <v>0</v>
      </c>
      <c r="F24" s="63">
        <f t="shared" si="3"/>
        <v>0</v>
      </c>
      <c r="G24" s="63">
        <f t="shared" si="6"/>
        <v>0</v>
      </c>
      <c r="H24" s="63">
        <f t="shared" si="4"/>
        <v>0</v>
      </c>
      <c r="I24" s="64">
        <f t="shared" si="7"/>
        <v>0</v>
      </c>
      <c r="J24" s="65"/>
      <c r="K24" s="65"/>
      <c r="L24" s="83"/>
      <c r="M24" s="67"/>
      <c r="N24" s="68"/>
      <c r="O24" s="62"/>
      <c r="P24" s="69"/>
      <c r="Q24" s="70"/>
      <c r="R24" s="50">
        <f t="shared" si="8"/>
        <v>0</v>
      </c>
      <c r="S24" s="71"/>
      <c r="T24" s="69"/>
      <c r="U24" s="81"/>
      <c r="V24" s="73"/>
      <c r="W24" s="74"/>
      <c r="X24" s="75"/>
      <c r="Y24" s="75"/>
      <c r="Z24" s="76"/>
      <c r="AA24" s="77"/>
      <c r="AB24" s="73"/>
      <c r="AC24" s="74"/>
      <c r="AD24" s="75"/>
      <c r="AE24" s="75"/>
      <c r="AF24" s="75"/>
      <c r="AG24" s="75"/>
      <c r="AH24" s="75"/>
      <c r="AI24" s="75"/>
      <c r="AJ24" s="78"/>
      <c r="AK24" s="79"/>
      <c r="AL24" s="75"/>
      <c r="AM24" s="75"/>
      <c r="AN24" s="75"/>
      <c r="AO24" s="75"/>
      <c r="AP24" s="75"/>
      <c r="AQ24" s="75"/>
      <c r="AR24" s="75"/>
      <c r="AS24" s="77"/>
      <c r="AT24" s="74"/>
      <c r="AU24" s="78"/>
      <c r="AV24" s="79"/>
      <c r="AW24" s="75"/>
      <c r="AX24" s="75"/>
      <c r="AY24" s="75"/>
      <c r="AZ24" s="77"/>
      <c r="BA24" s="74"/>
      <c r="BB24" s="75"/>
      <c r="BC24" s="75"/>
      <c r="BD24" s="77"/>
      <c r="BE24" s="6">
        <f t="shared" si="5"/>
        <v>0</v>
      </c>
    </row>
    <row r="25" spans="1:57">
      <c r="A25" s="61"/>
      <c r="B25" s="40"/>
      <c r="C25" s="62">
        <f t="shared" si="0"/>
        <v>0</v>
      </c>
      <c r="D25" s="63">
        <f t="shared" si="1"/>
        <v>0</v>
      </c>
      <c r="E25" s="63">
        <f t="shared" si="2"/>
        <v>0</v>
      </c>
      <c r="F25" s="63">
        <f t="shared" si="3"/>
        <v>0</v>
      </c>
      <c r="G25" s="63">
        <f t="shared" si="6"/>
        <v>0</v>
      </c>
      <c r="H25" s="63">
        <f t="shared" si="4"/>
        <v>0</v>
      </c>
      <c r="I25" s="64">
        <f t="shared" si="7"/>
        <v>0</v>
      </c>
      <c r="J25" s="65"/>
      <c r="K25" s="65"/>
      <c r="L25" s="83"/>
      <c r="M25" s="67"/>
      <c r="N25" s="68"/>
      <c r="O25" s="62"/>
      <c r="P25" s="69"/>
      <c r="Q25" s="70"/>
      <c r="R25" s="50">
        <f t="shared" si="8"/>
        <v>0</v>
      </c>
      <c r="S25" s="71"/>
      <c r="T25" s="69"/>
      <c r="U25" s="81"/>
      <c r="V25" s="73"/>
      <c r="W25" s="74"/>
      <c r="X25" s="75"/>
      <c r="Y25" s="75"/>
      <c r="Z25" s="76"/>
      <c r="AA25" s="77"/>
      <c r="AB25" s="73"/>
      <c r="AC25" s="74"/>
      <c r="AD25" s="75"/>
      <c r="AE25" s="75"/>
      <c r="AF25" s="75"/>
      <c r="AG25" s="75"/>
      <c r="AH25" s="75"/>
      <c r="AI25" s="75"/>
      <c r="AJ25" s="78"/>
      <c r="AK25" s="79"/>
      <c r="AL25" s="75"/>
      <c r="AM25" s="75"/>
      <c r="AN25" s="75"/>
      <c r="AO25" s="75"/>
      <c r="AP25" s="75"/>
      <c r="AQ25" s="75"/>
      <c r="AR25" s="75"/>
      <c r="AS25" s="77"/>
      <c r="AT25" s="74"/>
      <c r="AU25" s="78"/>
      <c r="AV25" s="79"/>
      <c r="AW25" s="84"/>
      <c r="AX25" s="75"/>
      <c r="AY25" s="75"/>
      <c r="AZ25" s="77"/>
      <c r="BA25" s="74"/>
      <c r="BB25" s="75"/>
      <c r="BC25" s="75"/>
      <c r="BD25" s="77"/>
      <c r="BE25" s="6">
        <f t="shared" si="5"/>
        <v>0</v>
      </c>
    </row>
    <row r="26" spans="1:57">
      <c r="A26" s="61"/>
      <c r="B26" s="40"/>
      <c r="C26" s="62">
        <f t="shared" si="0"/>
        <v>0</v>
      </c>
      <c r="D26" s="63">
        <f t="shared" si="1"/>
        <v>0</v>
      </c>
      <c r="E26" s="63">
        <f t="shared" si="2"/>
        <v>0</v>
      </c>
      <c r="F26" s="63">
        <f t="shared" si="3"/>
        <v>0</v>
      </c>
      <c r="G26" s="63">
        <f t="shared" si="6"/>
        <v>0</v>
      </c>
      <c r="H26" s="63">
        <f t="shared" si="4"/>
        <v>0</v>
      </c>
      <c r="I26" s="64">
        <f t="shared" si="7"/>
        <v>0</v>
      </c>
      <c r="J26" s="65"/>
      <c r="K26" s="65"/>
      <c r="L26" s="83"/>
      <c r="M26" s="67"/>
      <c r="N26" s="68"/>
      <c r="O26" s="62"/>
      <c r="P26" s="69"/>
      <c r="Q26" s="70"/>
      <c r="R26" s="50">
        <f t="shared" si="8"/>
        <v>0</v>
      </c>
      <c r="S26" s="71"/>
      <c r="T26" s="85"/>
      <c r="U26" s="81"/>
      <c r="V26" s="73"/>
      <c r="W26" s="74"/>
      <c r="X26" s="75"/>
      <c r="Y26" s="75"/>
      <c r="Z26" s="76"/>
      <c r="AA26" s="77"/>
      <c r="AB26" s="73"/>
      <c r="AC26" s="74"/>
      <c r="AD26" s="75"/>
      <c r="AE26" s="75"/>
      <c r="AF26" s="75"/>
      <c r="AG26" s="75"/>
      <c r="AH26" s="75"/>
      <c r="AI26" s="75"/>
      <c r="AJ26" s="78"/>
      <c r="AK26" s="79"/>
      <c r="AL26" s="75"/>
      <c r="AM26" s="75"/>
      <c r="AN26" s="75"/>
      <c r="AO26" s="75"/>
      <c r="AP26" s="75"/>
      <c r="AQ26" s="75"/>
      <c r="AR26" s="75"/>
      <c r="AS26" s="77"/>
      <c r="AT26" s="74"/>
      <c r="AU26" s="78"/>
      <c r="AV26" s="79"/>
      <c r="AW26" s="84"/>
      <c r="AX26" s="75"/>
      <c r="AY26" s="75"/>
      <c r="AZ26" s="77"/>
      <c r="BA26" s="74"/>
      <c r="BB26" s="75"/>
      <c r="BC26" s="75"/>
      <c r="BD26" s="77"/>
      <c r="BE26" s="6">
        <f t="shared" si="5"/>
        <v>0</v>
      </c>
    </row>
    <row r="27" spans="1:57">
      <c r="A27" s="61"/>
      <c r="B27" s="40"/>
      <c r="C27" s="62">
        <f t="shared" si="0"/>
        <v>0</v>
      </c>
      <c r="D27" s="63">
        <f t="shared" si="1"/>
        <v>0</v>
      </c>
      <c r="E27" s="63">
        <f t="shared" si="2"/>
        <v>0</v>
      </c>
      <c r="F27" s="63">
        <f t="shared" si="3"/>
        <v>0</v>
      </c>
      <c r="G27" s="63">
        <f t="shared" si="6"/>
        <v>0</v>
      </c>
      <c r="H27" s="63">
        <f t="shared" si="4"/>
        <v>0</v>
      </c>
      <c r="I27" s="64">
        <f t="shared" si="7"/>
        <v>0</v>
      </c>
      <c r="J27" s="65"/>
      <c r="K27" s="65"/>
      <c r="L27" s="83"/>
      <c r="M27" s="67"/>
      <c r="N27" s="68"/>
      <c r="O27" s="62"/>
      <c r="P27" s="69"/>
      <c r="Q27" s="70"/>
      <c r="R27" s="50">
        <f t="shared" si="8"/>
        <v>0</v>
      </c>
      <c r="S27" s="71"/>
      <c r="T27" s="86"/>
      <c r="U27" s="81"/>
      <c r="V27" s="73"/>
      <c r="W27" s="74"/>
      <c r="X27" s="75"/>
      <c r="Y27" s="75"/>
      <c r="Z27" s="76"/>
      <c r="AA27" s="77"/>
      <c r="AB27" s="73"/>
      <c r="AC27" s="74"/>
      <c r="AD27" s="75"/>
      <c r="AE27" s="75"/>
      <c r="AF27" s="75"/>
      <c r="AG27" s="75"/>
      <c r="AH27" s="75"/>
      <c r="AI27" s="75"/>
      <c r="AJ27" s="78"/>
      <c r="AK27" s="79"/>
      <c r="AL27" s="75"/>
      <c r="AM27" s="75"/>
      <c r="AN27" s="75"/>
      <c r="AO27" s="75"/>
      <c r="AP27" s="75"/>
      <c r="AQ27" s="75"/>
      <c r="AR27" s="75"/>
      <c r="AS27" s="77"/>
      <c r="AT27" s="74"/>
      <c r="AU27" s="78"/>
      <c r="AV27" s="79"/>
      <c r="AW27" s="75"/>
      <c r="AX27" s="75"/>
      <c r="AY27" s="75"/>
      <c r="AZ27" s="77"/>
      <c r="BA27" s="74"/>
      <c r="BB27" s="75"/>
      <c r="BC27" s="75"/>
      <c r="BD27" s="77"/>
      <c r="BE27" s="6">
        <f t="shared" si="5"/>
        <v>0</v>
      </c>
    </row>
    <row r="28" spans="1:57">
      <c r="A28" s="61"/>
      <c r="B28" s="40"/>
      <c r="C28" s="62">
        <f t="shared" si="0"/>
        <v>0</v>
      </c>
      <c r="D28" s="63">
        <f t="shared" si="1"/>
        <v>0</v>
      </c>
      <c r="E28" s="63">
        <f t="shared" si="2"/>
        <v>0</v>
      </c>
      <c r="F28" s="63">
        <f t="shared" si="3"/>
        <v>0</v>
      </c>
      <c r="G28" s="63">
        <f t="shared" si="6"/>
        <v>0</v>
      </c>
      <c r="H28" s="63">
        <f t="shared" si="4"/>
        <v>0</v>
      </c>
      <c r="I28" s="64">
        <f t="shared" si="7"/>
        <v>0</v>
      </c>
      <c r="J28" s="65"/>
      <c r="K28" s="65"/>
      <c r="L28" s="83"/>
      <c r="M28" s="67"/>
      <c r="N28" s="68"/>
      <c r="O28" s="62"/>
      <c r="P28" s="69"/>
      <c r="Q28" s="70"/>
      <c r="R28" s="50">
        <f t="shared" si="8"/>
        <v>0</v>
      </c>
      <c r="S28" s="71"/>
      <c r="T28" s="69"/>
      <c r="U28" s="81"/>
      <c r="V28" s="73"/>
      <c r="W28" s="74"/>
      <c r="X28" s="75"/>
      <c r="Y28" s="75"/>
      <c r="Z28" s="76"/>
      <c r="AA28" s="77"/>
      <c r="AB28" s="73"/>
      <c r="AC28" s="74"/>
      <c r="AD28" s="75"/>
      <c r="AE28" s="75"/>
      <c r="AF28" s="75"/>
      <c r="AG28" s="75"/>
      <c r="AH28" s="75"/>
      <c r="AI28" s="75"/>
      <c r="AJ28" s="78"/>
      <c r="AK28" s="79"/>
      <c r="AL28" s="75"/>
      <c r="AM28" s="75"/>
      <c r="AN28" s="75"/>
      <c r="AO28" s="75"/>
      <c r="AP28" s="75"/>
      <c r="AQ28" s="75"/>
      <c r="AR28" s="75"/>
      <c r="AS28" s="77"/>
      <c r="AT28" s="74"/>
      <c r="AU28" s="78"/>
      <c r="AV28" s="79"/>
      <c r="AW28" s="75"/>
      <c r="AX28" s="75"/>
      <c r="AY28" s="75"/>
      <c r="AZ28" s="77"/>
      <c r="BA28" s="74"/>
      <c r="BB28" s="75"/>
      <c r="BC28" s="75"/>
      <c r="BD28" s="77"/>
      <c r="BE28" s="6">
        <f t="shared" si="5"/>
        <v>0</v>
      </c>
    </row>
    <row r="29" spans="1:57">
      <c r="A29" s="61"/>
      <c r="B29" s="40"/>
      <c r="C29" s="62">
        <f t="shared" si="0"/>
        <v>0</v>
      </c>
      <c r="D29" s="63">
        <f t="shared" si="1"/>
        <v>0</v>
      </c>
      <c r="E29" s="63">
        <f t="shared" si="2"/>
        <v>0</v>
      </c>
      <c r="F29" s="63">
        <f t="shared" si="3"/>
        <v>0</v>
      </c>
      <c r="G29" s="63">
        <f t="shared" si="6"/>
        <v>0</v>
      </c>
      <c r="H29" s="63">
        <f t="shared" si="4"/>
        <v>0</v>
      </c>
      <c r="I29" s="64">
        <f t="shared" si="7"/>
        <v>0</v>
      </c>
      <c r="J29" s="65"/>
      <c r="K29" s="65"/>
      <c r="L29" s="83"/>
      <c r="M29" s="67"/>
      <c r="N29" s="68"/>
      <c r="O29" s="62"/>
      <c r="P29" s="69"/>
      <c r="Q29" s="70"/>
      <c r="R29" s="50">
        <f t="shared" si="8"/>
        <v>0</v>
      </c>
      <c r="S29" s="71"/>
      <c r="T29" s="86"/>
      <c r="U29" s="72"/>
      <c r="V29" s="73"/>
      <c r="W29" s="74"/>
      <c r="X29" s="75"/>
      <c r="Y29" s="75"/>
      <c r="Z29" s="76"/>
      <c r="AA29" s="77"/>
      <c r="AB29" s="73"/>
      <c r="AC29" s="74"/>
      <c r="AD29" s="75"/>
      <c r="AE29" s="75"/>
      <c r="AF29" s="75"/>
      <c r="AG29" s="75"/>
      <c r="AH29" s="75"/>
      <c r="AI29" s="75"/>
      <c r="AJ29" s="78"/>
      <c r="AK29" s="79"/>
      <c r="AL29" s="75"/>
      <c r="AM29" s="75"/>
      <c r="AN29" s="75"/>
      <c r="AO29" s="75"/>
      <c r="AP29" s="75"/>
      <c r="AQ29" s="75"/>
      <c r="AR29" s="75"/>
      <c r="AS29" s="77"/>
      <c r="AT29" s="74"/>
      <c r="AU29" s="78"/>
      <c r="AV29" s="79"/>
      <c r="AW29" s="75"/>
      <c r="AX29" s="75"/>
      <c r="AY29" s="75"/>
      <c r="AZ29" s="77"/>
      <c r="BA29" s="74"/>
      <c r="BB29" s="75"/>
      <c r="BC29" s="75"/>
      <c r="BD29" s="77"/>
      <c r="BE29" s="6">
        <f t="shared" si="5"/>
        <v>0</v>
      </c>
    </row>
    <row r="30" spans="1:57">
      <c r="A30" s="61"/>
      <c r="B30" s="40"/>
      <c r="C30" s="62">
        <f t="shared" si="0"/>
        <v>0</v>
      </c>
      <c r="D30" s="63">
        <f t="shared" si="1"/>
        <v>0</v>
      </c>
      <c r="E30" s="63">
        <f t="shared" si="2"/>
        <v>0</v>
      </c>
      <c r="F30" s="63">
        <f t="shared" si="3"/>
        <v>0</v>
      </c>
      <c r="G30" s="63">
        <f t="shared" si="6"/>
        <v>0</v>
      </c>
      <c r="H30" s="63">
        <f t="shared" si="4"/>
        <v>0</v>
      </c>
      <c r="I30" s="64">
        <f t="shared" si="7"/>
        <v>0</v>
      </c>
      <c r="J30" s="65"/>
      <c r="K30" s="65"/>
      <c r="L30" s="83"/>
      <c r="M30" s="67"/>
      <c r="N30" s="68"/>
      <c r="O30" s="62"/>
      <c r="P30" s="69"/>
      <c r="Q30" s="70"/>
      <c r="R30" s="50">
        <f t="shared" si="8"/>
        <v>0</v>
      </c>
      <c r="S30" s="71"/>
      <c r="T30" s="69"/>
      <c r="U30" s="81"/>
      <c r="V30" s="73"/>
      <c r="W30" s="74"/>
      <c r="X30" s="75"/>
      <c r="Y30" s="75"/>
      <c r="Z30" s="76"/>
      <c r="AA30" s="77"/>
      <c r="AB30" s="73"/>
      <c r="AC30" s="74"/>
      <c r="AD30" s="75"/>
      <c r="AE30" s="75"/>
      <c r="AF30" s="75"/>
      <c r="AG30" s="75"/>
      <c r="AH30" s="75"/>
      <c r="AI30" s="75"/>
      <c r="AJ30" s="78"/>
      <c r="AK30" s="79"/>
      <c r="AL30" s="75"/>
      <c r="AM30" s="75"/>
      <c r="AN30" s="75"/>
      <c r="AO30" s="75"/>
      <c r="AP30" s="75"/>
      <c r="AQ30" s="75"/>
      <c r="AR30" s="75"/>
      <c r="AS30" s="77"/>
      <c r="AT30" s="74"/>
      <c r="AU30" s="78"/>
      <c r="AV30" s="79"/>
      <c r="AW30" s="75"/>
      <c r="AX30" s="75"/>
      <c r="AY30" s="75"/>
      <c r="AZ30" s="77"/>
      <c r="BA30" s="74"/>
      <c r="BB30" s="75"/>
      <c r="BC30" s="75"/>
      <c r="BD30" s="77"/>
      <c r="BE30" s="6">
        <f t="shared" si="5"/>
        <v>0</v>
      </c>
    </row>
    <row r="31" spans="1:57">
      <c r="A31" s="61"/>
      <c r="B31" s="40"/>
      <c r="C31" s="62">
        <f t="shared" si="0"/>
        <v>0</v>
      </c>
      <c r="D31" s="63">
        <f t="shared" si="1"/>
        <v>0</v>
      </c>
      <c r="E31" s="63">
        <f t="shared" si="2"/>
        <v>0</v>
      </c>
      <c r="F31" s="63">
        <f t="shared" si="3"/>
        <v>0</v>
      </c>
      <c r="G31" s="63">
        <f t="shared" si="6"/>
        <v>0</v>
      </c>
      <c r="H31" s="63">
        <f t="shared" si="4"/>
        <v>0</v>
      </c>
      <c r="I31" s="64">
        <f t="shared" si="7"/>
        <v>0</v>
      </c>
      <c r="J31" s="65"/>
      <c r="K31" s="65"/>
      <c r="L31" s="83"/>
      <c r="M31" s="67"/>
      <c r="N31" s="68"/>
      <c r="O31" s="62"/>
      <c r="P31" s="69"/>
      <c r="Q31" s="70"/>
      <c r="R31" s="50">
        <f t="shared" si="8"/>
        <v>0</v>
      </c>
      <c r="S31" s="71"/>
      <c r="T31" s="69"/>
      <c r="U31" s="81"/>
      <c r="V31" s="73"/>
      <c r="W31" s="74"/>
      <c r="X31" s="75"/>
      <c r="Y31" s="75"/>
      <c r="Z31" s="76"/>
      <c r="AA31" s="77"/>
      <c r="AB31" s="87"/>
      <c r="AC31" s="88"/>
      <c r="AD31" s="89"/>
      <c r="AE31" s="89"/>
      <c r="AF31" s="89"/>
      <c r="AG31" s="89"/>
      <c r="AH31" s="89"/>
      <c r="AI31" s="89"/>
      <c r="AJ31" s="90"/>
      <c r="AK31" s="79"/>
      <c r="AL31" s="75"/>
      <c r="AM31" s="75"/>
      <c r="AN31" s="75"/>
      <c r="AO31" s="75"/>
      <c r="AP31" s="75"/>
      <c r="AQ31" s="75"/>
      <c r="AR31" s="75"/>
      <c r="AS31" s="77"/>
      <c r="AT31" s="74"/>
      <c r="AU31" s="78"/>
      <c r="AV31" s="79"/>
      <c r="AW31" s="75"/>
      <c r="AX31" s="75"/>
      <c r="AY31" s="75"/>
      <c r="AZ31" s="77"/>
      <c r="BA31" s="74"/>
      <c r="BB31" s="75"/>
      <c r="BC31" s="75"/>
      <c r="BD31" s="77"/>
      <c r="BE31" s="6">
        <f t="shared" si="5"/>
        <v>0</v>
      </c>
    </row>
    <row r="32" spans="1:57">
      <c r="A32" s="61"/>
      <c r="B32" s="40"/>
      <c r="C32" s="62">
        <f t="shared" si="0"/>
        <v>0</v>
      </c>
      <c r="D32" s="63">
        <f t="shared" si="1"/>
        <v>0</v>
      </c>
      <c r="E32" s="63">
        <f t="shared" si="2"/>
        <v>0</v>
      </c>
      <c r="F32" s="63">
        <f t="shared" si="3"/>
        <v>0</v>
      </c>
      <c r="G32" s="63">
        <f t="shared" si="6"/>
        <v>0</v>
      </c>
      <c r="H32" s="63">
        <f t="shared" si="4"/>
        <v>0</v>
      </c>
      <c r="I32" s="64">
        <f t="shared" si="7"/>
        <v>0</v>
      </c>
      <c r="J32" s="65"/>
      <c r="K32" s="65"/>
      <c r="L32" s="83"/>
      <c r="M32" s="67"/>
      <c r="N32" s="68"/>
      <c r="O32" s="62"/>
      <c r="P32" s="69"/>
      <c r="Q32" s="70"/>
      <c r="R32" s="50">
        <f t="shared" si="8"/>
        <v>0</v>
      </c>
      <c r="S32" s="71"/>
      <c r="T32" s="86"/>
      <c r="U32" s="81"/>
      <c r="V32" s="73"/>
      <c r="W32" s="74"/>
      <c r="X32" s="75"/>
      <c r="Y32" s="75"/>
      <c r="Z32" s="76"/>
      <c r="AA32" s="77"/>
      <c r="AB32" s="87"/>
      <c r="AC32" s="88"/>
      <c r="AD32" s="89"/>
      <c r="AE32" s="89"/>
      <c r="AF32" s="89"/>
      <c r="AG32" s="89"/>
      <c r="AH32" s="89"/>
      <c r="AI32" s="89"/>
      <c r="AJ32" s="90"/>
      <c r="AK32" s="79"/>
      <c r="AL32" s="75"/>
      <c r="AM32" s="75"/>
      <c r="AN32" s="75"/>
      <c r="AO32" s="75"/>
      <c r="AP32" s="75"/>
      <c r="AQ32" s="75"/>
      <c r="AR32" s="75"/>
      <c r="AS32" s="77"/>
      <c r="AT32" s="74"/>
      <c r="AU32" s="78"/>
      <c r="AV32" s="79"/>
      <c r="AW32" s="75"/>
      <c r="AX32" s="75"/>
      <c r="AY32" s="75"/>
      <c r="AZ32" s="77"/>
      <c r="BA32" s="74"/>
      <c r="BB32" s="75"/>
      <c r="BC32" s="75"/>
      <c r="BD32" s="77"/>
      <c r="BE32" s="6">
        <f t="shared" si="5"/>
        <v>0</v>
      </c>
    </row>
    <row r="33" spans="1:57">
      <c r="A33" s="61"/>
      <c r="B33" s="40"/>
      <c r="C33" s="62">
        <f t="shared" si="0"/>
        <v>0</v>
      </c>
      <c r="D33" s="63">
        <f t="shared" si="1"/>
        <v>0</v>
      </c>
      <c r="E33" s="63">
        <f t="shared" si="2"/>
        <v>0</v>
      </c>
      <c r="F33" s="63">
        <f t="shared" si="3"/>
        <v>0</v>
      </c>
      <c r="G33" s="63">
        <f t="shared" si="6"/>
        <v>0</v>
      </c>
      <c r="H33" s="63">
        <f t="shared" si="4"/>
        <v>0</v>
      </c>
      <c r="I33" s="64">
        <f t="shared" si="7"/>
        <v>0</v>
      </c>
      <c r="J33" s="65"/>
      <c r="K33" s="65"/>
      <c r="L33" s="83"/>
      <c r="M33" s="67"/>
      <c r="N33" s="68"/>
      <c r="O33" s="62"/>
      <c r="P33" s="69"/>
      <c r="Q33" s="70"/>
      <c r="R33" s="50">
        <f t="shared" si="8"/>
        <v>0</v>
      </c>
      <c r="S33" s="71"/>
      <c r="T33" s="86"/>
      <c r="U33" s="81"/>
      <c r="V33" s="73"/>
      <c r="W33" s="74"/>
      <c r="X33" s="75"/>
      <c r="Y33" s="75"/>
      <c r="Z33" s="76"/>
      <c r="AA33" s="77"/>
      <c r="AB33" s="87"/>
      <c r="AC33" s="88"/>
      <c r="AD33" s="89"/>
      <c r="AE33" s="89"/>
      <c r="AF33" s="89"/>
      <c r="AG33" s="89"/>
      <c r="AH33" s="89"/>
      <c r="AI33" s="89"/>
      <c r="AJ33" s="90"/>
      <c r="AK33" s="79"/>
      <c r="AL33" s="75"/>
      <c r="AM33" s="75"/>
      <c r="AN33" s="75"/>
      <c r="AO33" s="75"/>
      <c r="AP33" s="75"/>
      <c r="AQ33" s="75"/>
      <c r="AR33" s="75"/>
      <c r="AS33" s="77"/>
      <c r="AT33" s="74"/>
      <c r="AU33" s="78"/>
      <c r="AV33" s="79"/>
      <c r="AW33" s="75"/>
      <c r="AX33" s="75"/>
      <c r="AY33" s="75"/>
      <c r="AZ33" s="77"/>
      <c r="BA33" s="74"/>
      <c r="BB33" s="75"/>
      <c r="BC33" s="75"/>
      <c r="BD33" s="77"/>
      <c r="BE33" s="6">
        <f t="shared" si="5"/>
        <v>0</v>
      </c>
    </row>
    <row r="34" spans="1:57">
      <c r="A34" s="61"/>
      <c r="B34" s="40"/>
      <c r="C34" s="62">
        <f t="shared" si="0"/>
        <v>0</v>
      </c>
      <c r="D34" s="63">
        <f t="shared" si="1"/>
        <v>0</v>
      </c>
      <c r="E34" s="63">
        <f t="shared" si="2"/>
        <v>0</v>
      </c>
      <c r="F34" s="63">
        <f t="shared" si="3"/>
        <v>0</v>
      </c>
      <c r="G34" s="63">
        <f t="shared" si="6"/>
        <v>0</v>
      </c>
      <c r="H34" s="63">
        <f t="shared" si="4"/>
        <v>0</v>
      </c>
      <c r="I34" s="64">
        <f t="shared" si="7"/>
        <v>0</v>
      </c>
      <c r="J34" s="65"/>
      <c r="K34" s="65"/>
      <c r="L34" s="83"/>
      <c r="M34" s="67"/>
      <c r="N34" s="68"/>
      <c r="O34" s="62"/>
      <c r="P34" s="69"/>
      <c r="Q34" s="70"/>
      <c r="R34" s="50">
        <f t="shared" si="8"/>
        <v>0</v>
      </c>
      <c r="S34" s="71"/>
      <c r="T34" s="86"/>
      <c r="U34" s="81"/>
      <c r="V34" s="73"/>
      <c r="W34" s="74"/>
      <c r="X34" s="75"/>
      <c r="Y34" s="75"/>
      <c r="Z34" s="76"/>
      <c r="AA34" s="77"/>
      <c r="AB34" s="73"/>
      <c r="AC34" s="74"/>
      <c r="AD34" s="75"/>
      <c r="AE34" s="75"/>
      <c r="AF34" s="75"/>
      <c r="AG34" s="75"/>
      <c r="AH34" s="75"/>
      <c r="AI34" s="75"/>
      <c r="AJ34" s="78"/>
      <c r="AK34" s="79"/>
      <c r="AL34" s="75"/>
      <c r="AM34" s="75"/>
      <c r="AN34" s="75"/>
      <c r="AO34" s="75"/>
      <c r="AP34" s="75"/>
      <c r="AQ34" s="75"/>
      <c r="AR34" s="75"/>
      <c r="AS34" s="77"/>
      <c r="AT34" s="74"/>
      <c r="AU34" s="78"/>
      <c r="AV34" s="79"/>
      <c r="AW34" s="75"/>
      <c r="AX34" s="75"/>
      <c r="AY34" s="75"/>
      <c r="AZ34" s="77"/>
      <c r="BA34" s="74"/>
      <c r="BB34" s="75"/>
      <c r="BC34" s="75"/>
      <c r="BD34" s="77"/>
      <c r="BE34" s="6">
        <f t="shared" si="5"/>
        <v>0</v>
      </c>
    </row>
    <row r="35" spans="1:57" ht="19.5" customHeight="1">
      <c r="A35" s="61"/>
      <c r="B35" s="40"/>
      <c r="C35" s="62">
        <f t="shared" si="0"/>
        <v>0</v>
      </c>
      <c r="D35" s="63">
        <f t="shared" si="1"/>
        <v>0</v>
      </c>
      <c r="E35" s="63">
        <f t="shared" si="2"/>
        <v>0</v>
      </c>
      <c r="F35" s="63">
        <f t="shared" si="3"/>
        <v>0</v>
      </c>
      <c r="G35" s="63">
        <f t="shared" si="6"/>
        <v>0</v>
      </c>
      <c r="H35" s="63">
        <f t="shared" si="4"/>
        <v>0</v>
      </c>
      <c r="I35" s="64">
        <f t="shared" si="7"/>
        <v>0</v>
      </c>
      <c r="J35" s="65"/>
      <c r="K35" s="65"/>
      <c r="L35" s="83"/>
      <c r="M35" s="67"/>
      <c r="N35" s="68"/>
      <c r="O35" s="62"/>
      <c r="P35" s="69"/>
      <c r="Q35" s="70"/>
      <c r="R35" s="50">
        <f t="shared" si="8"/>
        <v>0</v>
      </c>
      <c r="S35" s="71"/>
      <c r="T35" s="86"/>
      <c r="U35" s="81"/>
      <c r="V35" s="73"/>
      <c r="W35" s="74"/>
      <c r="X35" s="75"/>
      <c r="Y35" s="75"/>
      <c r="Z35" s="76"/>
      <c r="AA35" s="77"/>
      <c r="AB35" s="87"/>
      <c r="AC35" s="88"/>
      <c r="AD35" s="89"/>
      <c r="AE35" s="89"/>
      <c r="AF35" s="89"/>
      <c r="AG35" s="89"/>
      <c r="AH35" s="89"/>
      <c r="AI35" s="89"/>
      <c r="AJ35" s="90"/>
      <c r="AK35" s="79"/>
      <c r="AL35" s="75"/>
      <c r="AM35" s="75"/>
      <c r="AN35" s="75"/>
      <c r="AO35" s="75"/>
      <c r="AP35" s="75"/>
      <c r="AQ35" s="75"/>
      <c r="AR35" s="75"/>
      <c r="AS35" s="77"/>
      <c r="AT35" s="74"/>
      <c r="AU35" s="78"/>
      <c r="AV35" s="79"/>
      <c r="AW35" s="75"/>
      <c r="AX35" s="75"/>
      <c r="AY35" s="75"/>
      <c r="AZ35" s="77"/>
      <c r="BA35" s="74"/>
      <c r="BB35" s="75"/>
      <c r="BC35" s="75"/>
      <c r="BD35" s="77"/>
      <c r="BE35" s="6">
        <f t="shared" si="5"/>
        <v>0</v>
      </c>
    </row>
    <row r="36" spans="1:57">
      <c r="A36" s="61"/>
      <c r="B36" s="40"/>
      <c r="C36" s="62">
        <f t="shared" si="0"/>
        <v>0</v>
      </c>
      <c r="D36" s="63">
        <f t="shared" si="1"/>
        <v>0</v>
      </c>
      <c r="E36" s="63">
        <f t="shared" si="2"/>
        <v>0</v>
      </c>
      <c r="F36" s="63">
        <f t="shared" si="3"/>
        <v>0</v>
      </c>
      <c r="G36" s="63">
        <f t="shared" si="6"/>
        <v>0</v>
      </c>
      <c r="H36" s="63">
        <f t="shared" si="4"/>
        <v>0</v>
      </c>
      <c r="I36" s="64">
        <f t="shared" si="7"/>
        <v>0</v>
      </c>
      <c r="J36" s="65"/>
      <c r="K36" s="65"/>
      <c r="L36" s="83"/>
      <c r="M36" s="67"/>
      <c r="N36" s="68"/>
      <c r="O36" s="62"/>
      <c r="P36" s="69"/>
      <c r="Q36" s="70"/>
      <c r="R36" s="50">
        <f t="shared" si="8"/>
        <v>0</v>
      </c>
      <c r="S36" s="71"/>
      <c r="T36" s="86"/>
      <c r="U36" s="81"/>
      <c r="V36" s="73"/>
      <c r="W36" s="74"/>
      <c r="X36" s="75"/>
      <c r="Y36" s="75"/>
      <c r="Z36" s="76"/>
      <c r="AA36" s="77"/>
      <c r="AB36" s="73"/>
      <c r="AC36" s="74"/>
      <c r="AD36" s="75"/>
      <c r="AE36" s="75"/>
      <c r="AF36" s="75"/>
      <c r="AG36" s="75"/>
      <c r="AH36" s="75"/>
      <c r="AI36" s="75"/>
      <c r="AJ36" s="78"/>
      <c r="AK36" s="79"/>
      <c r="AL36" s="75"/>
      <c r="AM36" s="75"/>
      <c r="AN36" s="75"/>
      <c r="AO36" s="75"/>
      <c r="AP36" s="75"/>
      <c r="AQ36" s="75"/>
      <c r="AR36" s="75"/>
      <c r="AS36" s="77"/>
      <c r="AT36" s="74"/>
      <c r="AU36" s="78"/>
      <c r="AV36" s="79"/>
      <c r="AW36" s="75"/>
      <c r="AX36" s="75"/>
      <c r="AY36" s="75"/>
      <c r="AZ36" s="77"/>
      <c r="BA36" s="74"/>
      <c r="BB36" s="75"/>
      <c r="BC36" s="75"/>
      <c r="BD36" s="77"/>
      <c r="BE36" s="6">
        <f t="shared" si="5"/>
        <v>0</v>
      </c>
    </row>
    <row r="37" spans="1:57">
      <c r="A37" s="61"/>
      <c r="B37" s="40"/>
      <c r="C37" s="62">
        <f t="shared" ref="C37:C68" si="9">SUM(AB37:AJ37)</f>
        <v>0</v>
      </c>
      <c r="D37" s="63">
        <f t="shared" ref="D37:D68" si="10">SUM(AK37:AS37)</f>
        <v>0</v>
      </c>
      <c r="E37" s="63">
        <f t="shared" ref="E37:E68" si="11">SUM(AT37:AU37)</f>
        <v>0</v>
      </c>
      <c r="F37" s="63">
        <f t="shared" ref="F37:F68" si="12">SUM(AV37:AZ37)</f>
        <v>0</v>
      </c>
      <c r="G37" s="63">
        <f t="shared" si="6"/>
        <v>0</v>
      </c>
      <c r="H37" s="63">
        <f t="shared" ref="H37:H68" si="13">SUM(V37:AA37)</f>
        <v>0</v>
      </c>
      <c r="I37" s="64">
        <f t="shared" si="7"/>
        <v>0</v>
      </c>
      <c r="J37" s="91"/>
      <c r="K37" s="65"/>
      <c r="L37" s="83"/>
      <c r="M37" s="67"/>
      <c r="N37" s="68"/>
      <c r="O37" s="62"/>
      <c r="P37" s="69"/>
      <c r="Q37" s="70"/>
      <c r="R37" s="50">
        <f t="shared" si="8"/>
        <v>0</v>
      </c>
      <c r="S37" s="92"/>
      <c r="T37" s="69"/>
      <c r="U37" s="93"/>
      <c r="V37" s="73"/>
      <c r="W37" s="74"/>
      <c r="X37" s="75"/>
      <c r="Y37" s="75"/>
      <c r="Z37" s="76"/>
      <c r="AA37" s="77"/>
      <c r="AB37" s="87"/>
      <c r="AC37" s="88"/>
      <c r="AD37" s="89"/>
      <c r="AE37" s="89"/>
      <c r="AF37" s="89"/>
      <c r="AG37" s="89"/>
      <c r="AH37" s="89"/>
      <c r="AI37" s="89"/>
      <c r="AJ37" s="90"/>
      <c r="AK37" s="79"/>
      <c r="AL37" s="75"/>
      <c r="AM37" s="75"/>
      <c r="AN37" s="75"/>
      <c r="AO37" s="75"/>
      <c r="AP37" s="75"/>
      <c r="AQ37" s="75"/>
      <c r="AR37" s="75"/>
      <c r="AS37" s="77"/>
      <c r="AT37" s="74"/>
      <c r="AU37" s="78"/>
      <c r="AV37" s="79"/>
      <c r="AW37" s="75"/>
      <c r="AX37" s="75"/>
      <c r="AY37" s="75"/>
      <c r="AZ37" s="77"/>
      <c r="BA37" s="74"/>
      <c r="BB37" s="75"/>
      <c r="BC37" s="75"/>
      <c r="BD37" s="77"/>
      <c r="BE37" s="6">
        <f t="shared" si="5"/>
        <v>0</v>
      </c>
    </row>
    <row r="38" spans="1:57">
      <c r="A38" s="61"/>
      <c r="B38" s="40"/>
      <c r="C38" s="62">
        <f t="shared" si="9"/>
        <v>0</v>
      </c>
      <c r="D38" s="63">
        <f t="shared" si="10"/>
        <v>0</v>
      </c>
      <c r="E38" s="63">
        <f t="shared" si="11"/>
        <v>0</v>
      </c>
      <c r="F38" s="63">
        <f t="shared" si="12"/>
        <v>0</v>
      </c>
      <c r="G38" s="63">
        <f t="shared" si="6"/>
        <v>0</v>
      </c>
      <c r="H38" s="63">
        <f t="shared" si="13"/>
        <v>0</v>
      </c>
      <c r="I38" s="64">
        <f t="shared" si="7"/>
        <v>0</v>
      </c>
      <c r="J38" s="65"/>
      <c r="K38" s="65"/>
      <c r="L38" s="83"/>
      <c r="M38" s="67"/>
      <c r="N38" s="68"/>
      <c r="O38" s="62"/>
      <c r="P38" s="69"/>
      <c r="Q38" s="70"/>
      <c r="R38" s="50">
        <f t="shared" si="8"/>
        <v>0</v>
      </c>
      <c r="S38" s="92"/>
      <c r="T38" s="94"/>
      <c r="U38" s="72"/>
      <c r="V38" s="73"/>
      <c r="W38" s="74"/>
      <c r="X38" s="75"/>
      <c r="Y38" s="75"/>
      <c r="Z38" s="76"/>
      <c r="AA38" s="77"/>
      <c r="AB38" s="73"/>
      <c r="AC38" s="74"/>
      <c r="AD38" s="75"/>
      <c r="AE38" s="75"/>
      <c r="AF38" s="75"/>
      <c r="AG38" s="75"/>
      <c r="AH38" s="75"/>
      <c r="AI38" s="75"/>
      <c r="AJ38" s="78"/>
      <c r="AK38" s="79"/>
      <c r="AL38" s="75"/>
      <c r="AM38" s="75"/>
      <c r="AN38" s="75"/>
      <c r="AO38" s="75"/>
      <c r="AP38" s="75"/>
      <c r="AQ38" s="75"/>
      <c r="AR38" s="75"/>
      <c r="AS38" s="77"/>
      <c r="AT38" s="74"/>
      <c r="AU38" s="78"/>
      <c r="AV38" s="79"/>
      <c r="AW38" s="75"/>
      <c r="AX38" s="75"/>
      <c r="AY38" s="75"/>
      <c r="AZ38" s="77"/>
      <c r="BA38" s="74"/>
      <c r="BB38" s="75"/>
      <c r="BC38" s="75"/>
      <c r="BD38" s="77"/>
      <c r="BE38" s="6">
        <f t="shared" si="5"/>
        <v>0</v>
      </c>
    </row>
    <row r="39" spans="1:57">
      <c r="A39" s="61"/>
      <c r="B39" s="40"/>
      <c r="C39" s="62">
        <f t="shared" si="9"/>
        <v>0</v>
      </c>
      <c r="D39" s="63">
        <f t="shared" si="10"/>
        <v>0</v>
      </c>
      <c r="E39" s="63">
        <f t="shared" si="11"/>
        <v>0</v>
      </c>
      <c r="F39" s="63">
        <f t="shared" si="12"/>
        <v>0</v>
      </c>
      <c r="G39" s="63">
        <f t="shared" si="6"/>
        <v>0</v>
      </c>
      <c r="H39" s="63">
        <f t="shared" si="13"/>
        <v>0</v>
      </c>
      <c r="I39" s="64">
        <f t="shared" si="7"/>
        <v>0</v>
      </c>
      <c r="J39" s="65"/>
      <c r="K39" s="65"/>
      <c r="L39" s="83"/>
      <c r="M39" s="67"/>
      <c r="N39" s="68"/>
      <c r="O39" s="62"/>
      <c r="P39" s="69"/>
      <c r="Q39" s="70"/>
      <c r="R39" s="50">
        <f t="shared" si="8"/>
        <v>0</v>
      </c>
      <c r="S39" s="71"/>
      <c r="T39" s="85"/>
      <c r="U39" s="72"/>
      <c r="V39" s="73"/>
      <c r="W39" s="74"/>
      <c r="X39" s="75"/>
      <c r="Y39" s="75"/>
      <c r="Z39" s="76"/>
      <c r="AA39" s="77"/>
      <c r="AB39" s="73"/>
      <c r="AC39" s="74"/>
      <c r="AD39" s="75"/>
      <c r="AE39" s="75"/>
      <c r="AF39" s="75"/>
      <c r="AG39" s="75"/>
      <c r="AH39" s="75"/>
      <c r="AI39" s="75"/>
      <c r="AJ39" s="78"/>
      <c r="AK39" s="79"/>
      <c r="AL39" s="75"/>
      <c r="AM39" s="75"/>
      <c r="AN39" s="75"/>
      <c r="AO39" s="75"/>
      <c r="AP39" s="75"/>
      <c r="AQ39" s="75"/>
      <c r="AR39" s="75"/>
      <c r="AS39" s="77"/>
      <c r="AT39" s="74"/>
      <c r="AU39" s="78"/>
      <c r="AV39" s="79"/>
      <c r="AW39" s="75"/>
      <c r="AX39" s="75"/>
      <c r="AY39" s="75"/>
      <c r="AZ39" s="77"/>
      <c r="BA39" s="74"/>
      <c r="BB39" s="75"/>
      <c r="BC39" s="75"/>
      <c r="BD39" s="77"/>
      <c r="BE39" s="6">
        <f t="shared" si="5"/>
        <v>0</v>
      </c>
    </row>
    <row r="40" spans="1:57">
      <c r="A40" s="61"/>
      <c r="B40" s="40"/>
      <c r="C40" s="62">
        <f t="shared" si="9"/>
        <v>0</v>
      </c>
      <c r="D40" s="63">
        <f t="shared" si="10"/>
        <v>0</v>
      </c>
      <c r="E40" s="63">
        <f t="shared" si="11"/>
        <v>0</v>
      </c>
      <c r="F40" s="63">
        <f t="shared" si="12"/>
        <v>0</v>
      </c>
      <c r="G40" s="63">
        <f t="shared" si="6"/>
        <v>0</v>
      </c>
      <c r="H40" s="63">
        <f t="shared" si="13"/>
        <v>0</v>
      </c>
      <c r="I40" s="64">
        <f t="shared" si="7"/>
        <v>0</v>
      </c>
      <c r="J40" s="65"/>
      <c r="K40" s="65"/>
      <c r="L40" s="83"/>
      <c r="M40" s="67"/>
      <c r="N40" s="68"/>
      <c r="O40" s="62"/>
      <c r="P40" s="69"/>
      <c r="Q40" s="70"/>
      <c r="R40" s="50">
        <f t="shared" si="8"/>
        <v>0</v>
      </c>
      <c r="S40" s="71"/>
      <c r="T40" s="69"/>
      <c r="U40" s="81"/>
      <c r="V40" s="73"/>
      <c r="W40" s="74"/>
      <c r="X40" s="75"/>
      <c r="Y40" s="75"/>
      <c r="Z40" s="76"/>
      <c r="AA40" s="77"/>
      <c r="AB40" s="73"/>
      <c r="AC40" s="74"/>
      <c r="AD40" s="75"/>
      <c r="AE40" s="75"/>
      <c r="AF40" s="75"/>
      <c r="AG40" s="75"/>
      <c r="AH40" s="75"/>
      <c r="AI40" s="75"/>
      <c r="AJ40" s="78"/>
      <c r="AK40" s="79"/>
      <c r="AL40" s="75"/>
      <c r="AM40" s="75"/>
      <c r="AN40" s="75"/>
      <c r="AO40" s="75"/>
      <c r="AP40" s="75"/>
      <c r="AQ40" s="75"/>
      <c r="AR40" s="75"/>
      <c r="AS40" s="77"/>
      <c r="AT40" s="74"/>
      <c r="AU40" s="78"/>
      <c r="AV40" s="79"/>
      <c r="AW40" s="75"/>
      <c r="AX40" s="75"/>
      <c r="AY40" s="75"/>
      <c r="AZ40" s="77"/>
      <c r="BA40" s="74"/>
      <c r="BB40" s="75"/>
      <c r="BC40" s="75"/>
      <c r="BD40" s="77"/>
      <c r="BE40" s="6">
        <f t="shared" si="5"/>
        <v>0</v>
      </c>
    </row>
    <row r="41" spans="1:57">
      <c r="A41" s="61"/>
      <c r="B41" s="40"/>
      <c r="C41" s="62">
        <f t="shared" si="9"/>
        <v>0</v>
      </c>
      <c r="D41" s="63">
        <f t="shared" si="10"/>
        <v>0</v>
      </c>
      <c r="E41" s="63">
        <f t="shared" si="11"/>
        <v>0</v>
      </c>
      <c r="F41" s="63">
        <f t="shared" si="12"/>
        <v>0</v>
      </c>
      <c r="G41" s="63">
        <f t="shared" si="6"/>
        <v>0</v>
      </c>
      <c r="H41" s="63">
        <f t="shared" si="13"/>
        <v>0</v>
      </c>
      <c r="I41" s="64">
        <f t="shared" si="7"/>
        <v>0</v>
      </c>
      <c r="J41" s="91"/>
      <c r="K41" s="65"/>
      <c r="L41" s="83"/>
      <c r="M41" s="67"/>
      <c r="N41" s="68"/>
      <c r="O41" s="62"/>
      <c r="P41" s="69"/>
      <c r="Q41" s="70"/>
      <c r="R41" s="50">
        <f t="shared" si="8"/>
        <v>0</v>
      </c>
      <c r="S41" s="92"/>
      <c r="T41" s="85"/>
      <c r="U41" s="72"/>
      <c r="V41" s="73"/>
      <c r="W41" s="74"/>
      <c r="X41" s="75"/>
      <c r="Y41" s="75"/>
      <c r="Z41" s="76"/>
      <c r="AA41" s="77"/>
      <c r="AB41" s="87"/>
      <c r="AC41" s="88"/>
      <c r="AD41" s="89"/>
      <c r="AE41" s="89"/>
      <c r="AF41" s="89"/>
      <c r="AG41" s="89"/>
      <c r="AH41" s="89"/>
      <c r="AI41" s="89"/>
      <c r="AJ41" s="90"/>
      <c r="AK41" s="79"/>
      <c r="AL41" s="75"/>
      <c r="AM41" s="75"/>
      <c r="AN41" s="75"/>
      <c r="AO41" s="75"/>
      <c r="AP41" s="75"/>
      <c r="AQ41" s="75"/>
      <c r="AR41" s="75"/>
      <c r="AS41" s="77"/>
      <c r="AT41" s="74"/>
      <c r="AU41" s="78"/>
      <c r="AV41" s="79"/>
      <c r="AW41" s="75"/>
      <c r="AX41" s="75"/>
      <c r="AY41" s="75"/>
      <c r="AZ41" s="77"/>
      <c r="BA41" s="74"/>
      <c r="BB41" s="75"/>
      <c r="BC41" s="75"/>
      <c r="BD41" s="77"/>
      <c r="BE41" s="6">
        <f t="shared" si="5"/>
        <v>0</v>
      </c>
    </row>
    <row r="42" spans="1:57">
      <c r="A42" s="61"/>
      <c r="B42" s="40"/>
      <c r="C42" s="62">
        <f t="shared" si="9"/>
        <v>0</v>
      </c>
      <c r="D42" s="63">
        <f t="shared" si="10"/>
        <v>0</v>
      </c>
      <c r="E42" s="63">
        <f t="shared" si="11"/>
        <v>0</v>
      </c>
      <c r="F42" s="63">
        <f t="shared" si="12"/>
        <v>0</v>
      </c>
      <c r="G42" s="63">
        <f t="shared" si="6"/>
        <v>0</v>
      </c>
      <c r="H42" s="63">
        <f t="shared" si="13"/>
        <v>0</v>
      </c>
      <c r="I42" s="64">
        <f t="shared" si="7"/>
        <v>0</v>
      </c>
      <c r="J42" s="65"/>
      <c r="K42" s="65"/>
      <c r="L42" s="83"/>
      <c r="M42" s="67"/>
      <c r="N42" s="68"/>
      <c r="O42" s="62"/>
      <c r="P42" s="69"/>
      <c r="Q42" s="70"/>
      <c r="R42" s="50">
        <f t="shared" si="8"/>
        <v>0</v>
      </c>
      <c r="S42" s="71"/>
      <c r="T42" s="69"/>
      <c r="U42" s="81"/>
      <c r="V42" s="73"/>
      <c r="W42" s="74"/>
      <c r="X42" s="75"/>
      <c r="Y42" s="75"/>
      <c r="Z42" s="76"/>
      <c r="AA42" s="77"/>
      <c r="AB42" s="74"/>
      <c r="AC42" s="74"/>
      <c r="AD42" s="75"/>
      <c r="AE42" s="75"/>
      <c r="AF42" s="75"/>
      <c r="AG42" s="75"/>
      <c r="AH42" s="75"/>
      <c r="AI42" s="75"/>
      <c r="AJ42" s="78"/>
      <c r="AK42" s="79"/>
      <c r="AL42" s="75"/>
      <c r="AM42" s="75"/>
      <c r="AN42" s="75"/>
      <c r="AO42" s="75"/>
      <c r="AP42" s="95"/>
      <c r="AQ42" s="75"/>
      <c r="AR42" s="75"/>
      <c r="AS42" s="77"/>
      <c r="AT42" s="74"/>
      <c r="AU42" s="78"/>
      <c r="AV42" s="79"/>
      <c r="AW42" s="75"/>
      <c r="AX42" s="75"/>
      <c r="AY42" s="75"/>
      <c r="AZ42" s="77"/>
      <c r="BA42" s="74"/>
      <c r="BB42" s="75"/>
      <c r="BC42" s="75"/>
      <c r="BD42" s="77"/>
      <c r="BE42" s="6">
        <f t="shared" si="5"/>
        <v>0</v>
      </c>
    </row>
    <row r="43" spans="1:57" ht="16.2" customHeight="1">
      <c r="A43" s="61"/>
      <c r="B43" s="40"/>
      <c r="C43" s="62">
        <f t="shared" si="9"/>
        <v>0</v>
      </c>
      <c r="D43" s="63">
        <f t="shared" si="10"/>
        <v>0</v>
      </c>
      <c r="E43" s="63">
        <f t="shared" si="11"/>
        <v>0</v>
      </c>
      <c r="F43" s="63">
        <f t="shared" si="12"/>
        <v>0</v>
      </c>
      <c r="G43" s="63">
        <f t="shared" si="6"/>
        <v>0</v>
      </c>
      <c r="H43" s="63">
        <f t="shared" si="13"/>
        <v>0</v>
      </c>
      <c r="I43" s="64">
        <f t="shared" si="7"/>
        <v>0</v>
      </c>
      <c r="J43" s="65"/>
      <c r="K43" s="65"/>
      <c r="L43" s="83"/>
      <c r="M43" s="67"/>
      <c r="N43" s="68"/>
      <c r="O43" s="62"/>
      <c r="P43" s="69"/>
      <c r="Q43" s="70"/>
      <c r="R43" s="50">
        <f t="shared" si="8"/>
        <v>0</v>
      </c>
      <c r="S43" s="71"/>
      <c r="T43" s="86"/>
      <c r="U43" s="81"/>
      <c r="V43" s="73"/>
      <c r="W43" s="74"/>
      <c r="X43" s="75"/>
      <c r="Y43" s="75"/>
      <c r="Z43" s="76"/>
      <c r="AA43" s="77"/>
      <c r="AB43" s="74"/>
      <c r="AC43" s="74"/>
      <c r="AD43" s="75"/>
      <c r="AE43" s="75"/>
      <c r="AF43" s="75"/>
      <c r="AG43" s="75"/>
      <c r="AH43" s="75"/>
      <c r="AI43" s="75"/>
      <c r="AJ43" s="78"/>
      <c r="AK43" s="79"/>
      <c r="AL43" s="75"/>
      <c r="AM43" s="75"/>
      <c r="AN43" s="75"/>
      <c r="AO43" s="75"/>
      <c r="AP43" s="95"/>
      <c r="AQ43" s="75"/>
      <c r="AR43" s="75"/>
      <c r="AS43" s="77"/>
      <c r="AT43" s="74"/>
      <c r="AU43" s="78"/>
      <c r="AV43" s="79"/>
      <c r="AW43" s="75"/>
      <c r="AX43" s="75"/>
      <c r="AY43" s="75"/>
      <c r="AZ43" s="77"/>
      <c r="BA43" s="74"/>
      <c r="BB43" s="75"/>
      <c r="BC43" s="75"/>
      <c r="BD43" s="77"/>
      <c r="BE43" s="6">
        <f t="shared" si="5"/>
        <v>0</v>
      </c>
    </row>
    <row r="44" spans="1:57">
      <c r="A44" s="61"/>
      <c r="B44" s="40"/>
      <c r="C44" s="62">
        <f t="shared" si="9"/>
        <v>0</v>
      </c>
      <c r="D44" s="63">
        <f t="shared" si="10"/>
        <v>0</v>
      </c>
      <c r="E44" s="63">
        <f t="shared" si="11"/>
        <v>0</v>
      </c>
      <c r="F44" s="63">
        <f t="shared" si="12"/>
        <v>0</v>
      </c>
      <c r="G44" s="63">
        <f t="shared" si="6"/>
        <v>0</v>
      </c>
      <c r="H44" s="63">
        <f t="shared" si="13"/>
        <v>0</v>
      </c>
      <c r="I44" s="64">
        <f t="shared" si="7"/>
        <v>0</v>
      </c>
      <c r="J44" s="65"/>
      <c r="K44" s="65"/>
      <c r="L44" s="83"/>
      <c r="M44" s="67"/>
      <c r="N44" s="68"/>
      <c r="O44" s="62"/>
      <c r="P44" s="69"/>
      <c r="Q44" s="70"/>
      <c r="R44" s="50">
        <f t="shared" si="8"/>
        <v>0</v>
      </c>
      <c r="S44" s="71"/>
      <c r="T44" s="86"/>
      <c r="U44" s="81"/>
      <c r="V44" s="73"/>
      <c r="W44" s="74"/>
      <c r="X44" s="75"/>
      <c r="Y44" s="75"/>
      <c r="Z44" s="76"/>
      <c r="AA44" s="77"/>
      <c r="AB44" s="96"/>
      <c r="AC44" s="96"/>
      <c r="AD44" s="89"/>
      <c r="AE44" s="89"/>
      <c r="AF44" s="89"/>
      <c r="AG44" s="89"/>
      <c r="AH44" s="89"/>
      <c r="AI44" s="89"/>
      <c r="AJ44" s="90"/>
      <c r="AK44" s="79"/>
      <c r="AL44" s="75"/>
      <c r="AM44" s="75"/>
      <c r="AN44" s="75"/>
      <c r="AO44" s="75"/>
      <c r="AP44" s="95"/>
      <c r="AQ44" s="75"/>
      <c r="AR44" s="75"/>
      <c r="AS44" s="77"/>
      <c r="AT44" s="74"/>
      <c r="AU44" s="78"/>
      <c r="AV44" s="79"/>
      <c r="AW44" s="75"/>
      <c r="AX44" s="75"/>
      <c r="AY44" s="75"/>
      <c r="AZ44" s="77"/>
      <c r="BA44" s="74"/>
      <c r="BB44" s="75"/>
      <c r="BC44" s="75"/>
      <c r="BD44" s="77"/>
      <c r="BE44" s="6">
        <f t="shared" si="5"/>
        <v>0</v>
      </c>
    </row>
    <row r="45" spans="1:57">
      <c r="A45" s="61"/>
      <c r="B45" s="40"/>
      <c r="C45" s="62">
        <f t="shared" si="9"/>
        <v>0</v>
      </c>
      <c r="D45" s="63">
        <f t="shared" si="10"/>
        <v>0</v>
      </c>
      <c r="E45" s="63">
        <f t="shared" si="11"/>
        <v>0</v>
      </c>
      <c r="F45" s="63">
        <f t="shared" si="12"/>
        <v>0</v>
      </c>
      <c r="G45" s="63">
        <f t="shared" si="6"/>
        <v>0</v>
      </c>
      <c r="H45" s="63">
        <f t="shared" si="13"/>
        <v>0</v>
      </c>
      <c r="I45" s="64">
        <f t="shared" si="7"/>
        <v>0</v>
      </c>
      <c r="J45" s="65"/>
      <c r="K45" s="65"/>
      <c r="L45" s="83"/>
      <c r="M45" s="67"/>
      <c r="N45" s="68"/>
      <c r="O45" s="62"/>
      <c r="P45" s="69"/>
      <c r="Q45" s="70"/>
      <c r="R45" s="50">
        <f t="shared" si="8"/>
        <v>0</v>
      </c>
      <c r="S45" s="71"/>
      <c r="T45" s="86"/>
      <c r="U45" s="81"/>
      <c r="V45" s="73"/>
      <c r="W45" s="74"/>
      <c r="X45" s="75"/>
      <c r="Y45" s="75"/>
      <c r="Z45" s="76"/>
      <c r="AA45" s="77"/>
      <c r="AB45" s="96"/>
      <c r="AC45" s="96"/>
      <c r="AD45" s="89"/>
      <c r="AE45" s="89"/>
      <c r="AF45" s="89"/>
      <c r="AG45" s="89"/>
      <c r="AH45" s="89"/>
      <c r="AI45" s="89"/>
      <c r="AJ45" s="90"/>
      <c r="AK45" s="79"/>
      <c r="AL45" s="75"/>
      <c r="AM45" s="75"/>
      <c r="AN45" s="75"/>
      <c r="AO45" s="75"/>
      <c r="AP45" s="75"/>
      <c r="AQ45" s="75"/>
      <c r="AR45" s="75"/>
      <c r="AS45" s="77"/>
      <c r="AT45" s="74"/>
      <c r="AU45" s="78"/>
      <c r="AV45" s="79"/>
      <c r="AW45" s="75"/>
      <c r="AX45" s="75"/>
      <c r="AY45" s="75"/>
      <c r="AZ45" s="77"/>
      <c r="BA45" s="74"/>
      <c r="BB45" s="75"/>
      <c r="BC45" s="75"/>
      <c r="BD45" s="77"/>
      <c r="BE45" s="6">
        <f t="shared" si="5"/>
        <v>0</v>
      </c>
    </row>
    <row r="46" spans="1:57">
      <c r="A46" s="61"/>
      <c r="B46" s="40"/>
      <c r="C46" s="97">
        <f t="shared" si="9"/>
        <v>0</v>
      </c>
      <c r="D46" s="98">
        <f t="shared" si="10"/>
        <v>0</v>
      </c>
      <c r="E46" s="98">
        <f t="shared" si="11"/>
        <v>0</v>
      </c>
      <c r="F46" s="98">
        <f t="shared" si="12"/>
        <v>0</v>
      </c>
      <c r="G46" s="98">
        <f t="shared" si="6"/>
        <v>0</v>
      </c>
      <c r="H46" s="98">
        <f t="shared" si="13"/>
        <v>0</v>
      </c>
      <c r="I46" s="64">
        <f t="shared" si="7"/>
        <v>0</v>
      </c>
      <c r="J46" s="99"/>
      <c r="K46" s="99"/>
      <c r="L46" s="100"/>
      <c r="M46" s="101"/>
      <c r="N46" s="102"/>
      <c r="O46" s="97"/>
      <c r="P46" s="69"/>
      <c r="Q46" s="103"/>
      <c r="R46" s="50">
        <f t="shared" si="8"/>
        <v>0</v>
      </c>
      <c r="S46" s="71"/>
      <c r="T46" s="86"/>
      <c r="U46" s="81"/>
      <c r="V46" s="73"/>
      <c r="W46" s="74"/>
      <c r="X46" s="75"/>
      <c r="Y46" s="75"/>
      <c r="Z46" s="76"/>
      <c r="AA46" s="77"/>
      <c r="AB46" s="88"/>
      <c r="AC46" s="88"/>
      <c r="AD46" s="89"/>
      <c r="AE46" s="89"/>
      <c r="AF46" s="89"/>
      <c r="AG46" s="89"/>
      <c r="AH46" s="89"/>
      <c r="AI46" s="89"/>
      <c r="AJ46" s="90"/>
      <c r="AK46" s="79"/>
      <c r="AL46" s="75"/>
      <c r="AM46" s="75"/>
      <c r="AN46" s="75"/>
      <c r="AO46" s="75"/>
      <c r="AP46" s="75"/>
      <c r="AQ46" s="75"/>
      <c r="AR46" s="75"/>
      <c r="AS46" s="77"/>
      <c r="AT46" s="74"/>
      <c r="AU46" s="78"/>
      <c r="AV46" s="79"/>
      <c r="AW46" s="75"/>
      <c r="AX46" s="75"/>
      <c r="AY46" s="75"/>
      <c r="AZ46" s="77"/>
      <c r="BA46" s="74"/>
      <c r="BB46" s="75"/>
      <c r="BC46" s="75"/>
      <c r="BD46" s="77"/>
      <c r="BE46" s="104"/>
    </row>
    <row r="47" spans="1:57">
      <c r="A47" s="61"/>
      <c r="B47" s="40"/>
      <c r="C47" s="62">
        <f t="shared" si="9"/>
        <v>0</v>
      </c>
      <c r="D47" s="63">
        <f t="shared" si="10"/>
        <v>0</v>
      </c>
      <c r="E47" s="63">
        <f t="shared" si="11"/>
        <v>0</v>
      </c>
      <c r="F47" s="63">
        <f t="shared" si="12"/>
        <v>0</v>
      </c>
      <c r="G47" s="63">
        <f t="shared" si="6"/>
        <v>0</v>
      </c>
      <c r="H47" s="63">
        <f t="shared" si="13"/>
        <v>0</v>
      </c>
      <c r="I47" s="64">
        <f t="shared" si="7"/>
        <v>0</v>
      </c>
      <c r="J47" s="65"/>
      <c r="K47" s="65"/>
      <c r="L47" s="83"/>
      <c r="M47" s="67"/>
      <c r="N47" s="68"/>
      <c r="O47" s="62"/>
      <c r="P47" s="69"/>
      <c r="Q47" s="70"/>
      <c r="R47" s="50">
        <f t="shared" si="8"/>
        <v>0</v>
      </c>
      <c r="S47" s="105"/>
      <c r="T47" s="86"/>
      <c r="U47" s="81"/>
      <c r="V47" s="73"/>
      <c r="W47" s="74"/>
      <c r="X47" s="75"/>
      <c r="Y47" s="75"/>
      <c r="Z47" s="76"/>
      <c r="AA47" s="77"/>
      <c r="AB47" s="88"/>
      <c r="AC47" s="88"/>
      <c r="AD47" s="89"/>
      <c r="AE47" s="89"/>
      <c r="AF47" s="89"/>
      <c r="AG47" s="89"/>
      <c r="AH47" s="89"/>
      <c r="AI47" s="89"/>
      <c r="AJ47" s="90"/>
      <c r="AK47" s="79"/>
      <c r="AL47" s="75"/>
      <c r="AM47" s="75"/>
      <c r="AN47" s="75"/>
      <c r="AO47" s="75"/>
      <c r="AP47" s="84"/>
      <c r="AQ47" s="75"/>
      <c r="AR47" s="75"/>
      <c r="AS47" s="77"/>
      <c r="AT47" s="74"/>
      <c r="AU47" s="78"/>
      <c r="AV47" s="79"/>
      <c r="AW47" s="75"/>
      <c r="AX47" s="75"/>
      <c r="AY47" s="75"/>
      <c r="AZ47" s="77"/>
      <c r="BA47" s="74"/>
      <c r="BB47" s="75"/>
      <c r="BC47" s="75"/>
      <c r="BD47" s="77"/>
      <c r="BE47" s="6">
        <f t="shared" ref="BE47:BE78" si="14">I47-SUM(AB47:BD47)</f>
        <v>0</v>
      </c>
    </row>
    <row r="48" spans="1:57">
      <c r="A48" s="61"/>
      <c r="B48" s="40"/>
      <c r="C48" s="62">
        <f t="shared" si="9"/>
        <v>0</v>
      </c>
      <c r="D48" s="63">
        <f t="shared" si="10"/>
        <v>0</v>
      </c>
      <c r="E48" s="63">
        <f t="shared" si="11"/>
        <v>0</v>
      </c>
      <c r="F48" s="63">
        <f t="shared" si="12"/>
        <v>0</v>
      </c>
      <c r="G48" s="63">
        <f t="shared" si="6"/>
        <v>0</v>
      </c>
      <c r="H48" s="63">
        <f t="shared" si="13"/>
        <v>0</v>
      </c>
      <c r="I48" s="64">
        <f t="shared" si="7"/>
        <v>0</v>
      </c>
      <c r="J48" s="65"/>
      <c r="K48" s="65"/>
      <c r="L48" s="83"/>
      <c r="M48" s="67"/>
      <c r="N48" s="68"/>
      <c r="O48" s="62"/>
      <c r="P48" s="69"/>
      <c r="Q48" s="70"/>
      <c r="R48" s="50">
        <f t="shared" si="8"/>
        <v>0</v>
      </c>
      <c r="S48" s="71"/>
      <c r="T48" s="85"/>
      <c r="U48" s="72"/>
      <c r="V48" s="73"/>
      <c r="W48" s="74"/>
      <c r="X48" s="75"/>
      <c r="Y48" s="75"/>
      <c r="Z48" s="76"/>
      <c r="AA48" s="77"/>
      <c r="AB48" s="88"/>
      <c r="AC48" s="88"/>
      <c r="AD48" s="89"/>
      <c r="AE48" s="89"/>
      <c r="AF48" s="89"/>
      <c r="AG48" s="89"/>
      <c r="AH48" s="89"/>
      <c r="AI48" s="89"/>
      <c r="AJ48" s="90"/>
      <c r="AK48" s="79"/>
      <c r="AL48" s="75"/>
      <c r="AM48" s="75"/>
      <c r="AN48" s="75"/>
      <c r="AO48" s="75"/>
      <c r="AP48" s="95"/>
      <c r="AQ48" s="75"/>
      <c r="AR48" s="75"/>
      <c r="AS48" s="77"/>
      <c r="AT48" s="74"/>
      <c r="AU48" s="78"/>
      <c r="AV48" s="79"/>
      <c r="AW48" s="75"/>
      <c r="AX48" s="75"/>
      <c r="AY48" s="75"/>
      <c r="AZ48" s="77"/>
      <c r="BA48" s="74"/>
      <c r="BB48" s="75"/>
      <c r="BC48" s="75"/>
      <c r="BD48" s="77"/>
      <c r="BE48" s="6">
        <f t="shared" si="14"/>
        <v>0</v>
      </c>
    </row>
    <row r="49" spans="1:57">
      <c r="A49" s="61"/>
      <c r="B49" s="40"/>
      <c r="C49" s="62">
        <f t="shared" si="9"/>
        <v>0</v>
      </c>
      <c r="D49" s="63">
        <f t="shared" si="10"/>
        <v>0</v>
      </c>
      <c r="E49" s="63">
        <f t="shared" si="11"/>
        <v>0</v>
      </c>
      <c r="F49" s="63">
        <f t="shared" si="12"/>
        <v>0</v>
      </c>
      <c r="G49" s="63">
        <f t="shared" si="6"/>
        <v>0</v>
      </c>
      <c r="H49" s="63">
        <f t="shared" si="13"/>
        <v>0</v>
      </c>
      <c r="I49" s="64">
        <f t="shared" si="7"/>
        <v>0</v>
      </c>
      <c r="J49" s="65"/>
      <c r="K49" s="65"/>
      <c r="L49" s="83"/>
      <c r="M49" s="67"/>
      <c r="N49" s="68"/>
      <c r="O49" s="62"/>
      <c r="P49" s="69"/>
      <c r="Q49" s="70"/>
      <c r="R49" s="50">
        <f t="shared" si="8"/>
        <v>0</v>
      </c>
      <c r="S49" s="71"/>
      <c r="T49" s="86"/>
      <c r="U49" s="72"/>
      <c r="V49" s="73"/>
      <c r="W49" s="74"/>
      <c r="X49" s="75"/>
      <c r="Y49" s="75"/>
      <c r="Z49" s="76"/>
      <c r="AA49" s="77"/>
      <c r="AB49" s="74"/>
      <c r="AC49" s="74"/>
      <c r="AD49" s="75"/>
      <c r="AE49" s="75"/>
      <c r="AF49" s="75"/>
      <c r="AG49" s="75"/>
      <c r="AH49" s="75"/>
      <c r="AI49" s="75"/>
      <c r="AJ49" s="78"/>
      <c r="AK49" s="79"/>
      <c r="AL49" s="75"/>
      <c r="AM49" s="75"/>
      <c r="AN49" s="75"/>
      <c r="AO49" s="75"/>
      <c r="AP49" s="95"/>
      <c r="AQ49" s="75"/>
      <c r="AR49" s="75"/>
      <c r="AS49" s="77"/>
      <c r="AT49" s="74"/>
      <c r="AU49" s="78"/>
      <c r="AV49" s="79"/>
      <c r="AW49" s="75"/>
      <c r="AX49" s="75"/>
      <c r="AY49" s="75"/>
      <c r="AZ49" s="77"/>
      <c r="BA49" s="74"/>
      <c r="BB49" s="75"/>
      <c r="BC49" s="75"/>
      <c r="BD49" s="77"/>
      <c r="BE49" s="6">
        <f t="shared" si="14"/>
        <v>0</v>
      </c>
    </row>
    <row r="50" spans="1:57">
      <c r="A50" s="61"/>
      <c r="B50" s="40"/>
      <c r="C50" s="62">
        <f t="shared" si="9"/>
        <v>0</v>
      </c>
      <c r="D50" s="63">
        <f t="shared" si="10"/>
        <v>0</v>
      </c>
      <c r="E50" s="63">
        <f t="shared" si="11"/>
        <v>0</v>
      </c>
      <c r="F50" s="63">
        <f t="shared" si="12"/>
        <v>0</v>
      </c>
      <c r="G50" s="63">
        <f t="shared" si="6"/>
        <v>0</v>
      </c>
      <c r="H50" s="63">
        <f t="shared" si="13"/>
        <v>0</v>
      </c>
      <c r="I50" s="64">
        <f t="shared" si="7"/>
        <v>0</v>
      </c>
      <c r="J50" s="65"/>
      <c r="K50" s="65"/>
      <c r="L50" s="83"/>
      <c r="M50" s="67"/>
      <c r="N50" s="68"/>
      <c r="O50" s="62"/>
      <c r="P50" s="69"/>
      <c r="Q50" s="70"/>
      <c r="R50" s="50">
        <f t="shared" si="8"/>
        <v>0</v>
      </c>
      <c r="S50" s="71"/>
      <c r="T50" s="69"/>
      <c r="U50" s="81"/>
      <c r="V50" s="73"/>
      <c r="W50" s="74"/>
      <c r="X50" s="75"/>
      <c r="Y50" s="75"/>
      <c r="Z50" s="76"/>
      <c r="AA50" s="77"/>
      <c r="AB50" s="73"/>
      <c r="AC50" s="74"/>
      <c r="AD50" s="75"/>
      <c r="AE50" s="75"/>
      <c r="AF50" s="75"/>
      <c r="AG50" s="75"/>
      <c r="AH50" s="75"/>
      <c r="AI50" s="75"/>
      <c r="AJ50" s="78"/>
      <c r="AK50" s="79"/>
      <c r="AL50" s="75"/>
      <c r="AM50" s="75"/>
      <c r="AN50" s="75"/>
      <c r="AO50" s="75"/>
      <c r="AP50" s="75"/>
      <c r="AQ50" s="75"/>
      <c r="AR50" s="75"/>
      <c r="AS50" s="77"/>
      <c r="AT50" s="74"/>
      <c r="AU50" s="78"/>
      <c r="AV50" s="79"/>
      <c r="AW50" s="75"/>
      <c r="AX50" s="75"/>
      <c r="AY50" s="75"/>
      <c r="AZ50" s="77"/>
      <c r="BA50" s="74"/>
      <c r="BB50" s="75"/>
      <c r="BC50" s="75"/>
      <c r="BD50" s="77"/>
      <c r="BE50" s="6">
        <f t="shared" si="14"/>
        <v>0</v>
      </c>
    </row>
    <row r="51" spans="1:57">
      <c r="A51" s="61"/>
      <c r="B51" s="40"/>
      <c r="C51" s="62">
        <f t="shared" si="9"/>
        <v>0</v>
      </c>
      <c r="D51" s="63">
        <f t="shared" si="10"/>
        <v>0</v>
      </c>
      <c r="E51" s="63">
        <f t="shared" si="11"/>
        <v>0</v>
      </c>
      <c r="F51" s="63">
        <f t="shared" si="12"/>
        <v>0</v>
      </c>
      <c r="G51" s="63">
        <f t="shared" si="6"/>
        <v>0</v>
      </c>
      <c r="H51" s="63">
        <f t="shared" si="13"/>
        <v>0</v>
      </c>
      <c r="I51" s="64">
        <f t="shared" si="7"/>
        <v>0</v>
      </c>
      <c r="J51" s="65"/>
      <c r="K51" s="65"/>
      <c r="L51" s="83"/>
      <c r="M51" s="67"/>
      <c r="N51" s="68"/>
      <c r="O51" s="62"/>
      <c r="P51" s="69"/>
      <c r="Q51" s="70"/>
      <c r="R51" s="50">
        <f t="shared" si="8"/>
        <v>0</v>
      </c>
      <c r="S51" s="71"/>
      <c r="T51" s="69"/>
      <c r="U51" s="72"/>
      <c r="V51" s="73"/>
      <c r="W51" s="74"/>
      <c r="X51" s="75"/>
      <c r="Y51" s="75"/>
      <c r="Z51" s="76"/>
      <c r="AA51" s="77"/>
      <c r="AB51" s="73"/>
      <c r="AC51" s="74"/>
      <c r="AD51" s="75"/>
      <c r="AE51" s="75"/>
      <c r="AF51" s="75"/>
      <c r="AG51" s="75"/>
      <c r="AH51" s="75"/>
      <c r="AI51" s="75"/>
      <c r="AJ51" s="78"/>
      <c r="AK51" s="79"/>
      <c r="AL51" s="75"/>
      <c r="AM51" s="75"/>
      <c r="AN51" s="75"/>
      <c r="AO51" s="75"/>
      <c r="AP51" s="75"/>
      <c r="AQ51" s="75"/>
      <c r="AR51" s="75"/>
      <c r="AS51" s="77"/>
      <c r="AT51" s="74"/>
      <c r="AU51" s="78"/>
      <c r="AV51" s="79"/>
      <c r="AW51" s="75"/>
      <c r="AX51" s="75"/>
      <c r="AY51" s="75"/>
      <c r="AZ51" s="77"/>
      <c r="BA51" s="74"/>
      <c r="BB51" s="75"/>
      <c r="BC51" s="75"/>
      <c r="BD51" s="77"/>
      <c r="BE51" s="6">
        <f t="shared" si="14"/>
        <v>0</v>
      </c>
    </row>
    <row r="52" spans="1:57">
      <c r="A52" s="61"/>
      <c r="B52" s="40"/>
      <c r="C52" s="62">
        <f t="shared" si="9"/>
        <v>0</v>
      </c>
      <c r="D52" s="63">
        <f t="shared" si="10"/>
        <v>0</v>
      </c>
      <c r="E52" s="63">
        <f t="shared" si="11"/>
        <v>0</v>
      </c>
      <c r="F52" s="63">
        <f t="shared" si="12"/>
        <v>0</v>
      </c>
      <c r="G52" s="63">
        <f t="shared" si="6"/>
        <v>0</v>
      </c>
      <c r="H52" s="63">
        <f t="shared" si="13"/>
        <v>0</v>
      </c>
      <c r="I52" s="64">
        <f t="shared" si="7"/>
        <v>0</v>
      </c>
      <c r="J52" s="65"/>
      <c r="K52" s="65"/>
      <c r="L52" s="83"/>
      <c r="M52" s="67"/>
      <c r="N52" s="68"/>
      <c r="O52" s="62"/>
      <c r="P52" s="69"/>
      <c r="Q52" s="70"/>
      <c r="R52" s="50">
        <f t="shared" si="8"/>
        <v>0</v>
      </c>
      <c r="S52" s="71"/>
      <c r="T52" s="69"/>
      <c r="U52" s="81"/>
      <c r="V52" s="73"/>
      <c r="W52" s="74"/>
      <c r="X52" s="75"/>
      <c r="Y52" s="75"/>
      <c r="Z52" s="76"/>
      <c r="AA52" s="77"/>
      <c r="AB52" s="73"/>
      <c r="AC52" s="74"/>
      <c r="AD52" s="75"/>
      <c r="AE52" s="75"/>
      <c r="AF52" s="75"/>
      <c r="AG52" s="75"/>
      <c r="AH52" s="75"/>
      <c r="AI52" s="75"/>
      <c r="AJ52" s="78"/>
      <c r="AK52" s="79"/>
      <c r="AL52" s="75"/>
      <c r="AM52" s="75"/>
      <c r="AN52" s="75"/>
      <c r="AO52" s="75"/>
      <c r="AP52" s="75"/>
      <c r="AQ52" s="75"/>
      <c r="AR52" s="75"/>
      <c r="AS52" s="77"/>
      <c r="AT52" s="74"/>
      <c r="AU52" s="78"/>
      <c r="AV52" s="79"/>
      <c r="AW52" s="75"/>
      <c r="AX52" s="75"/>
      <c r="AY52" s="75"/>
      <c r="AZ52" s="77"/>
      <c r="BA52" s="74"/>
      <c r="BB52" s="75"/>
      <c r="BC52" s="75"/>
      <c r="BD52" s="77"/>
      <c r="BE52" s="6">
        <f t="shared" si="14"/>
        <v>0</v>
      </c>
    </row>
    <row r="53" spans="1:57">
      <c r="A53" s="61"/>
      <c r="B53" s="40"/>
      <c r="C53" s="62">
        <f t="shared" si="9"/>
        <v>0</v>
      </c>
      <c r="D53" s="63">
        <f t="shared" si="10"/>
        <v>0</v>
      </c>
      <c r="E53" s="63">
        <f t="shared" si="11"/>
        <v>0</v>
      </c>
      <c r="F53" s="63">
        <f t="shared" si="12"/>
        <v>0</v>
      </c>
      <c r="G53" s="63">
        <f t="shared" si="6"/>
        <v>0</v>
      </c>
      <c r="H53" s="63">
        <f t="shared" si="13"/>
        <v>0</v>
      </c>
      <c r="I53" s="64">
        <f t="shared" si="7"/>
        <v>0</v>
      </c>
      <c r="J53" s="65"/>
      <c r="K53" s="65"/>
      <c r="L53" s="83"/>
      <c r="M53" s="67"/>
      <c r="N53" s="68"/>
      <c r="O53" s="62"/>
      <c r="P53" s="69"/>
      <c r="Q53" s="70"/>
      <c r="R53" s="50">
        <f t="shared" si="8"/>
        <v>0</v>
      </c>
      <c r="S53" s="71"/>
      <c r="T53" s="69"/>
      <c r="U53" s="72"/>
      <c r="V53" s="73"/>
      <c r="W53" s="74"/>
      <c r="X53" s="75"/>
      <c r="Y53" s="75"/>
      <c r="Z53" s="76"/>
      <c r="AA53" s="77"/>
      <c r="AB53" s="73"/>
      <c r="AC53" s="74"/>
      <c r="AD53" s="75"/>
      <c r="AE53" s="75"/>
      <c r="AF53" s="75"/>
      <c r="AG53" s="75"/>
      <c r="AH53" s="75"/>
      <c r="AI53" s="75"/>
      <c r="AJ53" s="78"/>
      <c r="AK53" s="79"/>
      <c r="AL53" s="75"/>
      <c r="AM53" s="75"/>
      <c r="AN53" s="75"/>
      <c r="AO53" s="75"/>
      <c r="AP53" s="75"/>
      <c r="AQ53" s="75"/>
      <c r="AR53" s="75"/>
      <c r="AS53" s="77"/>
      <c r="AT53" s="74"/>
      <c r="AU53" s="78"/>
      <c r="AV53" s="79"/>
      <c r="AW53" s="75"/>
      <c r="AX53" s="75"/>
      <c r="AY53" s="75"/>
      <c r="AZ53" s="77"/>
      <c r="BA53" s="74"/>
      <c r="BB53" s="75"/>
      <c r="BC53" s="75"/>
      <c r="BD53" s="77"/>
      <c r="BE53" s="6">
        <f t="shared" si="14"/>
        <v>0</v>
      </c>
    </row>
    <row r="54" spans="1:57">
      <c r="A54" s="61"/>
      <c r="B54" s="40"/>
      <c r="C54" s="62">
        <f t="shared" si="9"/>
        <v>0</v>
      </c>
      <c r="D54" s="63">
        <f t="shared" si="10"/>
        <v>0</v>
      </c>
      <c r="E54" s="63">
        <f t="shared" si="11"/>
        <v>0</v>
      </c>
      <c r="F54" s="63">
        <f t="shared" si="12"/>
        <v>0</v>
      </c>
      <c r="G54" s="63">
        <f t="shared" si="6"/>
        <v>0</v>
      </c>
      <c r="H54" s="63">
        <f t="shared" si="13"/>
        <v>0</v>
      </c>
      <c r="I54" s="64">
        <f t="shared" si="7"/>
        <v>0</v>
      </c>
      <c r="J54" s="65"/>
      <c r="K54" s="65"/>
      <c r="L54" s="83"/>
      <c r="M54" s="67"/>
      <c r="N54" s="68"/>
      <c r="O54" s="62"/>
      <c r="P54" s="69"/>
      <c r="Q54" s="70"/>
      <c r="R54" s="50">
        <f t="shared" si="8"/>
        <v>0</v>
      </c>
      <c r="S54" s="71"/>
      <c r="T54" s="69"/>
      <c r="U54" s="72"/>
      <c r="V54" s="73"/>
      <c r="W54" s="74"/>
      <c r="X54" s="75"/>
      <c r="Y54" s="75"/>
      <c r="Z54" s="76"/>
      <c r="AA54" s="77"/>
      <c r="AB54" s="73"/>
      <c r="AC54" s="74"/>
      <c r="AD54" s="75"/>
      <c r="AE54" s="75"/>
      <c r="AF54" s="75"/>
      <c r="AG54" s="75"/>
      <c r="AH54" s="75"/>
      <c r="AI54" s="75"/>
      <c r="AJ54" s="78"/>
      <c r="AK54" s="79"/>
      <c r="AL54" s="75"/>
      <c r="AM54" s="75"/>
      <c r="AN54" s="75"/>
      <c r="AO54" s="75"/>
      <c r="AP54" s="75"/>
      <c r="AQ54" s="75"/>
      <c r="AR54" s="75"/>
      <c r="AS54" s="77"/>
      <c r="AT54" s="74"/>
      <c r="AU54" s="78"/>
      <c r="AV54" s="79"/>
      <c r="AW54" s="75"/>
      <c r="AX54" s="75"/>
      <c r="AY54" s="75"/>
      <c r="AZ54" s="77"/>
      <c r="BA54" s="74"/>
      <c r="BB54" s="75"/>
      <c r="BC54" s="75"/>
      <c r="BD54" s="77"/>
      <c r="BE54" s="6">
        <f t="shared" si="14"/>
        <v>0</v>
      </c>
    </row>
    <row r="55" spans="1:57">
      <c r="A55" s="61"/>
      <c r="B55" s="40"/>
      <c r="C55" s="62">
        <f t="shared" si="9"/>
        <v>0</v>
      </c>
      <c r="D55" s="63">
        <f t="shared" si="10"/>
        <v>0</v>
      </c>
      <c r="E55" s="63">
        <f t="shared" si="11"/>
        <v>0</v>
      </c>
      <c r="F55" s="63">
        <f t="shared" si="12"/>
        <v>0</v>
      </c>
      <c r="G55" s="63">
        <f t="shared" si="6"/>
        <v>0</v>
      </c>
      <c r="H55" s="63">
        <f t="shared" si="13"/>
        <v>0</v>
      </c>
      <c r="I55" s="64">
        <f t="shared" si="7"/>
        <v>0</v>
      </c>
      <c r="J55" s="65"/>
      <c r="K55" s="65"/>
      <c r="L55" s="83"/>
      <c r="M55" s="67"/>
      <c r="N55" s="68"/>
      <c r="O55" s="62"/>
      <c r="P55" s="69"/>
      <c r="Q55" s="70"/>
      <c r="R55" s="50">
        <f t="shared" si="8"/>
        <v>0</v>
      </c>
      <c r="S55" s="71"/>
      <c r="T55" s="69"/>
      <c r="U55" s="72"/>
      <c r="V55" s="73"/>
      <c r="W55" s="74"/>
      <c r="X55" s="75"/>
      <c r="Y55" s="75"/>
      <c r="Z55" s="76"/>
      <c r="AA55" s="77"/>
      <c r="AB55" s="73"/>
      <c r="AC55" s="74"/>
      <c r="AD55" s="75"/>
      <c r="AE55" s="75"/>
      <c r="AF55" s="75"/>
      <c r="AG55" s="75"/>
      <c r="AH55" s="75"/>
      <c r="AI55" s="75"/>
      <c r="AJ55" s="78"/>
      <c r="AK55" s="79"/>
      <c r="AL55" s="75"/>
      <c r="AM55" s="75"/>
      <c r="AN55" s="75"/>
      <c r="AO55" s="75"/>
      <c r="AP55" s="75"/>
      <c r="AQ55" s="75"/>
      <c r="AR55" s="75"/>
      <c r="AS55" s="77"/>
      <c r="AT55" s="74"/>
      <c r="AU55" s="78"/>
      <c r="AV55" s="79"/>
      <c r="AW55" s="75"/>
      <c r="AX55" s="75"/>
      <c r="AY55" s="75"/>
      <c r="AZ55" s="77"/>
      <c r="BA55" s="74"/>
      <c r="BB55" s="75"/>
      <c r="BC55" s="75"/>
      <c r="BD55" s="77"/>
      <c r="BE55" s="6">
        <f t="shared" si="14"/>
        <v>0</v>
      </c>
    </row>
    <row r="56" spans="1:57">
      <c r="A56" s="61"/>
      <c r="B56" s="40"/>
      <c r="C56" s="62">
        <f t="shared" si="9"/>
        <v>0</v>
      </c>
      <c r="D56" s="63">
        <f t="shared" si="10"/>
        <v>0</v>
      </c>
      <c r="E56" s="63">
        <f t="shared" si="11"/>
        <v>0</v>
      </c>
      <c r="F56" s="63">
        <f t="shared" si="12"/>
        <v>0</v>
      </c>
      <c r="G56" s="63">
        <f t="shared" si="6"/>
        <v>0</v>
      </c>
      <c r="H56" s="63">
        <f t="shared" si="13"/>
        <v>0</v>
      </c>
      <c r="I56" s="64">
        <f t="shared" si="7"/>
        <v>0</v>
      </c>
      <c r="J56" s="65"/>
      <c r="K56" s="65"/>
      <c r="L56" s="83"/>
      <c r="M56" s="67"/>
      <c r="N56" s="68"/>
      <c r="O56" s="62"/>
      <c r="P56" s="69"/>
      <c r="Q56" s="70"/>
      <c r="R56" s="50">
        <f t="shared" si="8"/>
        <v>0</v>
      </c>
      <c r="S56" s="71"/>
      <c r="T56" s="69"/>
      <c r="U56" s="72"/>
      <c r="V56" s="73"/>
      <c r="W56" s="74"/>
      <c r="X56" s="75"/>
      <c r="Y56" s="75"/>
      <c r="Z56" s="76"/>
      <c r="AA56" s="77"/>
      <c r="AB56" s="87"/>
      <c r="AC56" s="88"/>
      <c r="AD56" s="89"/>
      <c r="AE56" s="89"/>
      <c r="AF56" s="89"/>
      <c r="AG56" s="89"/>
      <c r="AH56" s="89"/>
      <c r="AI56" s="89"/>
      <c r="AJ56" s="90"/>
      <c r="AK56" s="79"/>
      <c r="AL56" s="75"/>
      <c r="AM56" s="75"/>
      <c r="AN56" s="75"/>
      <c r="AO56" s="75"/>
      <c r="AP56" s="75"/>
      <c r="AQ56" s="75"/>
      <c r="AR56" s="75"/>
      <c r="AS56" s="77"/>
      <c r="AT56" s="74"/>
      <c r="AU56" s="78"/>
      <c r="AV56" s="79"/>
      <c r="AW56" s="75"/>
      <c r="AX56" s="75"/>
      <c r="AY56" s="75"/>
      <c r="AZ56" s="77"/>
      <c r="BA56" s="74"/>
      <c r="BB56" s="75"/>
      <c r="BC56" s="75"/>
      <c r="BD56" s="77"/>
      <c r="BE56" s="6">
        <f t="shared" si="14"/>
        <v>0</v>
      </c>
    </row>
    <row r="57" spans="1:57">
      <c r="A57" s="61"/>
      <c r="B57" s="40"/>
      <c r="C57" s="62">
        <f t="shared" si="9"/>
        <v>0</v>
      </c>
      <c r="D57" s="63">
        <f t="shared" si="10"/>
        <v>0</v>
      </c>
      <c r="E57" s="63">
        <f t="shared" si="11"/>
        <v>0</v>
      </c>
      <c r="F57" s="63">
        <f t="shared" si="12"/>
        <v>0</v>
      </c>
      <c r="G57" s="63">
        <f t="shared" si="6"/>
        <v>0</v>
      </c>
      <c r="H57" s="63">
        <f t="shared" si="13"/>
        <v>0</v>
      </c>
      <c r="I57" s="64">
        <f t="shared" si="7"/>
        <v>0</v>
      </c>
      <c r="J57" s="65"/>
      <c r="K57" s="65"/>
      <c r="L57" s="83"/>
      <c r="M57" s="67"/>
      <c r="N57" s="68"/>
      <c r="O57" s="62"/>
      <c r="P57" s="69"/>
      <c r="Q57" s="70"/>
      <c r="R57" s="50">
        <f t="shared" si="8"/>
        <v>0</v>
      </c>
      <c r="S57" s="71"/>
      <c r="T57" s="94"/>
      <c r="U57" s="72"/>
      <c r="V57" s="73"/>
      <c r="W57" s="74"/>
      <c r="X57" s="75"/>
      <c r="Y57" s="75"/>
      <c r="Z57" s="76"/>
      <c r="AA57" s="77"/>
      <c r="AB57" s="73"/>
      <c r="AC57" s="74"/>
      <c r="AD57" s="75"/>
      <c r="AE57" s="75"/>
      <c r="AF57" s="75"/>
      <c r="AG57" s="75"/>
      <c r="AH57" s="75"/>
      <c r="AI57" s="75"/>
      <c r="AJ57" s="78"/>
      <c r="AK57" s="79"/>
      <c r="AL57" s="75"/>
      <c r="AM57" s="75"/>
      <c r="AN57" s="75"/>
      <c r="AO57" s="75"/>
      <c r="AP57" s="75"/>
      <c r="AQ57" s="75"/>
      <c r="AR57" s="75"/>
      <c r="AS57" s="77"/>
      <c r="AT57" s="74"/>
      <c r="AU57" s="78"/>
      <c r="AV57" s="79"/>
      <c r="AW57" s="75"/>
      <c r="AX57" s="75"/>
      <c r="AY57" s="75"/>
      <c r="AZ57" s="77"/>
      <c r="BA57" s="74"/>
      <c r="BB57" s="75"/>
      <c r="BC57" s="75"/>
      <c r="BD57" s="77"/>
      <c r="BE57" s="6">
        <f t="shared" si="14"/>
        <v>0</v>
      </c>
    </row>
    <row r="58" spans="1:57">
      <c r="A58" s="61"/>
      <c r="B58" s="40"/>
      <c r="C58" s="62">
        <f t="shared" si="9"/>
        <v>0</v>
      </c>
      <c r="D58" s="63">
        <f t="shared" si="10"/>
        <v>0</v>
      </c>
      <c r="E58" s="63">
        <f t="shared" si="11"/>
        <v>0</v>
      </c>
      <c r="F58" s="63">
        <f t="shared" si="12"/>
        <v>0</v>
      </c>
      <c r="G58" s="63">
        <f t="shared" si="6"/>
        <v>0</v>
      </c>
      <c r="H58" s="63">
        <f t="shared" si="13"/>
        <v>0</v>
      </c>
      <c r="I58" s="64">
        <f t="shared" si="7"/>
        <v>0</v>
      </c>
      <c r="J58" s="65"/>
      <c r="K58" s="65"/>
      <c r="L58" s="83"/>
      <c r="M58" s="67"/>
      <c r="N58" s="68"/>
      <c r="O58" s="62"/>
      <c r="P58" s="69"/>
      <c r="Q58" s="70"/>
      <c r="R58" s="50">
        <f t="shared" si="8"/>
        <v>0</v>
      </c>
      <c r="S58" s="71"/>
      <c r="T58" s="85"/>
      <c r="U58" s="72"/>
      <c r="V58" s="73"/>
      <c r="W58" s="74"/>
      <c r="X58" s="75"/>
      <c r="Y58" s="75"/>
      <c r="Z58" s="76"/>
      <c r="AA58" s="77"/>
      <c r="AB58" s="87"/>
      <c r="AC58" s="88"/>
      <c r="AD58" s="89"/>
      <c r="AE58" s="89"/>
      <c r="AF58" s="89"/>
      <c r="AG58" s="89"/>
      <c r="AH58" s="89"/>
      <c r="AI58" s="89"/>
      <c r="AJ58" s="90"/>
      <c r="AK58" s="79"/>
      <c r="AL58" s="75"/>
      <c r="AM58" s="75"/>
      <c r="AN58" s="75"/>
      <c r="AO58" s="75"/>
      <c r="AP58" s="75"/>
      <c r="AQ58" s="75"/>
      <c r="AR58" s="75"/>
      <c r="AS58" s="77"/>
      <c r="AT58" s="74"/>
      <c r="AU58" s="78"/>
      <c r="AV58" s="79"/>
      <c r="AW58" s="75"/>
      <c r="AX58" s="75"/>
      <c r="AY58" s="75"/>
      <c r="AZ58" s="77"/>
      <c r="BA58" s="74"/>
      <c r="BB58" s="75"/>
      <c r="BC58" s="75"/>
      <c r="BD58" s="77"/>
      <c r="BE58" s="6">
        <f t="shared" si="14"/>
        <v>0</v>
      </c>
    </row>
    <row r="59" spans="1:57">
      <c r="A59" s="61"/>
      <c r="B59" s="40"/>
      <c r="C59" s="62">
        <f t="shared" si="9"/>
        <v>0</v>
      </c>
      <c r="D59" s="63">
        <f t="shared" si="10"/>
        <v>0</v>
      </c>
      <c r="E59" s="63">
        <f t="shared" si="11"/>
        <v>0</v>
      </c>
      <c r="F59" s="63">
        <f t="shared" si="12"/>
        <v>0</v>
      </c>
      <c r="G59" s="63">
        <f t="shared" si="6"/>
        <v>0</v>
      </c>
      <c r="H59" s="63">
        <f t="shared" si="13"/>
        <v>0</v>
      </c>
      <c r="I59" s="64">
        <f t="shared" si="7"/>
        <v>0</v>
      </c>
      <c r="J59" s="65"/>
      <c r="K59" s="65"/>
      <c r="L59" s="83"/>
      <c r="M59" s="67"/>
      <c r="N59" s="68"/>
      <c r="O59" s="62"/>
      <c r="P59" s="69"/>
      <c r="Q59" s="70"/>
      <c r="R59" s="50">
        <f t="shared" si="8"/>
        <v>0</v>
      </c>
      <c r="S59" s="71"/>
      <c r="T59" s="94"/>
      <c r="U59" s="72"/>
      <c r="V59" s="73"/>
      <c r="W59" s="74"/>
      <c r="X59" s="75"/>
      <c r="Y59" s="75"/>
      <c r="Z59" s="76"/>
      <c r="AA59" s="77"/>
      <c r="AB59" s="74"/>
      <c r="AC59" s="74"/>
      <c r="AD59" s="75"/>
      <c r="AE59" s="75"/>
      <c r="AF59" s="75"/>
      <c r="AG59" s="75"/>
      <c r="AH59" s="75"/>
      <c r="AI59" s="75"/>
      <c r="AJ59" s="78"/>
      <c r="AK59" s="79"/>
      <c r="AL59" s="75"/>
      <c r="AM59" s="75"/>
      <c r="AN59" s="75"/>
      <c r="AO59" s="75"/>
      <c r="AP59" s="75"/>
      <c r="AQ59" s="75"/>
      <c r="AR59" s="75"/>
      <c r="AS59" s="77"/>
      <c r="AT59" s="74"/>
      <c r="AU59" s="78"/>
      <c r="AV59" s="79"/>
      <c r="AW59" s="75"/>
      <c r="AX59" s="75"/>
      <c r="AY59" s="75"/>
      <c r="AZ59" s="77"/>
      <c r="BA59" s="74"/>
      <c r="BB59" s="75"/>
      <c r="BC59" s="75"/>
      <c r="BD59" s="77"/>
      <c r="BE59" s="6">
        <f t="shared" si="14"/>
        <v>0</v>
      </c>
    </row>
    <row r="60" spans="1:57" ht="15" customHeight="1">
      <c r="A60" s="61"/>
      <c r="B60" s="40"/>
      <c r="C60" s="62">
        <f t="shared" si="9"/>
        <v>0</v>
      </c>
      <c r="D60" s="63">
        <f t="shared" si="10"/>
        <v>0</v>
      </c>
      <c r="E60" s="63">
        <f t="shared" si="11"/>
        <v>0</v>
      </c>
      <c r="F60" s="63">
        <f t="shared" si="12"/>
        <v>0</v>
      </c>
      <c r="G60" s="63">
        <f t="shared" si="6"/>
        <v>0</v>
      </c>
      <c r="H60" s="63">
        <f t="shared" si="13"/>
        <v>0</v>
      </c>
      <c r="I60" s="64">
        <f t="shared" si="7"/>
        <v>0</v>
      </c>
      <c r="J60" s="65"/>
      <c r="K60" s="65"/>
      <c r="L60" s="83"/>
      <c r="M60" s="67"/>
      <c r="N60" s="68"/>
      <c r="O60" s="62"/>
      <c r="P60" s="69"/>
      <c r="Q60" s="70"/>
      <c r="R60" s="50">
        <f t="shared" si="8"/>
        <v>0</v>
      </c>
      <c r="S60" s="71"/>
      <c r="T60" s="94"/>
      <c r="U60" s="72"/>
      <c r="V60" s="73"/>
      <c r="W60" s="74"/>
      <c r="X60" s="75"/>
      <c r="Y60" s="75"/>
      <c r="Z60" s="76"/>
      <c r="AA60" s="77"/>
      <c r="AB60" s="74"/>
      <c r="AC60" s="74"/>
      <c r="AD60" s="75"/>
      <c r="AE60" s="75"/>
      <c r="AF60" s="75"/>
      <c r="AG60" s="75"/>
      <c r="AH60" s="75"/>
      <c r="AI60" s="75"/>
      <c r="AJ60" s="78"/>
      <c r="AK60" s="79"/>
      <c r="AL60" s="75"/>
      <c r="AM60" s="75"/>
      <c r="AN60" s="75"/>
      <c r="AO60" s="75"/>
      <c r="AP60" s="75"/>
      <c r="AQ60" s="75"/>
      <c r="AR60" s="75"/>
      <c r="AS60" s="77"/>
      <c r="AT60" s="74"/>
      <c r="AU60" s="78"/>
      <c r="AV60" s="79"/>
      <c r="AW60" s="75"/>
      <c r="AX60" s="75"/>
      <c r="AY60" s="75"/>
      <c r="AZ60" s="77"/>
      <c r="BA60" s="74"/>
      <c r="BB60" s="75"/>
      <c r="BC60" s="75"/>
      <c r="BD60" s="77"/>
      <c r="BE60" s="6">
        <f t="shared" si="14"/>
        <v>0</v>
      </c>
    </row>
    <row r="61" spans="1:57">
      <c r="A61" s="61"/>
      <c r="B61" s="40"/>
      <c r="C61" s="62">
        <f t="shared" si="9"/>
        <v>0</v>
      </c>
      <c r="D61" s="63">
        <f t="shared" si="10"/>
        <v>0</v>
      </c>
      <c r="E61" s="63">
        <f t="shared" si="11"/>
        <v>0</v>
      </c>
      <c r="F61" s="63">
        <f t="shared" si="12"/>
        <v>0</v>
      </c>
      <c r="G61" s="63">
        <f t="shared" si="6"/>
        <v>0</v>
      </c>
      <c r="H61" s="63">
        <f t="shared" si="13"/>
        <v>0</v>
      </c>
      <c r="I61" s="64">
        <f t="shared" si="7"/>
        <v>0</v>
      </c>
      <c r="J61" s="65"/>
      <c r="K61" s="65"/>
      <c r="L61" s="83"/>
      <c r="M61" s="67"/>
      <c r="N61" s="68"/>
      <c r="O61" s="62"/>
      <c r="P61" s="69"/>
      <c r="Q61" s="70"/>
      <c r="R61" s="50">
        <f t="shared" si="8"/>
        <v>0</v>
      </c>
      <c r="S61" s="71"/>
      <c r="T61" s="94"/>
      <c r="U61" s="72"/>
      <c r="V61" s="73"/>
      <c r="W61" s="74"/>
      <c r="X61" s="75"/>
      <c r="Y61" s="75"/>
      <c r="Z61" s="76"/>
      <c r="AA61" s="77"/>
      <c r="AB61" s="74"/>
      <c r="AC61" s="74"/>
      <c r="AD61" s="75"/>
      <c r="AE61" s="75"/>
      <c r="AF61" s="75"/>
      <c r="AG61" s="75"/>
      <c r="AH61" s="75"/>
      <c r="AI61" s="75"/>
      <c r="AJ61" s="78"/>
      <c r="AK61" s="79"/>
      <c r="AL61" s="75"/>
      <c r="AM61" s="75"/>
      <c r="AN61" s="75"/>
      <c r="AO61" s="75"/>
      <c r="AP61" s="75"/>
      <c r="AQ61" s="75"/>
      <c r="AR61" s="75"/>
      <c r="AS61" s="77"/>
      <c r="AT61" s="74"/>
      <c r="AU61" s="78"/>
      <c r="AV61" s="79"/>
      <c r="AW61" s="75"/>
      <c r="AX61" s="75"/>
      <c r="AY61" s="75"/>
      <c r="AZ61" s="77"/>
      <c r="BA61" s="74"/>
      <c r="BB61" s="75"/>
      <c r="BC61" s="75"/>
      <c r="BD61" s="77"/>
      <c r="BE61" s="6">
        <f t="shared" si="14"/>
        <v>0</v>
      </c>
    </row>
    <row r="62" spans="1:57">
      <c r="A62" s="61"/>
      <c r="B62" s="40"/>
      <c r="C62" s="62">
        <f t="shared" si="9"/>
        <v>0</v>
      </c>
      <c r="D62" s="63">
        <f t="shared" si="10"/>
        <v>0</v>
      </c>
      <c r="E62" s="63">
        <f t="shared" si="11"/>
        <v>0</v>
      </c>
      <c r="F62" s="63">
        <f t="shared" si="12"/>
        <v>0</v>
      </c>
      <c r="G62" s="63">
        <f t="shared" si="6"/>
        <v>0</v>
      </c>
      <c r="H62" s="63">
        <f t="shared" si="13"/>
        <v>0</v>
      </c>
      <c r="I62" s="64">
        <f t="shared" si="7"/>
        <v>0</v>
      </c>
      <c r="J62" s="65"/>
      <c r="K62" s="65"/>
      <c r="L62" s="83"/>
      <c r="M62" s="67"/>
      <c r="N62" s="68"/>
      <c r="O62" s="62"/>
      <c r="P62" s="69"/>
      <c r="Q62" s="70"/>
      <c r="R62" s="50">
        <f t="shared" si="8"/>
        <v>0</v>
      </c>
      <c r="S62" s="71"/>
      <c r="T62" s="69"/>
      <c r="U62" s="72"/>
      <c r="V62" s="73"/>
      <c r="W62" s="74"/>
      <c r="X62" s="75"/>
      <c r="Y62" s="75"/>
      <c r="Z62" s="76"/>
      <c r="AA62" s="77"/>
      <c r="AB62" s="106"/>
      <c r="AC62" s="106"/>
      <c r="AD62" s="89"/>
      <c r="AE62" s="89"/>
      <c r="AF62" s="89"/>
      <c r="AG62" s="89"/>
      <c r="AH62" s="89"/>
      <c r="AI62" s="89"/>
      <c r="AJ62" s="90"/>
      <c r="AK62" s="79"/>
      <c r="AL62" s="75"/>
      <c r="AM62" s="75"/>
      <c r="AN62" s="75"/>
      <c r="AO62" s="75"/>
      <c r="AP62" s="75"/>
      <c r="AQ62" s="75"/>
      <c r="AR62" s="75"/>
      <c r="AS62" s="77"/>
      <c r="AT62" s="74"/>
      <c r="AU62" s="78"/>
      <c r="AV62" s="79"/>
      <c r="AW62" s="75"/>
      <c r="AX62" s="75"/>
      <c r="AY62" s="75"/>
      <c r="AZ62" s="77"/>
      <c r="BA62" s="74"/>
      <c r="BB62" s="75"/>
      <c r="BC62" s="75"/>
      <c r="BD62" s="77"/>
      <c r="BE62" s="6">
        <f t="shared" si="14"/>
        <v>0</v>
      </c>
    </row>
    <row r="63" spans="1:57">
      <c r="A63" s="61"/>
      <c r="B63" s="40"/>
      <c r="C63" s="62">
        <f t="shared" si="9"/>
        <v>0</v>
      </c>
      <c r="D63" s="63">
        <f t="shared" si="10"/>
        <v>0</v>
      </c>
      <c r="E63" s="63">
        <f t="shared" si="11"/>
        <v>0</v>
      </c>
      <c r="F63" s="63">
        <f t="shared" si="12"/>
        <v>0</v>
      </c>
      <c r="G63" s="63">
        <f t="shared" si="6"/>
        <v>0</v>
      </c>
      <c r="H63" s="63">
        <f t="shared" si="13"/>
        <v>0</v>
      </c>
      <c r="I63" s="64">
        <f t="shared" si="7"/>
        <v>0</v>
      </c>
      <c r="J63" s="65"/>
      <c r="K63" s="65"/>
      <c r="L63" s="83"/>
      <c r="M63" s="67"/>
      <c r="N63" s="68"/>
      <c r="O63" s="62"/>
      <c r="P63" s="69"/>
      <c r="Q63" s="70"/>
      <c r="R63" s="50">
        <f t="shared" si="8"/>
        <v>0</v>
      </c>
      <c r="S63" s="71"/>
      <c r="T63" s="69"/>
      <c r="U63" s="72"/>
      <c r="V63" s="73"/>
      <c r="W63" s="74"/>
      <c r="X63" s="75"/>
      <c r="Y63" s="75"/>
      <c r="Z63" s="76"/>
      <c r="AA63" s="77"/>
      <c r="AB63" s="74"/>
      <c r="AC63" s="74"/>
      <c r="AD63" s="75"/>
      <c r="AE63" s="75"/>
      <c r="AF63" s="75"/>
      <c r="AG63" s="75"/>
      <c r="AH63" s="75"/>
      <c r="AI63" s="75"/>
      <c r="AJ63" s="78"/>
      <c r="AK63" s="79"/>
      <c r="AL63" s="75"/>
      <c r="AM63" s="75"/>
      <c r="AN63" s="75"/>
      <c r="AO63" s="75"/>
      <c r="AP63" s="75"/>
      <c r="AQ63" s="75"/>
      <c r="AR63" s="75"/>
      <c r="AS63" s="77"/>
      <c r="AT63" s="74"/>
      <c r="AU63" s="78"/>
      <c r="AV63" s="79"/>
      <c r="AW63" s="75"/>
      <c r="AX63" s="75"/>
      <c r="AY63" s="75"/>
      <c r="AZ63" s="77"/>
      <c r="BA63" s="74"/>
      <c r="BB63" s="75"/>
      <c r="BC63" s="75"/>
      <c r="BD63" s="77"/>
      <c r="BE63" s="6">
        <f t="shared" si="14"/>
        <v>0</v>
      </c>
    </row>
    <row r="64" spans="1:57">
      <c r="A64" s="61"/>
      <c r="B64" s="40"/>
      <c r="C64" s="62">
        <f t="shared" si="9"/>
        <v>0</v>
      </c>
      <c r="D64" s="63">
        <f t="shared" si="10"/>
        <v>0</v>
      </c>
      <c r="E64" s="63">
        <f t="shared" si="11"/>
        <v>0</v>
      </c>
      <c r="F64" s="63">
        <f t="shared" si="12"/>
        <v>0</v>
      </c>
      <c r="G64" s="63">
        <f t="shared" si="6"/>
        <v>0</v>
      </c>
      <c r="H64" s="63">
        <f t="shared" si="13"/>
        <v>0</v>
      </c>
      <c r="I64" s="64">
        <f t="shared" si="7"/>
        <v>0</v>
      </c>
      <c r="J64" s="65"/>
      <c r="K64" s="65"/>
      <c r="L64" s="83"/>
      <c r="M64" s="67"/>
      <c r="N64" s="68"/>
      <c r="O64" s="62"/>
      <c r="P64" s="69"/>
      <c r="Q64" s="70"/>
      <c r="R64" s="50">
        <f t="shared" si="8"/>
        <v>0</v>
      </c>
      <c r="S64" s="71"/>
      <c r="T64" s="69"/>
      <c r="U64" s="72"/>
      <c r="V64" s="73"/>
      <c r="W64" s="74"/>
      <c r="X64" s="75"/>
      <c r="Y64" s="75"/>
      <c r="Z64" s="76"/>
      <c r="AA64" s="77"/>
      <c r="AB64" s="106"/>
      <c r="AC64" s="106"/>
      <c r="AD64" s="89"/>
      <c r="AE64" s="89"/>
      <c r="AF64" s="89"/>
      <c r="AG64" s="89"/>
      <c r="AH64" s="89"/>
      <c r="AI64" s="89"/>
      <c r="AJ64" s="90"/>
      <c r="AK64" s="79"/>
      <c r="AL64" s="75"/>
      <c r="AM64" s="75"/>
      <c r="AN64" s="75"/>
      <c r="AO64" s="75"/>
      <c r="AP64" s="75"/>
      <c r="AQ64" s="75"/>
      <c r="AR64" s="75"/>
      <c r="AS64" s="77"/>
      <c r="AT64" s="74"/>
      <c r="AU64" s="78"/>
      <c r="AV64" s="79"/>
      <c r="AW64" s="75"/>
      <c r="AX64" s="75"/>
      <c r="AY64" s="75"/>
      <c r="AZ64" s="77"/>
      <c r="BA64" s="74"/>
      <c r="BB64" s="75"/>
      <c r="BC64" s="75"/>
      <c r="BD64" s="77"/>
      <c r="BE64" s="6">
        <f t="shared" si="14"/>
        <v>0</v>
      </c>
    </row>
    <row r="65" spans="1:57">
      <c r="A65" s="61"/>
      <c r="B65" s="40"/>
      <c r="C65" s="62">
        <f t="shared" si="9"/>
        <v>0</v>
      </c>
      <c r="D65" s="63">
        <f t="shared" si="10"/>
        <v>0</v>
      </c>
      <c r="E65" s="63">
        <f t="shared" si="11"/>
        <v>0</v>
      </c>
      <c r="F65" s="63">
        <f t="shared" si="12"/>
        <v>0</v>
      </c>
      <c r="G65" s="63">
        <f t="shared" si="6"/>
        <v>0</v>
      </c>
      <c r="H65" s="63">
        <f t="shared" si="13"/>
        <v>0</v>
      </c>
      <c r="I65" s="64">
        <f t="shared" si="7"/>
        <v>0</v>
      </c>
      <c r="J65" s="65"/>
      <c r="K65" s="65"/>
      <c r="L65" s="83"/>
      <c r="M65" s="67"/>
      <c r="N65" s="68"/>
      <c r="O65" s="62"/>
      <c r="P65" s="69"/>
      <c r="Q65" s="70"/>
      <c r="R65" s="50">
        <f t="shared" si="8"/>
        <v>0</v>
      </c>
      <c r="S65" s="71"/>
      <c r="T65" s="69"/>
      <c r="U65" s="72"/>
      <c r="V65" s="73"/>
      <c r="W65" s="74"/>
      <c r="X65" s="75"/>
      <c r="Y65" s="75"/>
      <c r="Z65" s="76"/>
      <c r="AA65" s="77"/>
      <c r="AB65" s="74"/>
      <c r="AC65" s="74"/>
      <c r="AD65" s="75"/>
      <c r="AE65" s="75"/>
      <c r="AF65" s="75"/>
      <c r="AG65" s="75"/>
      <c r="AH65" s="75"/>
      <c r="AI65" s="75"/>
      <c r="AJ65" s="78"/>
      <c r="AK65" s="79"/>
      <c r="AL65" s="75"/>
      <c r="AM65" s="75"/>
      <c r="AN65" s="75"/>
      <c r="AO65" s="75"/>
      <c r="AP65" s="75"/>
      <c r="AQ65" s="75"/>
      <c r="AR65" s="75"/>
      <c r="AS65" s="77"/>
      <c r="AT65" s="74"/>
      <c r="AU65" s="78"/>
      <c r="AV65" s="79"/>
      <c r="AW65" s="75"/>
      <c r="AX65" s="75"/>
      <c r="AY65" s="75"/>
      <c r="AZ65" s="77"/>
      <c r="BA65" s="74"/>
      <c r="BB65" s="75"/>
      <c r="BC65" s="75"/>
      <c r="BD65" s="77"/>
      <c r="BE65" s="6">
        <f t="shared" si="14"/>
        <v>0</v>
      </c>
    </row>
    <row r="66" spans="1:57">
      <c r="A66" s="61"/>
      <c r="B66" s="40"/>
      <c r="C66" s="62">
        <f t="shared" si="9"/>
        <v>0</v>
      </c>
      <c r="D66" s="63">
        <f t="shared" si="10"/>
        <v>0</v>
      </c>
      <c r="E66" s="63">
        <f t="shared" si="11"/>
        <v>0</v>
      </c>
      <c r="F66" s="63">
        <f t="shared" si="12"/>
        <v>0</v>
      </c>
      <c r="G66" s="63">
        <f t="shared" si="6"/>
        <v>0</v>
      </c>
      <c r="H66" s="63">
        <f t="shared" si="13"/>
        <v>0</v>
      </c>
      <c r="I66" s="64">
        <f t="shared" si="7"/>
        <v>0</v>
      </c>
      <c r="J66" s="65"/>
      <c r="K66" s="65"/>
      <c r="L66" s="83"/>
      <c r="M66" s="67"/>
      <c r="N66" s="68"/>
      <c r="O66" s="62"/>
      <c r="P66" s="69"/>
      <c r="Q66" s="70"/>
      <c r="R66" s="50">
        <f t="shared" si="8"/>
        <v>0</v>
      </c>
      <c r="S66" s="71"/>
      <c r="T66" s="69"/>
      <c r="U66" s="72"/>
      <c r="V66" s="73"/>
      <c r="W66" s="74"/>
      <c r="X66" s="75"/>
      <c r="Y66" s="75"/>
      <c r="Z66" s="76"/>
      <c r="AA66" s="77"/>
      <c r="AB66" s="106"/>
      <c r="AC66" s="106"/>
      <c r="AD66" s="75"/>
      <c r="AE66" s="75"/>
      <c r="AF66" s="75"/>
      <c r="AG66" s="75"/>
      <c r="AH66" s="75"/>
      <c r="AI66" s="75"/>
      <c r="AJ66" s="78"/>
      <c r="AK66" s="79"/>
      <c r="AL66" s="75"/>
      <c r="AM66" s="75"/>
      <c r="AN66" s="75"/>
      <c r="AO66" s="75"/>
      <c r="AP66" s="75"/>
      <c r="AQ66" s="75"/>
      <c r="AR66" s="75"/>
      <c r="AS66" s="77"/>
      <c r="AT66" s="74"/>
      <c r="AU66" s="78"/>
      <c r="AV66" s="79"/>
      <c r="AW66" s="75"/>
      <c r="AX66" s="75"/>
      <c r="AY66" s="75"/>
      <c r="AZ66" s="77"/>
      <c r="BA66" s="74"/>
      <c r="BB66" s="75"/>
      <c r="BC66" s="75"/>
      <c r="BD66" s="77"/>
      <c r="BE66" s="6">
        <f t="shared" si="14"/>
        <v>0</v>
      </c>
    </row>
    <row r="67" spans="1:57">
      <c r="A67" s="61"/>
      <c r="B67" s="40"/>
      <c r="C67" s="62">
        <f t="shared" si="9"/>
        <v>0</v>
      </c>
      <c r="D67" s="63">
        <f t="shared" si="10"/>
        <v>0</v>
      </c>
      <c r="E67" s="63">
        <f t="shared" si="11"/>
        <v>0</v>
      </c>
      <c r="F67" s="63">
        <f t="shared" si="12"/>
        <v>0</v>
      </c>
      <c r="G67" s="63">
        <f t="shared" si="6"/>
        <v>0</v>
      </c>
      <c r="H67" s="63">
        <f t="shared" si="13"/>
        <v>0</v>
      </c>
      <c r="I67" s="64">
        <f t="shared" si="7"/>
        <v>0</v>
      </c>
      <c r="J67" s="65"/>
      <c r="K67" s="65"/>
      <c r="L67" s="83"/>
      <c r="M67" s="67"/>
      <c r="N67" s="68"/>
      <c r="O67" s="62"/>
      <c r="P67" s="69"/>
      <c r="Q67" s="70"/>
      <c r="R67" s="50">
        <f t="shared" si="8"/>
        <v>0</v>
      </c>
      <c r="S67" s="71"/>
      <c r="T67" s="69"/>
      <c r="U67" s="72"/>
      <c r="V67" s="73"/>
      <c r="W67" s="74"/>
      <c r="X67" s="75"/>
      <c r="Y67" s="75"/>
      <c r="Z67" s="76"/>
      <c r="AA67" s="77"/>
      <c r="AB67" s="74"/>
      <c r="AC67" s="74"/>
      <c r="AD67" s="75"/>
      <c r="AE67" s="75"/>
      <c r="AF67" s="75"/>
      <c r="AG67" s="75"/>
      <c r="AH67" s="75"/>
      <c r="AI67" s="75"/>
      <c r="AJ67" s="78"/>
      <c r="AK67" s="79"/>
      <c r="AL67" s="75"/>
      <c r="AM67" s="75"/>
      <c r="AN67" s="75"/>
      <c r="AO67" s="75"/>
      <c r="AP67" s="75"/>
      <c r="AQ67" s="75"/>
      <c r="AR67" s="75"/>
      <c r="AS67" s="77"/>
      <c r="AT67" s="74"/>
      <c r="AU67" s="78"/>
      <c r="AV67" s="79"/>
      <c r="AW67" s="75"/>
      <c r="AX67" s="75"/>
      <c r="AY67" s="75"/>
      <c r="AZ67" s="77"/>
      <c r="BA67" s="74"/>
      <c r="BB67" s="75"/>
      <c r="BC67" s="75"/>
      <c r="BD67" s="77"/>
      <c r="BE67" s="6">
        <f t="shared" si="14"/>
        <v>0</v>
      </c>
    </row>
    <row r="68" spans="1:57">
      <c r="A68" s="61"/>
      <c r="B68" s="40"/>
      <c r="C68" s="62">
        <f t="shared" si="9"/>
        <v>0</v>
      </c>
      <c r="D68" s="63">
        <f t="shared" si="10"/>
        <v>0</v>
      </c>
      <c r="E68" s="63">
        <f t="shared" si="11"/>
        <v>0</v>
      </c>
      <c r="F68" s="63">
        <f t="shared" si="12"/>
        <v>0</v>
      </c>
      <c r="G68" s="63">
        <f t="shared" si="6"/>
        <v>0</v>
      </c>
      <c r="H68" s="63">
        <f t="shared" si="13"/>
        <v>0</v>
      </c>
      <c r="I68" s="64">
        <f t="shared" si="7"/>
        <v>0</v>
      </c>
      <c r="J68" s="65"/>
      <c r="K68" s="65"/>
      <c r="L68" s="83"/>
      <c r="M68" s="67"/>
      <c r="N68" s="68"/>
      <c r="O68" s="62"/>
      <c r="P68" s="69"/>
      <c r="Q68" s="70"/>
      <c r="R68" s="50">
        <f t="shared" si="8"/>
        <v>0</v>
      </c>
      <c r="S68" s="71"/>
      <c r="T68" s="69"/>
      <c r="U68" s="72"/>
      <c r="V68" s="73"/>
      <c r="W68" s="74"/>
      <c r="X68" s="75"/>
      <c r="Y68" s="75"/>
      <c r="Z68" s="76"/>
      <c r="AA68" s="77"/>
      <c r="AB68" s="106"/>
      <c r="AC68" s="106"/>
      <c r="AD68" s="75"/>
      <c r="AE68" s="75"/>
      <c r="AF68" s="75"/>
      <c r="AG68" s="75"/>
      <c r="AH68" s="75"/>
      <c r="AI68" s="75"/>
      <c r="AJ68" s="78"/>
      <c r="AK68" s="79"/>
      <c r="AL68" s="75"/>
      <c r="AM68" s="75"/>
      <c r="AN68" s="75"/>
      <c r="AO68" s="75"/>
      <c r="AP68" s="75"/>
      <c r="AQ68" s="75"/>
      <c r="AR68" s="75"/>
      <c r="AS68" s="77"/>
      <c r="AT68" s="74"/>
      <c r="AU68" s="78"/>
      <c r="AV68" s="79"/>
      <c r="AW68" s="75"/>
      <c r="AX68" s="75"/>
      <c r="AY68" s="75"/>
      <c r="AZ68" s="77"/>
      <c r="BA68" s="74"/>
      <c r="BB68" s="75"/>
      <c r="BC68" s="75"/>
      <c r="BD68" s="77"/>
      <c r="BE68" s="6">
        <f t="shared" si="14"/>
        <v>0</v>
      </c>
    </row>
    <row r="69" spans="1:57">
      <c r="A69" s="61"/>
      <c r="B69" s="40"/>
      <c r="C69" s="62">
        <f t="shared" ref="C69:C100" si="15">SUM(AB69:AJ69)</f>
        <v>0</v>
      </c>
      <c r="D69" s="63">
        <f t="shared" ref="D69:D100" si="16">SUM(AK69:AS69)</f>
        <v>0</v>
      </c>
      <c r="E69" s="63">
        <f t="shared" ref="E69:E100" si="17">SUM(AT69:AU69)</f>
        <v>0</v>
      </c>
      <c r="F69" s="63">
        <f t="shared" ref="F69:F100" si="18">SUM(AV69:AZ69)</f>
        <v>0</v>
      </c>
      <c r="G69" s="63">
        <f t="shared" si="6"/>
        <v>0</v>
      </c>
      <c r="H69" s="63">
        <f t="shared" ref="H69:H100" si="19">SUM(V69:AA69)</f>
        <v>0</v>
      </c>
      <c r="I69" s="64">
        <f t="shared" si="7"/>
        <v>0</v>
      </c>
      <c r="J69" s="65"/>
      <c r="K69" s="65"/>
      <c r="L69" s="83"/>
      <c r="M69" s="67"/>
      <c r="N69" s="68"/>
      <c r="O69" s="62"/>
      <c r="P69" s="69"/>
      <c r="Q69" s="70"/>
      <c r="R69" s="50">
        <f t="shared" si="8"/>
        <v>0</v>
      </c>
      <c r="S69" s="71"/>
      <c r="T69" s="69"/>
      <c r="U69" s="72"/>
      <c r="V69" s="73"/>
      <c r="W69" s="74"/>
      <c r="X69" s="75"/>
      <c r="Y69" s="75"/>
      <c r="Z69" s="76"/>
      <c r="AA69" s="77"/>
      <c r="AB69" s="74"/>
      <c r="AC69" s="74"/>
      <c r="AD69" s="75"/>
      <c r="AE69" s="75"/>
      <c r="AF69" s="75"/>
      <c r="AG69" s="75"/>
      <c r="AH69" s="75"/>
      <c r="AI69" s="75"/>
      <c r="AJ69" s="78"/>
      <c r="AK69" s="79"/>
      <c r="AL69" s="75"/>
      <c r="AM69" s="75"/>
      <c r="AN69" s="75"/>
      <c r="AO69" s="75"/>
      <c r="AP69" s="75"/>
      <c r="AQ69" s="75"/>
      <c r="AR69" s="75"/>
      <c r="AS69" s="77"/>
      <c r="AT69" s="74"/>
      <c r="AU69" s="78"/>
      <c r="AV69" s="79"/>
      <c r="AW69" s="75"/>
      <c r="AX69" s="75"/>
      <c r="AY69" s="75"/>
      <c r="AZ69" s="77"/>
      <c r="BA69" s="74"/>
      <c r="BB69" s="75"/>
      <c r="BC69" s="75"/>
      <c r="BD69" s="77"/>
      <c r="BE69" s="6">
        <f t="shared" si="14"/>
        <v>0</v>
      </c>
    </row>
    <row r="70" spans="1:57">
      <c r="A70" s="61"/>
      <c r="B70" s="40"/>
      <c r="C70" s="62">
        <f t="shared" si="15"/>
        <v>0</v>
      </c>
      <c r="D70" s="63">
        <f t="shared" si="16"/>
        <v>0</v>
      </c>
      <c r="E70" s="63">
        <f t="shared" si="17"/>
        <v>0</v>
      </c>
      <c r="F70" s="63">
        <f t="shared" si="18"/>
        <v>0</v>
      </c>
      <c r="G70" s="63">
        <f t="shared" ref="G70:G113" si="20">SUM(BA70:BD70)</f>
        <v>0</v>
      </c>
      <c r="H70" s="63">
        <f t="shared" si="19"/>
        <v>0</v>
      </c>
      <c r="I70" s="64">
        <f t="shared" ref="I70:I113" si="21">SUM(C70:H70)</f>
        <v>0</v>
      </c>
      <c r="J70" s="65"/>
      <c r="K70" s="65"/>
      <c r="L70" s="91"/>
      <c r="M70" s="67"/>
      <c r="N70" s="68"/>
      <c r="O70" s="62"/>
      <c r="P70" s="69"/>
      <c r="Q70" s="70"/>
      <c r="R70" s="50">
        <f t="shared" ref="R70:R113" si="22">R69+SUM(N70:Q70)-SUM(I70:M70)</f>
        <v>0</v>
      </c>
      <c r="S70" s="71"/>
      <c r="T70" s="69"/>
      <c r="U70" s="72"/>
      <c r="V70" s="73"/>
      <c r="W70" s="74"/>
      <c r="X70" s="75"/>
      <c r="Y70" s="75"/>
      <c r="Z70" s="76"/>
      <c r="AA70" s="77"/>
      <c r="AB70" s="73"/>
      <c r="AC70" s="74"/>
      <c r="AD70" s="75"/>
      <c r="AE70" s="75"/>
      <c r="AF70" s="75"/>
      <c r="AG70" s="75"/>
      <c r="AH70" s="75"/>
      <c r="AI70" s="75"/>
      <c r="AJ70" s="78"/>
      <c r="AK70" s="79"/>
      <c r="AL70" s="75"/>
      <c r="AM70" s="75"/>
      <c r="AN70" s="75"/>
      <c r="AO70" s="75"/>
      <c r="AP70" s="75"/>
      <c r="AQ70" s="75"/>
      <c r="AR70" s="75"/>
      <c r="AS70" s="77"/>
      <c r="AT70" s="74"/>
      <c r="AU70" s="78"/>
      <c r="AV70" s="79"/>
      <c r="AW70" s="75"/>
      <c r="AX70" s="75"/>
      <c r="AY70" s="75"/>
      <c r="AZ70" s="77"/>
      <c r="BA70" s="74"/>
      <c r="BB70" s="75"/>
      <c r="BC70" s="75"/>
      <c r="BD70" s="77"/>
      <c r="BE70" s="6">
        <f t="shared" si="14"/>
        <v>0</v>
      </c>
    </row>
    <row r="71" spans="1:57">
      <c r="A71" s="61"/>
      <c r="B71" s="40"/>
      <c r="C71" s="62">
        <f t="shared" si="15"/>
        <v>0</v>
      </c>
      <c r="D71" s="63">
        <f t="shared" si="16"/>
        <v>0</v>
      </c>
      <c r="E71" s="63">
        <f t="shared" si="17"/>
        <v>0</v>
      </c>
      <c r="F71" s="63">
        <f t="shared" si="18"/>
        <v>0</v>
      </c>
      <c r="G71" s="63">
        <f t="shared" si="20"/>
        <v>0</v>
      </c>
      <c r="H71" s="63">
        <f t="shared" si="19"/>
        <v>0</v>
      </c>
      <c r="I71" s="64">
        <f t="shared" si="21"/>
        <v>0</v>
      </c>
      <c r="J71" s="65"/>
      <c r="K71" s="65"/>
      <c r="L71" s="83"/>
      <c r="M71" s="67"/>
      <c r="N71" s="68"/>
      <c r="O71" s="62"/>
      <c r="P71" s="69"/>
      <c r="Q71" s="70"/>
      <c r="R71" s="50">
        <f t="shared" si="22"/>
        <v>0</v>
      </c>
      <c r="S71" s="71"/>
      <c r="T71" s="69"/>
      <c r="U71" s="72"/>
      <c r="V71" s="73"/>
      <c r="W71" s="74"/>
      <c r="X71" s="75"/>
      <c r="Y71" s="75"/>
      <c r="Z71" s="76"/>
      <c r="AA71" s="77"/>
      <c r="AB71" s="73"/>
      <c r="AC71" s="74"/>
      <c r="AD71" s="75"/>
      <c r="AE71" s="75"/>
      <c r="AF71" s="75"/>
      <c r="AG71" s="75"/>
      <c r="AH71" s="75"/>
      <c r="AI71" s="75"/>
      <c r="AJ71" s="78"/>
      <c r="AK71" s="79"/>
      <c r="AL71" s="75"/>
      <c r="AM71" s="75"/>
      <c r="AN71" s="75"/>
      <c r="AO71" s="75"/>
      <c r="AP71" s="75"/>
      <c r="AQ71" s="75"/>
      <c r="AR71" s="75"/>
      <c r="AS71" s="77"/>
      <c r="AT71" s="74"/>
      <c r="AU71" s="78"/>
      <c r="AV71" s="79"/>
      <c r="AW71" s="75"/>
      <c r="AX71" s="75"/>
      <c r="AY71" s="75"/>
      <c r="AZ71" s="77"/>
      <c r="BA71" s="74"/>
      <c r="BB71" s="75"/>
      <c r="BC71" s="75"/>
      <c r="BD71" s="77"/>
      <c r="BE71" s="6">
        <f t="shared" si="14"/>
        <v>0</v>
      </c>
    </row>
    <row r="72" spans="1:57">
      <c r="A72" s="61"/>
      <c r="B72" s="40"/>
      <c r="C72" s="62">
        <f t="shared" si="15"/>
        <v>0</v>
      </c>
      <c r="D72" s="63">
        <f t="shared" si="16"/>
        <v>0</v>
      </c>
      <c r="E72" s="63">
        <f t="shared" si="17"/>
        <v>0</v>
      </c>
      <c r="F72" s="63">
        <f t="shared" si="18"/>
        <v>0</v>
      </c>
      <c r="G72" s="63">
        <f t="shared" si="20"/>
        <v>0</v>
      </c>
      <c r="H72" s="63">
        <f t="shared" si="19"/>
        <v>0</v>
      </c>
      <c r="I72" s="64">
        <f t="shared" si="21"/>
        <v>0</v>
      </c>
      <c r="J72" s="65"/>
      <c r="K72" s="65"/>
      <c r="L72" s="83"/>
      <c r="M72" s="67"/>
      <c r="N72" s="68"/>
      <c r="O72" s="62"/>
      <c r="P72" s="69"/>
      <c r="Q72" s="70"/>
      <c r="R72" s="50">
        <f t="shared" si="22"/>
        <v>0</v>
      </c>
      <c r="S72" s="71"/>
      <c r="T72" s="69"/>
      <c r="U72" s="72"/>
      <c r="V72" s="73"/>
      <c r="W72" s="74"/>
      <c r="X72" s="75"/>
      <c r="Y72" s="75"/>
      <c r="Z72" s="76"/>
      <c r="AA72" s="77"/>
      <c r="AB72" s="73"/>
      <c r="AC72" s="74"/>
      <c r="AD72" s="75"/>
      <c r="AE72" s="75"/>
      <c r="AF72" s="75"/>
      <c r="AG72" s="75"/>
      <c r="AH72" s="75"/>
      <c r="AI72" s="75"/>
      <c r="AJ72" s="78"/>
      <c r="AK72" s="79"/>
      <c r="AL72" s="75"/>
      <c r="AM72" s="75"/>
      <c r="AN72" s="75"/>
      <c r="AO72" s="75"/>
      <c r="AP72" s="75"/>
      <c r="AQ72" s="75"/>
      <c r="AR72" s="75"/>
      <c r="AS72" s="77"/>
      <c r="AT72" s="74"/>
      <c r="AU72" s="78"/>
      <c r="AV72" s="79"/>
      <c r="AW72" s="75"/>
      <c r="AX72" s="75"/>
      <c r="AY72" s="75"/>
      <c r="AZ72" s="77"/>
      <c r="BA72" s="74"/>
      <c r="BB72" s="75"/>
      <c r="BC72" s="75"/>
      <c r="BD72" s="77"/>
      <c r="BE72" s="6">
        <f t="shared" si="14"/>
        <v>0</v>
      </c>
    </row>
    <row r="73" spans="1:57">
      <c r="A73" s="61"/>
      <c r="B73" s="40"/>
      <c r="C73" s="62">
        <f t="shared" si="15"/>
        <v>0</v>
      </c>
      <c r="D73" s="63">
        <f t="shared" si="16"/>
        <v>0</v>
      </c>
      <c r="E73" s="63">
        <f t="shared" si="17"/>
        <v>0</v>
      </c>
      <c r="F73" s="63">
        <f t="shared" si="18"/>
        <v>0</v>
      </c>
      <c r="G73" s="63">
        <f t="shared" si="20"/>
        <v>0</v>
      </c>
      <c r="H73" s="63">
        <f t="shared" si="19"/>
        <v>0</v>
      </c>
      <c r="I73" s="64">
        <f t="shared" si="21"/>
        <v>0</v>
      </c>
      <c r="J73" s="65"/>
      <c r="K73" s="65"/>
      <c r="L73" s="83"/>
      <c r="M73" s="67"/>
      <c r="N73" s="68"/>
      <c r="O73" s="62"/>
      <c r="P73" s="69"/>
      <c r="Q73" s="70"/>
      <c r="R73" s="50">
        <f t="shared" si="22"/>
        <v>0</v>
      </c>
      <c r="S73" s="71"/>
      <c r="T73" s="69"/>
      <c r="U73" s="72"/>
      <c r="V73" s="73"/>
      <c r="W73" s="74"/>
      <c r="X73" s="75"/>
      <c r="Y73" s="75"/>
      <c r="Z73" s="76"/>
      <c r="AA73" s="77"/>
      <c r="AB73" s="73"/>
      <c r="AC73" s="74"/>
      <c r="AD73" s="75"/>
      <c r="AE73" s="75"/>
      <c r="AF73" s="75"/>
      <c r="AG73" s="75"/>
      <c r="AH73" s="75"/>
      <c r="AI73" s="75"/>
      <c r="AJ73" s="78"/>
      <c r="AK73" s="79"/>
      <c r="AL73" s="75"/>
      <c r="AM73" s="75"/>
      <c r="AN73" s="75"/>
      <c r="AO73" s="75"/>
      <c r="AP73" s="75"/>
      <c r="AQ73" s="75"/>
      <c r="AR73" s="75"/>
      <c r="AS73" s="77"/>
      <c r="AT73" s="74"/>
      <c r="AU73" s="78"/>
      <c r="AV73" s="79"/>
      <c r="AW73" s="75"/>
      <c r="AX73" s="75"/>
      <c r="AY73" s="75"/>
      <c r="AZ73" s="77"/>
      <c r="BA73" s="74"/>
      <c r="BB73" s="75"/>
      <c r="BC73" s="75"/>
      <c r="BD73" s="77"/>
      <c r="BE73" s="6">
        <f t="shared" si="14"/>
        <v>0</v>
      </c>
    </row>
    <row r="74" spans="1:57">
      <c r="A74" s="61"/>
      <c r="B74" s="40"/>
      <c r="C74" s="62">
        <f t="shared" si="15"/>
        <v>0</v>
      </c>
      <c r="D74" s="63">
        <f t="shared" si="16"/>
        <v>0</v>
      </c>
      <c r="E74" s="63">
        <f t="shared" si="17"/>
        <v>0</v>
      </c>
      <c r="F74" s="63">
        <f t="shared" si="18"/>
        <v>0</v>
      </c>
      <c r="G74" s="63">
        <f t="shared" si="20"/>
        <v>0</v>
      </c>
      <c r="H74" s="63">
        <f t="shared" si="19"/>
        <v>0</v>
      </c>
      <c r="I74" s="64">
        <f t="shared" si="21"/>
        <v>0</v>
      </c>
      <c r="J74" s="65"/>
      <c r="K74" s="65"/>
      <c r="L74" s="100"/>
      <c r="M74" s="67"/>
      <c r="N74" s="68"/>
      <c r="O74" s="62"/>
      <c r="P74" s="69"/>
      <c r="Q74" s="70"/>
      <c r="R74" s="50">
        <f t="shared" si="22"/>
        <v>0</v>
      </c>
      <c r="S74" s="71"/>
      <c r="T74" s="69"/>
      <c r="U74" s="72"/>
      <c r="V74" s="73"/>
      <c r="W74" s="74"/>
      <c r="X74" s="75"/>
      <c r="Y74" s="75"/>
      <c r="Z74" s="76"/>
      <c r="AA74" s="77"/>
      <c r="AB74" s="73"/>
      <c r="AC74" s="74"/>
      <c r="AD74" s="75"/>
      <c r="AE74" s="75"/>
      <c r="AF74" s="75"/>
      <c r="AG74" s="75"/>
      <c r="AH74" s="75"/>
      <c r="AI74" s="75"/>
      <c r="AJ74" s="78"/>
      <c r="AK74" s="79"/>
      <c r="AL74" s="75"/>
      <c r="AM74" s="75"/>
      <c r="AN74" s="75"/>
      <c r="AO74" s="75"/>
      <c r="AP74" s="75"/>
      <c r="AQ74" s="75"/>
      <c r="AR74" s="75"/>
      <c r="AS74" s="77"/>
      <c r="AT74" s="74"/>
      <c r="AU74" s="78"/>
      <c r="AV74" s="79"/>
      <c r="AW74" s="75"/>
      <c r="AX74" s="75"/>
      <c r="AY74" s="75"/>
      <c r="AZ74" s="77"/>
      <c r="BA74" s="74"/>
      <c r="BB74" s="75"/>
      <c r="BC74" s="75"/>
      <c r="BD74" s="77"/>
      <c r="BE74" s="6">
        <f t="shared" si="14"/>
        <v>0</v>
      </c>
    </row>
    <row r="75" spans="1:57">
      <c r="A75" s="61"/>
      <c r="B75" s="40"/>
      <c r="C75" s="62">
        <f t="shared" si="15"/>
        <v>0</v>
      </c>
      <c r="D75" s="63">
        <f t="shared" si="16"/>
        <v>0</v>
      </c>
      <c r="E75" s="63">
        <f t="shared" si="17"/>
        <v>0</v>
      </c>
      <c r="F75" s="63">
        <f t="shared" si="18"/>
        <v>0</v>
      </c>
      <c r="G75" s="63">
        <f t="shared" si="20"/>
        <v>0</v>
      </c>
      <c r="H75" s="63">
        <f t="shared" si="19"/>
        <v>0</v>
      </c>
      <c r="I75" s="64">
        <f t="shared" si="21"/>
        <v>0</v>
      </c>
      <c r="J75" s="65"/>
      <c r="K75" s="65"/>
      <c r="L75" s="83"/>
      <c r="M75" s="67"/>
      <c r="N75" s="68"/>
      <c r="O75" s="62"/>
      <c r="P75" s="69"/>
      <c r="Q75" s="70"/>
      <c r="R75" s="50">
        <f t="shared" si="22"/>
        <v>0</v>
      </c>
      <c r="S75" s="71"/>
      <c r="T75" s="69"/>
      <c r="U75" s="72"/>
      <c r="V75" s="73"/>
      <c r="W75" s="74"/>
      <c r="X75" s="75"/>
      <c r="Y75" s="75"/>
      <c r="Z75" s="76"/>
      <c r="AA75" s="77"/>
      <c r="AB75" s="73"/>
      <c r="AC75" s="74"/>
      <c r="AD75" s="75"/>
      <c r="AE75" s="75"/>
      <c r="AF75" s="75"/>
      <c r="AG75" s="75"/>
      <c r="AH75" s="75"/>
      <c r="AI75" s="75"/>
      <c r="AJ75" s="78"/>
      <c r="AK75" s="79"/>
      <c r="AL75" s="75"/>
      <c r="AM75" s="75"/>
      <c r="AN75" s="75"/>
      <c r="AO75" s="75"/>
      <c r="AP75" s="75"/>
      <c r="AQ75" s="75"/>
      <c r="AR75" s="75"/>
      <c r="AS75" s="77"/>
      <c r="AT75" s="74"/>
      <c r="AU75" s="78"/>
      <c r="AV75" s="79"/>
      <c r="AW75" s="75"/>
      <c r="AX75" s="75"/>
      <c r="AY75" s="75"/>
      <c r="AZ75" s="77"/>
      <c r="BA75" s="74"/>
      <c r="BB75" s="75"/>
      <c r="BC75" s="75"/>
      <c r="BD75" s="77"/>
      <c r="BE75" s="6">
        <f t="shared" si="14"/>
        <v>0</v>
      </c>
    </row>
    <row r="76" spans="1:57">
      <c r="A76" s="61"/>
      <c r="B76" s="40"/>
      <c r="C76" s="62">
        <f t="shared" si="15"/>
        <v>0</v>
      </c>
      <c r="D76" s="63">
        <f t="shared" si="16"/>
        <v>0</v>
      </c>
      <c r="E76" s="63">
        <f t="shared" si="17"/>
        <v>0</v>
      </c>
      <c r="F76" s="63">
        <f t="shared" si="18"/>
        <v>0</v>
      </c>
      <c r="G76" s="63">
        <f t="shared" si="20"/>
        <v>0</v>
      </c>
      <c r="H76" s="63">
        <f t="shared" si="19"/>
        <v>0</v>
      </c>
      <c r="I76" s="64">
        <f t="shared" si="21"/>
        <v>0</v>
      </c>
      <c r="J76" s="65"/>
      <c r="K76" s="65"/>
      <c r="L76" s="83"/>
      <c r="M76" s="67"/>
      <c r="N76" s="68"/>
      <c r="O76" s="62"/>
      <c r="P76" s="69"/>
      <c r="Q76" s="70"/>
      <c r="R76" s="50">
        <f t="shared" si="22"/>
        <v>0</v>
      </c>
      <c r="S76" s="71"/>
      <c r="T76" s="85"/>
      <c r="U76" s="72"/>
      <c r="V76" s="73"/>
      <c r="W76" s="74"/>
      <c r="X76" s="75"/>
      <c r="Y76" s="75"/>
      <c r="Z76" s="76"/>
      <c r="AA76" s="77"/>
      <c r="AB76" s="73"/>
      <c r="AC76" s="74"/>
      <c r="AD76" s="75"/>
      <c r="AE76" s="75"/>
      <c r="AF76" s="75"/>
      <c r="AG76" s="75"/>
      <c r="AH76" s="75"/>
      <c r="AI76" s="75"/>
      <c r="AJ76" s="78"/>
      <c r="AK76" s="79"/>
      <c r="AL76" s="75"/>
      <c r="AM76" s="75"/>
      <c r="AN76" s="75"/>
      <c r="AO76" s="75"/>
      <c r="AP76" s="75"/>
      <c r="AQ76" s="75"/>
      <c r="AR76" s="75"/>
      <c r="AS76" s="77"/>
      <c r="AT76" s="74"/>
      <c r="AU76" s="78"/>
      <c r="AV76" s="79"/>
      <c r="AW76" s="75"/>
      <c r="AX76" s="75"/>
      <c r="AY76" s="75"/>
      <c r="AZ76" s="77"/>
      <c r="BA76" s="74"/>
      <c r="BB76" s="75"/>
      <c r="BC76" s="75"/>
      <c r="BD76" s="77"/>
      <c r="BE76" s="6">
        <f t="shared" si="14"/>
        <v>0</v>
      </c>
    </row>
    <row r="77" spans="1:57">
      <c r="A77" s="61"/>
      <c r="B77" s="40"/>
      <c r="C77" s="62">
        <f t="shared" si="15"/>
        <v>0</v>
      </c>
      <c r="D77" s="63">
        <f t="shared" si="16"/>
        <v>0</v>
      </c>
      <c r="E77" s="63">
        <f t="shared" si="17"/>
        <v>0</v>
      </c>
      <c r="F77" s="63">
        <f t="shared" si="18"/>
        <v>0</v>
      </c>
      <c r="G77" s="63">
        <f t="shared" si="20"/>
        <v>0</v>
      </c>
      <c r="H77" s="63">
        <f t="shared" si="19"/>
        <v>0</v>
      </c>
      <c r="I77" s="64">
        <f t="shared" si="21"/>
        <v>0</v>
      </c>
      <c r="J77" s="65"/>
      <c r="K77" s="65"/>
      <c r="L77" s="83"/>
      <c r="M77" s="67"/>
      <c r="N77" s="68"/>
      <c r="O77" s="62"/>
      <c r="P77" s="69"/>
      <c r="Q77" s="70"/>
      <c r="R77" s="50">
        <f t="shared" si="22"/>
        <v>0</v>
      </c>
      <c r="S77" s="71"/>
      <c r="T77" s="94"/>
      <c r="U77" s="72"/>
      <c r="V77" s="73"/>
      <c r="W77" s="74"/>
      <c r="X77" s="75"/>
      <c r="Y77" s="75"/>
      <c r="Z77" s="76"/>
      <c r="AA77" s="77"/>
      <c r="AB77" s="73"/>
      <c r="AC77" s="74"/>
      <c r="AD77" s="75"/>
      <c r="AE77" s="75"/>
      <c r="AF77" s="75"/>
      <c r="AG77" s="75"/>
      <c r="AH77" s="75"/>
      <c r="AI77" s="75"/>
      <c r="AJ77" s="78"/>
      <c r="AK77" s="79"/>
      <c r="AL77" s="75"/>
      <c r="AM77" s="75"/>
      <c r="AN77" s="75"/>
      <c r="AO77" s="75"/>
      <c r="AP77" s="75"/>
      <c r="AQ77" s="75"/>
      <c r="AR77" s="75"/>
      <c r="AS77" s="77"/>
      <c r="AT77" s="74"/>
      <c r="AU77" s="78"/>
      <c r="AV77" s="79"/>
      <c r="AW77" s="75"/>
      <c r="AX77" s="75"/>
      <c r="AY77" s="75"/>
      <c r="AZ77" s="77"/>
      <c r="BA77" s="74"/>
      <c r="BB77" s="75"/>
      <c r="BC77" s="75"/>
      <c r="BD77" s="77"/>
      <c r="BE77" s="6">
        <f t="shared" si="14"/>
        <v>0</v>
      </c>
    </row>
    <row r="78" spans="1:57">
      <c r="A78" s="61"/>
      <c r="B78" s="40"/>
      <c r="C78" s="62">
        <f t="shared" si="15"/>
        <v>0</v>
      </c>
      <c r="D78" s="63">
        <f t="shared" si="16"/>
        <v>0</v>
      </c>
      <c r="E78" s="63">
        <f t="shared" si="17"/>
        <v>0</v>
      </c>
      <c r="F78" s="63">
        <f t="shared" si="18"/>
        <v>0</v>
      </c>
      <c r="G78" s="63">
        <f t="shared" si="20"/>
        <v>0</v>
      </c>
      <c r="H78" s="63">
        <f t="shared" si="19"/>
        <v>0</v>
      </c>
      <c r="I78" s="64">
        <f t="shared" si="21"/>
        <v>0</v>
      </c>
      <c r="J78" s="65"/>
      <c r="K78" s="91"/>
      <c r="L78" s="83"/>
      <c r="M78" s="67"/>
      <c r="N78" s="68"/>
      <c r="O78" s="62"/>
      <c r="P78" s="69"/>
      <c r="Q78" s="70"/>
      <c r="R78" s="50">
        <f t="shared" si="22"/>
        <v>0</v>
      </c>
      <c r="S78" s="71"/>
      <c r="T78" s="94"/>
      <c r="U78" s="72"/>
      <c r="V78" s="73"/>
      <c r="W78" s="74"/>
      <c r="X78" s="75"/>
      <c r="Y78" s="75"/>
      <c r="Z78" s="76"/>
      <c r="AA78" s="77"/>
      <c r="AB78" s="73"/>
      <c r="AC78" s="74"/>
      <c r="AD78" s="75"/>
      <c r="AE78" s="75"/>
      <c r="AF78" s="75"/>
      <c r="AG78" s="75"/>
      <c r="AH78" s="75"/>
      <c r="AI78" s="75"/>
      <c r="AJ78" s="78"/>
      <c r="AK78" s="79"/>
      <c r="AL78" s="75"/>
      <c r="AM78" s="75"/>
      <c r="AN78" s="75"/>
      <c r="AO78" s="75"/>
      <c r="AP78" s="75"/>
      <c r="AQ78" s="75"/>
      <c r="AR78" s="75"/>
      <c r="AS78" s="77"/>
      <c r="AT78" s="74"/>
      <c r="AU78" s="78"/>
      <c r="AV78" s="79"/>
      <c r="AW78" s="75"/>
      <c r="AX78" s="75"/>
      <c r="AY78" s="75"/>
      <c r="AZ78" s="77"/>
      <c r="BA78" s="74"/>
      <c r="BB78" s="75"/>
      <c r="BC78" s="75"/>
      <c r="BD78" s="77"/>
      <c r="BE78" s="6">
        <f t="shared" si="14"/>
        <v>0</v>
      </c>
    </row>
    <row r="79" spans="1:57">
      <c r="A79" s="61"/>
      <c r="B79" s="40"/>
      <c r="C79" s="62">
        <f t="shared" si="15"/>
        <v>0</v>
      </c>
      <c r="D79" s="63">
        <f t="shared" si="16"/>
        <v>0</v>
      </c>
      <c r="E79" s="63">
        <f t="shared" si="17"/>
        <v>0</v>
      </c>
      <c r="F79" s="63">
        <f t="shared" si="18"/>
        <v>0</v>
      </c>
      <c r="G79" s="63">
        <f t="shared" si="20"/>
        <v>0</v>
      </c>
      <c r="H79" s="63">
        <f t="shared" si="19"/>
        <v>0</v>
      </c>
      <c r="I79" s="64">
        <f t="shared" si="21"/>
        <v>0</v>
      </c>
      <c r="J79" s="65"/>
      <c r="K79" s="65"/>
      <c r="L79" s="83"/>
      <c r="M79" s="67"/>
      <c r="N79" s="68"/>
      <c r="O79" s="62"/>
      <c r="P79" s="69"/>
      <c r="Q79" s="70"/>
      <c r="R79" s="50">
        <f t="shared" si="22"/>
        <v>0</v>
      </c>
      <c r="S79" s="92"/>
      <c r="T79" s="69"/>
      <c r="U79" s="72"/>
      <c r="V79" s="73"/>
      <c r="W79" s="74"/>
      <c r="X79" s="75"/>
      <c r="Y79" s="75"/>
      <c r="Z79" s="76"/>
      <c r="AA79" s="77"/>
      <c r="AB79" s="73"/>
      <c r="AC79" s="74"/>
      <c r="AD79" s="75"/>
      <c r="AE79" s="75"/>
      <c r="AF79" s="75"/>
      <c r="AG79" s="75"/>
      <c r="AH79" s="75"/>
      <c r="AI79" s="75"/>
      <c r="AJ79" s="78"/>
      <c r="AK79" s="79"/>
      <c r="AL79" s="75"/>
      <c r="AM79" s="75"/>
      <c r="AN79" s="75"/>
      <c r="AO79" s="75"/>
      <c r="AP79" s="75"/>
      <c r="AQ79" s="75"/>
      <c r="AR79" s="75"/>
      <c r="AS79" s="77"/>
      <c r="AT79" s="74"/>
      <c r="AU79" s="78"/>
      <c r="AV79" s="79"/>
      <c r="AW79" s="75"/>
      <c r="AX79" s="75"/>
      <c r="AY79" s="75"/>
      <c r="AZ79" s="77"/>
      <c r="BA79" s="74"/>
      <c r="BB79" s="75"/>
      <c r="BC79" s="75"/>
      <c r="BD79" s="77"/>
      <c r="BE79" s="6">
        <f t="shared" ref="BE79:BE110" si="23">I79-SUM(AB79:BD79)</f>
        <v>0</v>
      </c>
    </row>
    <row r="80" spans="1:57">
      <c r="A80" s="61"/>
      <c r="B80" s="40"/>
      <c r="C80" s="62">
        <f t="shared" si="15"/>
        <v>0</v>
      </c>
      <c r="D80" s="63">
        <f t="shared" si="16"/>
        <v>0</v>
      </c>
      <c r="E80" s="63">
        <f t="shared" si="17"/>
        <v>0</v>
      </c>
      <c r="F80" s="63">
        <f t="shared" si="18"/>
        <v>0</v>
      </c>
      <c r="G80" s="63">
        <f t="shared" si="20"/>
        <v>0</v>
      </c>
      <c r="H80" s="63">
        <f t="shared" si="19"/>
        <v>0</v>
      </c>
      <c r="I80" s="64">
        <f t="shared" si="21"/>
        <v>0</v>
      </c>
      <c r="J80" s="65"/>
      <c r="K80" s="65"/>
      <c r="L80" s="83"/>
      <c r="M80" s="67"/>
      <c r="N80" s="68"/>
      <c r="O80" s="62"/>
      <c r="P80" s="69"/>
      <c r="Q80" s="70"/>
      <c r="R80" s="50">
        <f t="shared" si="22"/>
        <v>0</v>
      </c>
      <c r="S80" s="71"/>
      <c r="T80" s="69"/>
      <c r="U80" s="72"/>
      <c r="V80" s="73"/>
      <c r="W80" s="74"/>
      <c r="X80" s="75"/>
      <c r="Y80" s="75"/>
      <c r="Z80" s="76"/>
      <c r="AA80" s="77"/>
      <c r="AB80" s="73"/>
      <c r="AC80" s="74"/>
      <c r="AD80" s="75"/>
      <c r="AE80" s="75"/>
      <c r="AF80" s="75"/>
      <c r="AG80" s="75"/>
      <c r="AH80" s="75"/>
      <c r="AI80" s="75"/>
      <c r="AJ80" s="78"/>
      <c r="AK80" s="79"/>
      <c r="AL80" s="75"/>
      <c r="AM80" s="75"/>
      <c r="AN80" s="75"/>
      <c r="AO80" s="75"/>
      <c r="AP80" s="75"/>
      <c r="AQ80" s="75"/>
      <c r="AR80" s="75"/>
      <c r="AS80" s="77"/>
      <c r="AT80" s="74"/>
      <c r="AU80" s="78"/>
      <c r="AV80" s="79"/>
      <c r="AW80" s="75"/>
      <c r="AX80" s="75"/>
      <c r="AY80" s="75"/>
      <c r="AZ80" s="77"/>
      <c r="BA80" s="74"/>
      <c r="BB80" s="75"/>
      <c r="BC80" s="75"/>
      <c r="BD80" s="77"/>
      <c r="BE80" s="6">
        <f t="shared" si="23"/>
        <v>0</v>
      </c>
    </row>
    <row r="81" spans="1:57">
      <c r="A81" s="61"/>
      <c r="B81" s="40"/>
      <c r="C81" s="62">
        <f t="shared" si="15"/>
        <v>0</v>
      </c>
      <c r="D81" s="63">
        <f t="shared" si="16"/>
        <v>0</v>
      </c>
      <c r="E81" s="63">
        <f t="shared" si="17"/>
        <v>0</v>
      </c>
      <c r="F81" s="63">
        <f t="shared" si="18"/>
        <v>0</v>
      </c>
      <c r="G81" s="63">
        <f t="shared" si="20"/>
        <v>0</v>
      </c>
      <c r="H81" s="63">
        <f t="shared" si="19"/>
        <v>0</v>
      </c>
      <c r="I81" s="64">
        <f t="shared" si="21"/>
        <v>0</v>
      </c>
      <c r="J81" s="65"/>
      <c r="K81" s="65"/>
      <c r="L81" s="83"/>
      <c r="M81" s="67"/>
      <c r="N81" s="68"/>
      <c r="O81" s="62"/>
      <c r="P81" s="69"/>
      <c r="Q81" s="70"/>
      <c r="R81" s="50">
        <f t="shared" si="22"/>
        <v>0</v>
      </c>
      <c r="S81" s="71"/>
      <c r="T81" s="94"/>
      <c r="U81" s="72"/>
      <c r="V81" s="73"/>
      <c r="W81" s="74"/>
      <c r="X81" s="75"/>
      <c r="Y81" s="75"/>
      <c r="Z81" s="76"/>
      <c r="AA81" s="77"/>
      <c r="AB81" s="73"/>
      <c r="AC81" s="74"/>
      <c r="AD81" s="75"/>
      <c r="AE81" s="75"/>
      <c r="AF81" s="75"/>
      <c r="AG81" s="75"/>
      <c r="AH81" s="75"/>
      <c r="AI81" s="75"/>
      <c r="AJ81" s="78"/>
      <c r="AK81" s="79"/>
      <c r="AL81" s="75"/>
      <c r="AM81" s="75"/>
      <c r="AN81" s="75"/>
      <c r="AO81" s="75"/>
      <c r="AP81" s="75"/>
      <c r="AQ81" s="75"/>
      <c r="AR81" s="75"/>
      <c r="AS81" s="77"/>
      <c r="AT81" s="74"/>
      <c r="AU81" s="78"/>
      <c r="AV81" s="79"/>
      <c r="AW81" s="75"/>
      <c r="AX81" s="75"/>
      <c r="AY81" s="75"/>
      <c r="AZ81" s="77"/>
      <c r="BA81" s="74"/>
      <c r="BB81" s="75"/>
      <c r="BC81" s="75"/>
      <c r="BD81" s="77"/>
      <c r="BE81" s="6">
        <f t="shared" si="23"/>
        <v>0</v>
      </c>
    </row>
    <row r="82" spans="1:57">
      <c r="A82" s="61"/>
      <c r="B82" s="40"/>
      <c r="C82" s="62">
        <f t="shared" si="15"/>
        <v>0</v>
      </c>
      <c r="D82" s="63">
        <f t="shared" si="16"/>
        <v>0</v>
      </c>
      <c r="E82" s="63">
        <f t="shared" si="17"/>
        <v>0</v>
      </c>
      <c r="F82" s="63">
        <f t="shared" si="18"/>
        <v>0</v>
      </c>
      <c r="G82" s="63">
        <f t="shared" si="20"/>
        <v>0</v>
      </c>
      <c r="H82" s="63">
        <f t="shared" si="19"/>
        <v>0</v>
      </c>
      <c r="I82" s="64">
        <f t="shared" si="21"/>
        <v>0</v>
      </c>
      <c r="J82" s="65"/>
      <c r="K82" s="91"/>
      <c r="L82" s="83"/>
      <c r="M82" s="67"/>
      <c r="N82" s="68"/>
      <c r="O82" s="62"/>
      <c r="P82" s="69"/>
      <c r="Q82" s="70"/>
      <c r="R82" s="50">
        <f t="shared" si="22"/>
        <v>0</v>
      </c>
      <c r="S82" s="71"/>
      <c r="T82" s="94"/>
      <c r="U82" s="72"/>
      <c r="V82" s="73"/>
      <c r="W82" s="74"/>
      <c r="X82" s="75"/>
      <c r="Y82" s="75"/>
      <c r="Z82" s="76"/>
      <c r="AA82" s="77"/>
      <c r="AB82" s="73"/>
      <c r="AC82" s="74"/>
      <c r="AD82" s="75"/>
      <c r="AE82" s="75"/>
      <c r="AF82" s="75"/>
      <c r="AG82" s="75"/>
      <c r="AH82" s="75"/>
      <c r="AI82" s="75"/>
      <c r="AJ82" s="78"/>
      <c r="AK82" s="79"/>
      <c r="AL82" s="75"/>
      <c r="AM82" s="75"/>
      <c r="AN82" s="75"/>
      <c r="AO82" s="75"/>
      <c r="AP82" s="75"/>
      <c r="AQ82" s="75"/>
      <c r="AR82" s="75"/>
      <c r="AS82" s="77"/>
      <c r="AT82" s="74"/>
      <c r="AU82" s="78"/>
      <c r="AV82" s="79"/>
      <c r="AW82" s="75"/>
      <c r="AX82" s="75"/>
      <c r="AY82" s="75"/>
      <c r="AZ82" s="77"/>
      <c r="BA82" s="74"/>
      <c r="BB82" s="75"/>
      <c r="BC82" s="75"/>
      <c r="BD82" s="77"/>
      <c r="BE82" s="6">
        <f t="shared" si="23"/>
        <v>0</v>
      </c>
    </row>
    <row r="83" spans="1:57">
      <c r="A83" s="61"/>
      <c r="B83" s="40"/>
      <c r="C83" s="62">
        <f t="shared" si="15"/>
        <v>0</v>
      </c>
      <c r="D83" s="63">
        <f t="shared" si="16"/>
        <v>0</v>
      </c>
      <c r="E83" s="63">
        <f t="shared" si="17"/>
        <v>0</v>
      </c>
      <c r="F83" s="63">
        <f t="shared" si="18"/>
        <v>0</v>
      </c>
      <c r="G83" s="63">
        <f t="shared" si="20"/>
        <v>0</v>
      </c>
      <c r="H83" s="63">
        <f t="shared" si="19"/>
        <v>0</v>
      </c>
      <c r="I83" s="64">
        <f t="shared" si="21"/>
        <v>0</v>
      </c>
      <c r="J83" s="65"/>
      <c r="K83" s="91"/>
      <c r="L83" s="83"/>
      <c r="M83" s="67"/>
      <c r="N83" s="68"/>
      <c r="O83" s="62"/>
      <c r="P83" s="69"/>
      <c r="Q83" s="70"/>
      <c r="R83" s="50">
        <f t="shared" si="22"/>
        <v>0</v>
      </c>
      <c r="S83" s="71"/>
      <c r="T83" s="69"/>
      <c r="U83" s="72"/>
      <c r="V83" s="73"/>
      <c r="W83" s="74"/>
      <c r="X83" s="75"/>
      <c r="Y83" s="75"/>
      <c r="Z83" s="76"/>
      <c r="AA83" s="77"/>
      <c r="AB83" s="73"/>
      <c r="AC83" s="74"/>
      <c r="AD83" s="75"/>
      <c r="AE83" s="75"/>
      <c r="AF83" s="75"/>
      <c r="AG83" s="75"/>
      <c r="AH83" s="75"/>
      <c r="AI83" s="75"/>
      <c r="AJ83" s="78"/>
      <c r="AK83" s="79"/>
      <c r="AL83" s="75"/>
      <c r="AM83" s="75"/>
      <c r="AN83" s="75"/>
      <c r="AO83" s="75"/>
      <c r="AP83" s="75"/>
      <c r="AQ83" s="75"/>
      <c r="AR83" s="75"/>
      <c r="AS83" s="77"/>
      <c r="AT83" s="74"/>
      <c r="AU83" s="78"/>
      <c r="AV83" s="79"/>
      <c r="AW83" s="75"/>
      <c r="AX83" s="75"/>
      <c r="AY83" s="75"/>
      <c r="AZ83" s="77"/>
      <c r="BA83" s="74"/>
      <c r="BB83" s="75"/>
      <c r="BC83" s="75"/>
      <c r="BD83" s="77"/>
      <c r="BE83" s="6">
        <f t="shared" si="23"/>
        <v>0</v>
      </c>
    </row>
    <row r="84" spans="1:57">
      <c r="A84" s="61"/>
      <c r="B84" s="40"/>
      <c r="C84" s="62">
        <f t="shared" si="15"/>
        <v>0</v>
      </c>
      <c r="D84" s="63">
        <f t="shared" si="16"/>
        <v>0</v>
      </c>
      <c r="E84" s="63">
        <f t="shared" si="17"/>
        <v>0</v>
      </c>
      <c r="F84" s="63">
        <f t="shared" si="18"/>
        <v>0</v>
      </c>
      <c r="G84" s="63">
        <f t="shared" si="20"/>
        <v>0</v>
      </c>
      <c r="H84" s="63">
        <f t="shared" si="19"/>
        <v>0</v>
      </c>
      <c r="I84" s="64">
        <f t="shared" si="21"/>
        <v>0</v>
      </c>
      <c r="J84" s="65"/>
      <c r="K84" s="65"/>
      <c r="L84" s="83"/>
      <c r="M84" s="67"/>
      <c r="N84" s="68"/>
      <c r="O84" s="62"/>
      <c r="P84" s="69"/>
      <c r="Q84" s="70"/>
      <c r="R84" s="50">
        <f t="shared" si="22"/>
        <v>0</v>
      </c>
      <c r="S84" s="71"/>
      <c r="T84" s="94"/>
      <c r="U84" s="72"/>
      <c r="V84" s="73"/>
      <c r="W84" s="74"/>
      <c r="X84" s="75"/>
      <c r="Y84" s="75"/>
      <c r="Z84" s="76"/>
      <c r="AA84" s="77"/>
      <c r="AB84" s="73"/>
      <c r="AC84" s="74"/>
      <c r="AD84" s="75"/>
      <c r="AE84" s="75"/>
      <c r="AF84" s="75"/>
      <c r="AG84" s="75"/>
      <c r="AH84" s="75"/>
      <c r="AI84" s="75"/>
      <c r="AJ84" s="78"/>
      <c r="AK84" s="79"/>
      <c r="AL84" s="75"/>
      <c r="AM84" s="75"/>
      <c r="AN84" s="75"/>
      <c r="AO84" s="75"/>
      <c r="AP84" s="75"/>
      <c r="AQ84" s="75"/>
      <c r="AR84" s="75"/>
      <c r="AS84" s="77"/>
      <c r="AT84" s="74"/>
      <c r="AU84" s="78"/>
      <c r="AV84" s="79"/>
      <c r="AW84" s="75"/>
      <c r="AX84" s="75"/>
      <c r="AY84" s="75"/>
      <c r="AZ84" s="77"/>
      <c r="BA84" s="74"/>
      <c r="BB84" s="75"/>
      <c r="BC84" s="75"/>
      <c r="BD84" s="77"/>
      <c r="BE84" s="6">
        <f t="shared" si="23"/>
        <v>0</v>
      </c>
    </row>
    <row r="85" spans="1:57">
      <c r="A85" s="61"/>
      <c r="B85" s="40"/>
      <c r="C85" s="62">
        <f t="shared" si="15"/>
        <v>0</v>
      </c>
      <c r="D85" s="63">
        <f t="shared" si="16"/>
        <v>0</v>
      </c>
      <c r="E85" s="63">
        <f t="shared" si="17"/>
        <v>0</v>
      </c>
      <c r="F85" s="63">
        <f t="shared" si="18"/>
        <v>0</v>
      </c>
      <c r="G85" s="63">
        <f t="shared" si="20"/>
        <v>0</v>
      </c>
      <c r="H85" s="63">
        <f t="shared" si="19"/>
        <v>0</v>
      </c>
      <c r="I85" s="64">
        <f t="shared" si="21"/>
        <v>0</v>
      </c>
      <c r="J85" s="65"/>
      <c r="K85" s="65"/>
      <c r="L85" s="83"/>
      <c r="M85" s="67"/>
      <c r="N85" s="68"/>
      <c r="O85" s="62"/>
      <c r="P85" s="69"/>
      <c r="Q85" s="70"/>
      <c r="R85" s="50">
        <f t="shared" si="22"/>
        <v>0</v>
      </c>
      <c r="S85" s="71"/>
      <c r="T85" s="94"/>
      <c r="U85" s="72"/>
      <c r="V85" s="73"/>
      <c r="W85" s="74"/>
      <c r="X85" s="75"/>
      <c r="Y85" s="75"/>
      <c r="Z85" s="76"/>
      <c r="AA85" s="77"/>
      <c r="AB85" s="73"/>
      <c r="AC85" s="74"/>
      <c r="AD85" s="75"/>
      <c r="AE85" s="75"/>
      <c r="AF85" s="75"/>
      <c r="AG85" s="75"/>
      <c r="AH85" s="75"/>
      <c r="AI85" s="75"/>
      <c r="AJ85" s="78"/>
      <c r="AK85" s="79"/>
      <c r="AL85" s="75"/>
      <c r="AM85" s="75"/>
      <c r="AN85" s="75"/>
      <c r="AO85" s="75"/>
      <c r="AP85" s="75"/>
      <c r="AQ85" s="75"/>
      <c r="AR85" s="75"/>
      <c r="AS85" s="77"/>
      <c r="AT85" s="74"/>
      <c r="AU85" s="78"/>
      <c r="AV85" s="79"/>
      <c r="AW85" s="75"/>
      <c r="AX85" s="75"/>
      <c r="AY85" s="75"/>
      <c r="AZ85" s="77"/>
      <c r="BA85" s="74"/>
      <c r="BB85" s="75"/>
      <c r="BC85" s="75"/>
      <c r="BD85" s="77"/>
      <c r="BE85" s="6">
        <f t="shared" si="23"/>
        <v>0</v>
      </c>
    </row>
    <row r="86" spans="1:57">
      <c r="A86" s="61"/>
      <c r="B86" s="40"/>
      <c r="C86" s="62">
        <f t="shared" si="15"/>
        <v>0</v>
      </c>
      <c r="D86" s="63">
        <f t="shared" si="16"/>
        <v>0</v>
      </c>
      <c r="E86" s="63">
        <f t="shared" si="17"/>
        <v>0</v>
      </c>
      <c r="F86" s="63">
        <f t="shared" si="18"/>
        <v>0</v>
      </c>
      <c r="G86" s="63">
        <f t="shared" si="20"/>
        <v>0</v>
      </c>
      <c r="H86" s="63">
        <f t="shared" si="19"/>
        <v>0</v>
      </c>
      <c r="I86" s="64">
        <f t="shared" si="21"/>
        <v>0</v>
      </c>
      <c r="J86" s="65"/>
      <c r="K86" s="65"/>
      <c r="L86" s="83"/>
      <c r="M86" s="67"/>
      <c r="N86" s="68"/>
      <c r="O86" s="62"/>
      <c r="P86" s="69"/>
      <c r="Q86" s="70"/>
      <c r="R86" s="50">
        <f t="shared" si="22"/>
        <v>0</v>
      </c>
      <c r="S86" s="71"/>
      <c r="T86" s="94"/>
      <c r="U86" s="72"/>
      <c r="V86" s="73"/>
      <c r="W86" s="74"/>
      <c r="X86" s="75"/>
      <c r="Y86" s="75"/>
      <c r="Z86" s="76"/>
      <c r="AA86" s="77"/>
      <c r="AB86" s="73"/>
      <c r="AC86" s="74"/>
      <c r="AD86" s="75"/>
      <c r="AE86" s="75"/>
      <c r="AF86" s="75"/>
      <c r="AG86" s="75"/>
      <c r="AH86" s="75"/>
      <c r="AI86" s="75"/>
      <c r="AJ86" s="78"/>
      <c r="AK86" s="79"/>
      <c r="AL86" s="75"/>
      <c r="AM86" s="75"/>
      <c r="AN86" s="75"/>
      <c r="AO86" s="75"/>
      <c r="AP86" s="75"/>
      <c r="AQ86" s="75"/>
      <c r="AR86" s="75"/>
      <c r="AS86" s="77"/>
      <c r="AT86" s="74"/>
      <c r="AU86" s="78"/>
      <c r="AV86" s="79"/>
      <c r="AW86" s="75"/>
      <c r="AX86" s="75"/>
      <c r="AY86" s="75"/>
      <c r="AZ86" s="77"/>
      <c r="BA86" s="74"/>
      <c r="BB86" s="75"/>
      <c r="BC86" s="75"/>
      <c r="BD86" s="77"/>
      <c r="BE86" s="6">
        <f t="shared" si="23"/>
        <v>0</v>
      </c>
    </row>
    <row r="87" spans="1:57">
      <c r="A87" s="61"/>
      <c r="B87" s="40"/>
      <c r="C87" s="62">
        <f t="shared" si="15"/>
        <v>0</v>
      </c>
      <c r="D87" s="63">
        <f t="shared" si="16"/>
        <v>0</v>
      </c>
      <c r="E87" s="63">
        <f t="shared" si="17"/>
        <v>0</v>
      </c>
      <c r="F87" s="63">
        <f t="shared" si="18"/>
        <v>0</v>
      </c>
      <c r="G87" s="63">
        <f t="shared" si="20"/>
        <v>0</v>
      </c>
      <c r="H87" s="63">
        <f t="shared" si="19"/>
        <v>0</v>
      </c>
      <c r="I87" s="64">
        <f t="shared" si="21"/>
        <v>0</v>
      </c>
      <c r="J87" s="65"/>
      <c r="K87" s="65"/>
      <c r="L87" s="83"/>
      <c r="M87" s="67"/>
      <c r="N87" s="68"/>
      <c r="O87" s="62"/>
      <c r="P87" s="69"/>
      <c r="Q87" s="70"/>
      <c r="R87" s="50">
        <f t="shared" si="22"/>
        <v>0</v>
      </c>
      <c r="S87" s="71"/>
      <c r="T87" s="69"/>
      <c r="U87" s="72"/>
      <c r="V87" s="73"/>
      <c r="W87" s="74"/>
      <c r="X87" s="75"/>
      <c r="Y87" s="75"/>
      <c r="Z87" s="76"/>
      <c r="AA87" s="77"/>
      <c r="AB87" s="73"/>
      <c r="AC87" s="74"/>
      <c r="AD87" s="75"/>
      <c r="AE87" s="75"/>
      <c r="AF87" s="75"/>
      <c r="AG87" s="75"/>
      <c r="AH87" s="75"/>
      <c r="AI87" s="75"/>
      <c r="AJ87" s="78"/>
      <c r="AK87" s="79"/>
      <c r="AL87" s="75"/>
      <c r="AM87" s="75"/>
      <c r="AN87" s="75"/>
      <c r="AO87" s="75"/>
      <c r="AP87" s="75"/>
      <c r="AQ87" s="75"/>
      <c r="AR87" s="75"/>
      <c r="AS87" s="77"/>
      <c r="AT87" s="74"/>
      <c r="AU87" s="78"/>
      <c r="AV87" s="79"/>
      <c r="AW87" s="75"/>
      <c r="AX87" s="75"/>
      <c r="AY87" s="75"/>
      <c r="AZ87" s="77"/>
      <c r="BA87" s="74"/>
      <c r="BB87" s="75"/>
      <c r="BC87" s="75"/>
      <c r="BD87" s="77"/>
      <c r="BE87" s="6">
        <f t="shared" si="23"/>
        <v>0</v>
      </c>
    </row>
    <row r="88" spans="1:57">
      <c r="A88" s="61"/>
      <c r="B88" s="40"/>
      <c r="C88" s="62">
        <f t="shared" si="15"/>
        <v>0</v>
      </c>
      <c r="D88" s="63">
        <f t="shared" si="16"/>
        <v>0</v>
      </c>
      <c r="E88" s="63">
        <f t="shared" si="17"/>
        <v>0</v>
      </c>
      <c r="F88" s="63">
        <f t="shared" si="18"/>
        <v>0</v>
      </c>
      <c r="G88" s="63">
        <f t="shared" si="20"/>
        <v>0</v>
      </c>
      <c r="H88" s="63">
        <f t="shared" si="19"/>
        <v>0</v>
      </c>
      <c r="I88" s="64">
        <f t="shared" si="21"/>
        <v>0</v>
      </c>
      <c r="J88" s="65"/>
      <c r="K88" s="65"/>
      <c r="L88" s="83"/>
      <c r="M88" s="67"/>
      <c r="N88" s="68"/>
      <c r="O88" s="62"/>
      <c r="P88" s="69"/>
      <c r="Q88" s="70"/>
      <c r="R88" s="50">
        <f t="shared" si="22"/>
        <v>0</v>
      </c>
      <c r="S88" s="71"/>
      <c r="T88" s="69"/>
      <c r="U88" s="72"/>
      <c r="V88" s="73"/>
      <c r="W88" s="74"/>
      <c r="X88" s="75"/>
      <c r="Y88" s="75"/>
      <c r="Z88" s="107"/>
      <c r="AA88" s="77"/>
      <c r="AB88" s="73"/>
      <c r="AC88" s="74"/>
      <c r="AD88" s="75"/>
      <c r="AE88" s="75"/>
      <c r="AF88" s="75"/>
      <c r="AG88" s="75"/>
      <c r="AH88" s="75"/>
      <c r="AI88" s="75"/>
      <c r="AJ88" s="78"/>
      <c r="AK88" s="79"/>
      <c r="AL88" s="75"/>
      <c r="AM88" s="75"/>
      <c r="AN88" s="75"/>
      <c r="AO88" s="75"/>
      <c r="AP88" s="75"/>
      <c r="AQ88" s="75"/>
      <c r="AR88" s="75"/>
      <c r="AS88" s="77"/>
      <c r="AT88" s="74"/>
      <c r="AU88" s="78"/>
      <c r="AV88" s="79"/>
      <c r="AW88" s="75"/>
      <c r="AX88" s="75"/>
      <c r="AY88" s="75"/>
      <c r="AZ88" s="77"/>
      <c r="BA88" s="74"/>
      <c r="BB88" s="75"/>
      <c r="BC88" s="75"/>
      <c r="BD88" s="77"/>
      <c r="BE88" s="6">
        <f t="shared" si="23"/>
        <v>0</v>
      </c>
    </row>
    <row r="89" spans="1:57">
      <c r="A89" s="61"/>
      <c r="B89" s="40"/>
      <c r="C89" s="62">
        <f t="shared" si="15"/>
        <v>0</v>
      </c>
      <c r="D89" s="63">
        <f t="shared" si="16"/>
        <v>0</v>
      </c>
      <c r="E89" s="63">
        <f t="shared" si="17"/>
        <v>0</v>
      </c>
      <c r="F89" s="63">
        <f t="shared" si="18"/>
        <v>0</v>
      </c>
      <c r="G89" s="63">
        <f t="shared" si="20"/>
        <v>0</v>
      </c>
      <c r="H89" s="63">
        <f t="shared" si="19"/>
        <v>0</v>
      </c>
      <c r="I89" s="64">
        <f t="shared" si="21"/>
        <v>0</v>
      </c>
      <c r="J89" s="65"/>
      <c r="K89" s="65"/>
      <c r="L89" s="83"/>
      <c r="M89" s="67"/>
      <c r="N89" s="68"/>
      <c r="O89" s="62"/>
      <c r="P89" s="69"/>
      <c r="Q89" s="70"/>
      <c r="R89" s="50">
        <f t="shared" si="22"/>
        <v>0</v>
      </c>
      <c r="S89" s="71"/>
      <c r="T89" s="94"/>
      <c r="U89" s="72"/>
      <c r="V89" s="73"/>
      <c r="W89" s="74"/>
      <c r="X89" s="75"/>
      <c r="Y89" s="75"/>
      <c r="Z89" s="76"/>
      <c r="AA89" s="77"/>
      <c r="AB89" s="73"/>
      <c r="AC89" s="74"/>
      <c r="AD89" s="75"/>
      <c r="AE89" s="75"/>
      <c r="AF89" s="75"/>
      <c r="AG89" s="75"/>
      <c r="AH89" s="75"/>
      <c r="AI89" s="75"/>
      <c r="AJ89" s="78"/>
      <c r="AK89" s="79"/>
      <c r="AL89" s="75"/>
      <c r="AM89" s="75"/>
      <c r="AN89" s="75"/>
      <c r="AO89" s="75"/>
      <c r="AP89" s="75"/>
      <c r="AQ89" s="75"/>
      <c r="AR89" s="75"/>
      <c r="AS89" s="77"/>
      <c r="AT89" s="74"/>
      <c r="AU89" s="78"/>
      <c r="AV89" s="79"/>
      <c r="AW89" s="75"/>
      <c r="AX89" s="75"/>
      <c r="AY89" s="75"/>
      <c r="AZ89" s="77"/>
      <c r="BA89" s="74"/>
      <c r="BB89" s="75"/>
      <c r="BC89" s="75"/>
      <c r="BD89" s="77"/>
      <c r="BE89" s="6">
        <f t="shared" si="23"/>
        <v>0</v>
      </c>
    </row>
    <row r="90" spans="1:57">
      <c r="A90" s="61"/>
      <c r="B90" s="40"/>
      <c r="C90" s="62">
        <f t="shared" si="15"/>
        <v>0</v>
      </c>
      <c r="D90" s="63">
        <f t="shared" si="16"/>
        <v>0</v>
      </c>
      <c r="E90" s="63">
        <f t="shared" si="17"/>
        <v>0</v>
      </c>
      <c r="F90" s="63">
        <f t="shared" si="18"/>
        <v>0</v>
      </c>
      <c r="G90" s="63">
        <f t="shared" si="20"/>
        <v>0</v>
      </c>
      <c r="H90" s="63">
        <f t="shared" si="19"/>
        <v>0</v>
      </c>
      <c r="I90" s="64">
        <f t="shared" si="21"/>
        <v>0</v>
      </c>
      <c r="J90" s="65"/>
      <c r="K90" s="65"/>
      <c r="L90" s="83"/>
      <c r="M90" s="67"/>
      <c r="N90" s="68"/>
      <c r="O90" s="62"/>
      <c r="P90" s="69"/>
      <c r="Q90" s="70"/>
      <c r="R90" s="50">
        <f t="shared" si="22"/>
        <v>0</v>
      </c>
      <c r="S90" s="71"/>
      <c r="T90" s="94"/>
      <c r="U90" s="72"/>
      <c r="V90" s="73"/>
      <c r="W90" s="74"/>
      <c r="X90" s="75"/>
      <c r="Y90" s="75"/>
      <c r="Z90" s="76"/>
      <c r="AA90" s="77"/>
      <c r="AB90" s="73"/>
      <c r="AC90" s="74"/>
      <c r="AD90" s="75"/>
      <c r="AE90" s="75"/>
      <c r="AF90" s="75"/>
      <c r="AG90" s="75"/>
      <c r="AH90" s="75"/>
      <c r="AI90" s="75"/>
      <c r="AJ90" s="78"/>
      <c r="AK90" s="79"/>
      <c r="AL90" s="75"/>
      <c r="AM90" s="75"/>
      <c r="AN90" s="75"/>
      <c r="AO90" s="75"/>
      <c r="AP90" s="75"/>
      <c r="AQ90" s="75"/>
      <c r="AR90" s="75"/>
      <c r="AS90" s="77"/>
      <c r="AT90" s="74"/>
      <c r="AU90" s="78"/>
      <c r="AV90" s="79"/>
      <c r="AW90" s="75"/>
      <c r="AX90" s="75"/>
      <c r="AY90" s="75"/>
      <c r="AZ90" s="77"/>
      <c r="BA90" s="74"/>
      <c r="BB90" s="75"/>
      <c r="BC90" s="75"/>
      <c r="BD90" s="77"/>
      <c r="BE90" s="6">
        <f t="shared" si="23"/>
        <v>0</v>
      </c>
    </row>
    <row r="91" spans="1:57">
      <c r="A91" s="61"/>
      <c r="B91" s="40"/>
      <c r="C91" s="62">
        <f t="shared" si="15"/>
        <v>0</v>
      </c>
      <c r="D91" s="63">
        <f t="shared" si="16"/>
        <v>0</v>
      </c>
      <c r="E91" s="63">
        <f t="shared" si="17"/>
        <v>0</v>
      </c>
      <c r="F91" s="63">
        <f t="shared" si="18"/>
        <v>0</v>
      </c>
      <c r="G91" s="63">
        <f t="shared" si="20"/>
        <v>0</v>
      </c>
      <c r="H91" s="63">
        <f t="shared" si="19"/>
        <v>0</v>
      </c>
      <c r="I91" s="64">
        <f t="shared" si="21"/>
        <v>0</v>
      </c>
      <c r="J91" s="65"/>
      <c r="K91" s="65"/>
      <c r="L91" s="83"/>
      <c r="M91" s="67"/>
      <c r="N91" s="68"/>
      <c r="O91" s="62"/>
      <c r="P91" s="69"/>
      <c r="Q91" s="70"/>
      <c r="R91" s="50">
        <f t="shared" si="22"/>
        <v>0</v>
      </c>
      <c r="S91" s="71"/>
      <c r="T91" s="85"/>
      <c r="U91" s="72"/>
      <c r="V91" s="73"/>
      <c r="W91" s="74"/>
      <c r="X91" s="75"/>
      <c r="Y91" s="75"/>
      <c r="Z91" s="76"/>
      <c r="AA91" s="77"/>
      <c r="AB91" s="73"/>
      <c r="AC91" s="74"/>
      <c r="AD91" s="75"/>
      <c r="AE91" s="75"/>
      <c r="AF91" s="75"/>
      <c r="AG91" s="75"/>
      <c r="AH91" s="75"/>
      <c r="AI91" s="75"/>
      <c r="AJ91" s="78"/>
      <c r="AK91" s="79"/>
      <c r="AL91" s="75"/>
      <c r="AM91" s="75"/>
      <c r="AN91" s="75"/>
      <c r="AO91" s="75"/>
      <c r="AP91" s="75"/>
      <c r="AQ91" s="75"/>
      <c r="AR91" s="75"/>
      <c r="AS91" s="77"/>
      <c r="AT91" s="74"/>
      <c r="AU91" s="78"/>
      <c r="AV91" s="79"/>
      <c r="AW91" s="75"/>
      <c r="AX91" s="75"/>
      <c r="AY91" s="75"/>
      <c r="AZ91" s="77"/>
      <c r="BA91" s="74"/>
      <c r="BB91" s="75"/>
      <c r="BC91" s="75"/>
      <c r="BD91" s="77"/>
      <c r="BE91" s="6">
        <f t="shared" si="23"/>
        <v>0</v>
      </c>
    </row>
    <row r="92" spans="1:57" ht="15" customHeight="1">
      <c r="A92" s="61"/>
      <c r="B92" s="40"/>
      <c r="C92" s="62">
        <f t="shared" si="15"/>
        <v>0</v>
      </c>
      <c r="D92" s="63">
        <f t="shared" si="16"/>
        <v>0</v>
      </c>
      <c r="E92" s="63">
        <f t="shared" si="17"/>
        <v>0</v>
      </c>
      <c r="F92" s="63">
        <f t="shared" si="18"/>
        <v>0</v>
      </c>
      <c r="G92" s="63">
        <f t="shared" si="20"/>
        <v>0</v>
      </c>
      <c r="H92" s="63">
        <f t="shared" si="19"/>
        <v>0</v>
      </c>
      <c r="I92" s="64">
        <f t="shared" si="21"/>
        <v>0</v>
      </c>
      <c r="J92" s="91"/>
      <c r="K92" s="65"/>
      <c r="L92" s="83"/>
      <c r="M92" s="67"/>
      <c r="N92" s="68"/>
      <c r="O92" s="62"/>
      <c r="P92" s="69"/>
      <c r="Q92" s="70"/>
      <c r="R92" s="50">
        <f t="shared" si="22"/>
        <v>0</v>
      </c>
      <c r="S92" s="71"/>
      <c r="T92" s="94"/>
      <c r="U92" s="72"/>
      <c r="V92" s="73"/>
      <c r="W92" s="74"/>
      <c r="X92" s="75"/>
      <c r="Y92" s="75"/>
      <c r="Z92" s="76"/>
      <c r="AA92" s="77"/>
      <c r="AB92" s="73"/>
      <c r="AC92" s="74"/>
      <c r="AD92" s="75"/>
      <c r="AE92" s="75"/>
      <c r="AF92" s="75"/>
      <c r="AG92" s="75"/>
      <c r="AH92" s="75"/>
      <c r="AI92" s="75"/>
      <c r="AJ92" s="78"/>
      <c r="AK92" s="79"/>
      <c r="AL92" s="75"/>
      <c r="AM92" s="75"/>
      <c r="AN92" s="75"/>
      <c r="AO92" s="75"/>
      <c r="AP92" s="75"/>
      <c r="AQ92" s="75"/>
      <c r="AR92" s="75"/>
      <c r="AS92" s="77"/>
      <c r="AT92" s="74"/>
      <c r="AU92" s="78"/>
      <c r="AV92" s="79"/>
      <c r="AW92" s="75"/>
      <c r="AX92" s="75"/>
      <c r="AY92" s="75"/>
      <c r="AZ92" s="77"/>
      <c r="BA92" s="74"/>
      <c r="BB92" s="75"/>
      <c r="BC92" s="75"/>
      <c r="BD92" s="77"/>
      <c r="BE92" s="6">
        <f t="shared" si="23"/>
        <v>0</v>
      </c>
    </row>
    <row r="93" spans="1:57">
      <c r="A93" s="61"/>
      <c r="B93" s="40"/>
      <c r="C93" s="62">
        <f t="shared" si="15"/>
        <v>0</v>
      </c>
      <c r="D93" s="63">
        <f t="shared" si="16"/>
        <v>0</v>
      </c>
      <c r="E93" s="63">
        <f t="shared" si="17"/>
        <v>0</v>
      </c>
      <c r="F93" s="63">
        <f t="shared" si="18"/>
        <v>0</v>
      </c>
      <c r="G93" s="63">
        <f t="shared" si="20"/>
        <v>0</v>
      </c>
      <c r="H93" s="63">
        <f t="shared" si="19"/>
        <v>0</v>
      </c>
      <c r="I93" s="64">
        <f t="shared" si="21"/>
        <v>0</v>
      </c>
      <c r="J93" s="65"/>
      <c r="K93" s="65"/>
      <c r="L93" s="83"/>
      <c r="M93" s="67"/>
      <c r="N93" s="68"/>
      <c r="O93" s="62"/>
      <c r="P93" s="69"/>
      <c r="Q93" s="70"/>
      <c r="R93" s="50">
        <f t="shared" si="22"/>
        <v>0</v>
      </c>
      <c r="S93" s="71"/>
      <c r="T93" s="94"/>
      <c r="U93" s="72"/>
      <c r="V93" s="73"/>
      <c r="W93" s="74"/>
      <c r="X93" s="75"/>
      <c r="Y93" s="75"/>
      <c r="Z93" s="76"/>
      <c r="AA93" s="77"/>
      <c r="AB93" s="73"/>
      <c r="AC93" s="74"/>
      <c r="AD93" s="75"/>
      <c r="AE93" s="75"/>
      <c r="AF93" s="75"/>
      <c r="AG93" s="75"/>
      <c r="AH93" s="75"/>
      <c r="AI93" s="75"/>
      <c r="AJ93" s="78"/>
      <c r="AK93" s="79"/>
      <c r="AL93" s="75"/>
      <c r="AM93" s="75"/>
      <c r="AN93" s="75"/>
      <c r="AO93" s="75"/>
      <c r="AP93" s="75"/>
      <c r="AQ93" s="75"/>
      <c r="AR93" s="75"/>
      <c r="AS93" s="77"/>
      <c r="AT93" s="74"/>
      <c r="AU93" s="78"/>
      <c r="AV93" s="79"/>
      <c r="AW93" s="75"/>
      <c r="AX93" s="75"/>
      <c r="AY93" s="75"/>
      <c r="AZ93" s="77"/>
      <c r="BA93" s="74"/>
      <c r="BB93" s="75"/>
      <c r="BC93" s="75"/>
      <c r="BD93" s="77"/>
      <c r="BE93" s="6">
        <f t="shared" si="23"/>
        <v>0</v>
      </c>
    </row>
    <row r="94" spans="1:57">
      <c r="A94" s="61"/>
      <c r="B94" s="40"/>
      <c r="C94" s="62">
        <f t="shared" si="15"/>
        <v>0</v>
      </c>
      <c r="D94" s="63">
        <f t="shared" si="16"/>
        <v>0</v>
      </c>
      <c r="E94" s="63">
        <f t="shared" si="17"/>
        <v>0</v>
      </c>
      <c r="F94" s="63">
        <f t="shared" si="18"/>
        <v>0</v>
      </c>
      <c r="G94" s="63">
        <f t="shared" si="20"/>
        <v>0</v>
      </c>
      <c r="H94" s="63">
        <f t="shared" si="19"/>
        <v>0</v>
      </c>
      <c r="I94" s="64">
        <f t="shared" si="21"/>
        <v>0</v>
      </c>
      <c r="J94" s="65"/>
      <c r="K94" s="65"/>
      <c r="L94" s="83"/>
      <c r="M94" s="67"/>
      <c r="N94" s="68"/>
      <c r="O94" s="62"/>
      <c r="P94" s="69"/>
      <c r="Q94" s="70"/>
      <c r="R94" s="50">
        <f t="shared" si="22"/>
        <v>0</v>
      </c>
      <c r="S94" s="71"/>
      <c r="T94" s="94"/>
      <c r="U94" s="72"/>
      <c r="V94" s="73"/>
      <c r="W94" s="74"/>
      <c r="X94" s="75"/>
      <c r="Y94" s="75"/>
      <c r="Z94" s="76"/>
      <c r="AA94" s="77"/>
      <c r="AB94" s="73"/>
      <c r="AC94" s="74"/>
      <c r="AD94" s="75"/>
      <c r="AE94" s="75"/>
      <c r="AF94" s="75"/>
      <c r="AG94" s="75"/>
      <c r="AH94" s="75"/>
      <c r="AI94" s="75"/>
      <c r="AJ94" s="78"/>
      <c r="AK94" s="79"/>
      <c r="AL94" s="75"/>
      <c r="AM94" s="75"/>
      <c r="AN94" s="75"/>
      <c r="AO94" s="75"/>
      <c r="AP94" s="75"/>
      <c r="AQ94" s="75"/>
      <c r="AR94" s="75"/>
      <c r="AS94" s="77"/>
      <c r="AT94" s="74"/>
      <c r="AU94" s="78"/>
      <c r="AV94" s="79"/>
      <c r="AW94" s="75"/>
      <c r="AX94" s="75"/>
      <c r="AY94" s="75"/>
      <c r="AZ94" s="77"/>
      <c r="BA94" s="74"/>
      <c r="BB94" s="75"/>
      <c r="BC94" s="75"/>
      <c r="BD94" s="77"/>
      <c r="BE94" s="6">
        <f t="shared" si="23"/>
        <v>0</v>
      </c>
    </row>
    <row r="95" spans="1:57">
      <c r="A95" s="61"/>
      <c r="B95" s="40"/>
      <c r="C95" s="62">
        <f t="shared" si="15"/>
        <v>0</v>
      </c>
      <c r="D95" s="63">
        <f t="shared" si="16"/>
        <v>0</v>
      </c>
      <c r="E95" s="63">
        <f t="shared" si="17"/>
        <v>0</v>
      </c>
      <c r="F95" s="63">
        <f t="shared" si="18"/>
        <v>0</v>
      </c>
      <c r="G95" s="63">
        <f t="shared" si="20"/>
        <v>0</v>
      </c>
      <c r="H95" s="63">
        <f t="shared" si="19"/>
        <v>0</v>
      </c>
      <c r="I95" s="64">
        <f t="shared" si="21"/>
        <v>0</v>
      </c>
      <c r="J95" s="65"/>
      <c r="K95" s="65"/>
      <c r="L95" s="83"/>
      <c r="M95" s="67"/>
      <c r="N95" s="68"/>
      <c r="O95" s="62"/>
      <c r="P95" s="69"/>
      <c r="Q95" s="70"/>
      <c r="R95" s="50">
        <f t="shared" si="22"/>
        <v>0</v>
      </c>
      <c r="S95" s="71"/>
      <c r="T95" s="94"/>
      <c r="U95" s="72"/>
      <c r="V95" s="73"/>
      <c r="W95" s="74"/>
      <c r="X95" s="75"/>
      <c r="Y95" s="75"/>
      <c r="Z95" s="76"/>
      <c r="AA95" s="77"/>
      <c r="AB95" s="73"/>
      <c r="AC95" s="74"/>
      <c r="AD95" s="75"/>
      <c r="AE95" s="75"/>
      <c r="AF95" s="75"/>
      <c r="AG95" s="75"/>
      <c r="AH95" s="75"/>
      <c r="AI95" s="75"/>
      <c r="AJ95" s="78"/>
      <c r="AK95" s="79"/>
      <c r="AL95" s="75"/>
      <c r="AM95" s="75"/>
      <c r="AN95" s="75"/>
      <c r="AO95" s="75"/>
      <c r="AP95" s="75"/>
      <c r="AQ95" s="75"/>
      <c r="AR95" s="75"/>
      <c r="AS95" s="77"/>
      <c r="AT95" s="74"/>
      <c r="AU95" s="78"/>
      <c r="AV95" s="79"/>
      <c r="AW95" s="75"/>
      <c r="AX95" s="75"/>
      <c r="AY95" s="75"/>
      <c r="AZ95" s="77"/>
      <c r="BA95" s="74"/>
      <c r="BB95" s="75"/>
      <c r="BC95" s="75"/>
      <c r="BD95" s="77"/>
      <c r="BE95" s="6">
        <f t="shared" si="23"/>
        <v>0</v>
      </c>
    </row>
    <row r="96" spans="1:57">
      <c r="A96" s="61"/>
      <c r="B96" s="40"/>
      <c r="C96" s="62">
        <f t="shared" si="15"/>
        <v>0</v>
      </c>
      <c r="D96" s="63">
        <f t="shared" si="16"/>
        <v>0</v>
      </c>
      <c r="E96" s="63">
        <f t="shared" si="17"/>
        <v>0</v>
      </c>
      <c r="F96" s="63">
        <f t="shared" si="18"/>
        <v>0</v>
      </c>
      <c r="G96" s="63">
        <f t="shared" si="20"/>
        <v>0</v>
      </c>
      <c r="H96" s="63">
        <f t="shared" si="19"/>
        <v>0</v>
      </c>
      <c r="I96" s="64">
        <f t="shared" si="21"/>
        <v>0</v>
      </c>
      <c r="J96" s="65"/>
      <c r="K96" s="65"/>
      <c r="L96" s="83"/>
      <c r="M96" s="67"/>
      <c r="N96" s="68"/>
      <c r="O96" s="62"/>
      <c r="P96" s="69"/>
      <c r="Q96" s="70"/>
      <c r="R96" s="50">
        <f t="shared" si="22"/>
        <v>0</v>
      </c>
      <c r="S96" s="71"/>
      <c r="T96" s="94"/>
      <c r="U96" s="72"/>
      <c r="V96" s="73"/>
      <c r="W96" s="74"/>
      <c r="X96" s="75"/>
      <c r="Y96" s="75"/>
      <c r="Z96" s="76"/>
      <c r="AA96" s="77"/>
      <c r="AB96" s="73"/>
      <c r="AC96" s="74"/>
      <c r="AD96" s="75"/>
      <c r="AE96" s="75"/>
      <c r="AF96" s="75"/>
      <c r="AG96" s="75"/>
      <c r="AH96" s="75"/>
      <c r="AI96" s="75"/>
      <c r="AJ96" s="78"/>
      <c r="AK96" s="79"/>
      <c r="AL96" s="75"/>
      <c r="AM96" s="75"/>
      <c r="AN96" s="75"/>
      <c r="AO96" s="75"/>
      <c r="AP96" s="75"/>
      <c r="AQ96" s="75"/>
      <c r="AR96" s="75"/>
      <c r="AS96" s="77"/>
      <c r="AT96" s="74"/>
      <c r="AU96" s="78"/>
      <c r="AV96" s="79"/>
      <c r="AW96" s="75"/>
      <c r="AX96" s="75"/>
      <c r="AY96" s="75"/>
      <c r="AZ96" s="77"/>
      <c r="BA96" s="74"/>
      <c r="BB96" s="75"/>
      <c r="BC96" s="75"/>
      <c r="BD96" s="77"/>
      <c r="BE96" s="6">
        <f t="shared" si="23"/>
        <v>0</v>
      </c>
    </row>
    <row r="97" spans="1:57">
      <c r="A97" s="61"/>
      <c r="B97" s="40"/>
      <c r="C97" s="62">
        <f t="shared" si="15"/>
        <v>0</v>
      </c>
      <c r="D97" s="63">
        <f t="shared" si="16"/>
        <v>0</v>
      </c>
      <c r="E97" s="63">
        <f t="shared" si="17"/>
        <v>0</v>
      </c>
      <c r="F97" s="63">
        <f t="shared" si="18"/>
        <v>0</v>
      </c>
      <c r="G97" s="63">
        <f t="shared" si="20"/>
        <v>0</v>
      </c>
      <c r="H97" s="63">
        <f t="shared" si="19"/>
        <v>0</v>
      </c>
      <c r="I97" s="64">
        <f t="shared" si="21"/>
        <v>0</v>
      </c>
      <c r="J97" s="65"/>
      <c r="K97" s="65"/>
      <c r="L97" s="83"/>
      <c r="M97" s="67"/>
      <c r="N97" s="68"/>
      <c r="O97" s="62"/>
      <c r="P97" s="69"/>
      <c r="Q97" s="70"/>
      <c r="R97" s="50">
        <f t="shared" si="22"/>
        <v>0</v>
      </c>
      <c r="S97" s="71"/>
      <c r="T97" s="94"/>
      <c r="U97" s="72"/>
      <c r="V97" s="73"/>
      <c r="W97" s="74"/>
      <c r="X97" s="75"/>
      <c r="Y97" s="75"/>
      <c r="Z97" s="76"/>
      <c r="AA97" s="77"/>
      <c r="AB97" s="73"/>
      <c r="AC97" s="74"/>
      <c r="AD97" s="75"/>
      <c r="AE97" s="75"/>
      <c r="AF97" s="75"/>
      <c r="AG97" s="75"/>
      <c r="AH97" s="75"/>
      <c r="AI97" s="75"/>
      <c r="AJ97" s="78"/>
      <c r="AK97" s="79"/>
      <c r="AL97" s="75"/>
      <c r="AM97" s="75"/>
      <c r="AN97" s="75"/>
      <c r="AO97" s="75"/>
      <c r="AP97" s="75"/>
      <c r="AQ97" s="75"/>
      <c r="AR97" s="75"/>
      <c r="AS97" s="77"/>
      <c r="AT97" s="74"/>
      <c r="AU97" s="78"/>
      <c r="AV97" s="79"/>
      <c r="AW97" s="75"/>
      <c r="AX97" s="75"/>
      <c r="AY97" s="75"/>
      <c r="AZ97" s="77"/>
      <c r="BA97" s="74"/>
      <c r="BB97" s="75"/>
      <c r="BC97" s="75"/>
      <c r="BD97" s="77"/>
      <c r="BE97" s="6">
        <f t="shared" si="23"/>
        <v>0</v>
      </c>
    </row>
    <row r="98" spans="1:57">
      <c r="A98" s="61"/>
      <c r="B98" s="40"/>
      <c r="C98" s="62">
        <f t="shared" si="15"/>
        <v>0</v>
      </c>
      <c r="D98" s="63">
        <f t="shared" si="16"/>
        <v>0</v>
      </c>
      <c r="E98" s="63">
        <f t="shared" si="17"/>
        <v>0</v>
      </c>
      <c r="F98" s="63">
        <f t="shared" si="18"/>
        <v>0</v>
      </c>
      <c r="G98" s="63">
        <f t="shared" si="20"/>
        <v>0</v>
      </c>
      <c r="H98" s="63">
        <f t="shared" si="19"/>
        <v>0</v>
      </c>
      <c r="I98" s="64">
        <f t="shared" si="21"/>
        <v>0</v>
      </c>
      <c r="J98" s="65"/>
      <c r="K98" s="65"/>
      <c r="L98" s="83"/>
      <c r="M98" s="67"/>
      <c r="N98" s="68"/>
      <c r="O98" s="62"/>
      <c r="P98" s="69"/>
      <c r="Q98" s="70"/>
      <c r="R98" s="50">
        <f t="shared" si="22"/>
        <v>0</v>
      </c>
      <c r="S98" s="71"/>
      <c r="T98" s="94"/>
      <c r="U98" s="72"/>
      <c r="V98" s="73"/>
      <c r="W98" s="74"/>
      <c r="X98" s="75"/>
      <c r="Y98" s="75"/>
      <c r="Z98" s="76"/>
      <c r="AA98" s="77"/>
      <c r="AB98" s="73"/>
      <c r="AC98" s="74"/>
      <c r="AD98" s="75"/>
      <c r="AE98" s="75"/>
      <c r="AF98" s="75"/>
      <c r="AG98" s="75"/>
      <c r="AH98" s="75"/>
      <c r="AI98" s="75"/>
      <c r="AJ98" s="78"/>
      <c r="AK98" s="79"/>
      <c r="AL98" s="75"/>
      <c r="AM98" s="75"/>
      <c r="AN98" s="75"/>
      <c r="AO98" s="75"/>
      <c r="AP98" s="75"/>
      <c r="AQ98" s="75"/>
      <c r="AR98" s="75"/>
      <c r="AS98" s="77"/>
      <c r="AT98" s="74"/>
      <c r="AU98" s="78"/>
      <c r="AV98" s="79"/>
      <c r="AW98" s="75"/>
      <c r="AX98" s="75"/>
      <c r="AY98" s="75"/>
      <c r="AZ98" s="77"/>
      <c r="BA98" s="74"/>
      <c r="BB98" s="75"/>
      <c r="BC98" s="75"/>
      <c r="BD98" s="77"/>
      <c r="BE98" s="6">
        <f t="shared" si="23"/>
        <v>0</v>
      </c>
    </row>
    <row r="99" spans="1:57">
      <c r="A99" s="61"/>
      <c r="B99" s="40"/>
      <c r="C99" s="62">
        <f t="shared" si="15"/>
        <v>0</v>
      </c>
      <c r="D99" s="63">
        <f t="shared" si="16"/>
        <v>0</v>
      </c>
      <c r="E99" s="63">
        <f t="shared" si="17"/>
        <v>0</v>
      </c>
      <c r="F99" s="63">
        <f t="shared" si="18"/>
        <v>0</v>
      </c>
      <c r="G99" s="63">
        <f t="shared" si="20"/>
        <v>0</v>
      </c>
      <c r="H99" s="63">
        <f t="shared" si="19"/>
        <v>0</v>
      </c>
      <c r="I99" s="64">
        <f t="shared" si="21"/>
        <v>0</v>
      </c>
      <c r="J99" s="65"/>
      <c r="K99" s="65"/>
      <c r="L99" s="83"/>
      <c r="M99" s="108"/>
      <c r="N99" s="68"/>
      <c r="O99" s="62"/>
      <c r="P99" s="69"/>
      <c r="Q99" s="70"/>
      <c r="R99" s="50">
        <f t="shared" si="22"/>
        <v>0</v>
      </c>
      <c r="S99" s="71"/>
      <c r="T99" s="94"/>
      <c r="U99" s="72"/>
      <c r="V99" s="73"/>
      <c r="W99" s="74"/>
      <c r="X99" s="75"/>
      <c r="Y99" s="75"/>
      <c r="Z99" s="76"/>
      <c r="AA99" s="77"/>
      <c r="AB99" s="73"/>
      <c r="AC99" s="74"/>
      <c r="AD99" s="75"/>
      <c r="AE99" s="75"/>
      <c r="AF99" s="75"/>
      <c r="AG99" s="75"/>
      <c r="AH99" s="75"/>
      <c r="AI99" s="75"/>
      <c r="AJ99" s="78"/>
      <c r="AK99" s="79"/>
      <c r="AL99" s="75"/>
      <c r="AM99" s="75"/>
      <c r="AN99" s="75"/>
      <c r="AO99" s="75"/>
      <c r="AP99" s="75"/>
      <c r="AQ99" s="75"/>
      <c r="AR99" s="75"/>
      <c r="AS99" s="77"/>
      <c r="AT99" s="74"/>
      <c r="AU99" s="78"/>
      <c r="AV99" s="79"/>
      <c r="AW99" s="75"/>
      <c r="AX99" s="75"/>
      <c r="AY99" s="75"/>
      <c r="AZ99" s="77"/>
      <c r="BA99" s="74"/>
      <c r="BB99" s="75"/>
      <c r="BC99" s="75"/>
      <c r="BD99" s="77"/>
      <c r="BE99" s="6">
        <f t="shared" si="23"/>
        <v>0</v>
      </c>
    </row>
    <row r="100" spans="1:57">
      <c r="A100" s="61"/>
      <c r="B100" s="40"/>
      <c r="C100" s="62">
        <f t="shared" si="15"/>
        <v>0</v>
      </c>
      <c r="D100" s="63">
        <f t="shared" si="16"/>
        <v>0</v>
      </c>
      <c r="E100" s="63">
        <f t="shared" si="17"/>
        <v>0</v>
      </c>
      <c r="F100" s="63">
        <f t="shared" si="18"/>
        <v>0</v>
      </c>
      <c r="G100" s="63">
        <f t="shared" si="20"/>
        <v>0</v>
      </c>
      <c r="H100" s="63">
        <f t="shared" si="19"/>
        <v>0</v>
      </c>
      <c r="I100" s="64">
        <f t="shared" si="21"/>
        <v>0</v>
      </c>
      <c r="J100" s="65"/>
      <c r="K100" s="65"/>
      <c r="L100" s="83"/>
      <c r="M100" s="67"/>
      <c r="N100" s="68"/>
      <c r="O100" s="62"/>
      <c r="P100" s="69"/>
      <c r="Q100" s="70"/>
      <c r="R100" s="50">
        <f t="shared" si="22"/>
        <v>0</v>
      </c>
      <c r="S100" s="71"/>
      <c r="T100" s="94"/>
      <c r="U100" s="72"/>
      <c r="V100" s="73"/>
      <c r="W100" s="74"/>
      <c r="X100" s="75"/>
      <c r="Y100" s="75"/>
      <c r="Z100" s="76"/>
      <c r="AA100" s="77"/>
      <c r="AB100" s="73"/>
      <c r="AC100" s="74"/>
      <c r="AD100" s="75"/>
      <c r="AE100" s="75"/>
      <c r="AF100" s="75"/>
      <c r="AG100" s="75"/>
      <c r="AH100" s="75"/>
      <c r="AI100" s="75"/>
      <c r="AJ100" s="78"/>
      <c r="AK100" s="79"/>
      <c r="AL100" s="75"/>
      <c r="AM100" s="75"/>
      <c r="AN100" s="75"/>
      <c r="AO100" s="75"/>
      <c r="AP100" s="75"/>
      <c r="AQ100" s="75"/>
      <c r="AR100" s="75"/>
      <c r="AS100" s="77"/>
      <c r="AT100" s="74"/>
      <c r="AU100" s="78"/>
      <c r="AV100" s="79"/>
      <c r="AW100" s="75"/>
      <c r="AX100" s="75"/>
      <c r="AY100" s="75"/>
      <c r="AZ100" s="77"/>
      <c r="BA100" s="74"/>
      <c r="BB100" s="75"/>
      <c r="BC100" s="75"/>
      <c r="BD100" s="77"/>
      <c r="BE100" s="6">
        <f t="shared" si="23"/>
        <v>0</v>
      </c>
    </row>
    <row r="101" spans="1:57">
      <c r="A101" s="61"/>
      <c r="B101" s="40"/>
      <c r="C101" s="62">
        <f t="shared" ref="C101:C113" si="24">SUM(AB101:AJ101)</f>
        <v>0</v>
      </c>
      <c r="D101" s="63">
        <f t="shared" ref="D101:D113" si="25">SUM(AK101:AS101)</f>
        <v>0</v>
      </c>
      <c r="E101" s="63">
        <f t="shared" ref="E101:E113" si="26">SUM(AT101:AU101)</f>
        <v>0</v>
      </c>
      <c r="F101" s="63">
        <f t="shared" ref="F101:F113" si="27">SUM(AV101:AZ101)</f>
        <v>0</v>
      </c>
      <c r="G101" s="63">
        <f t="shared" si="20"/>
        <v>0</v>
      </c>
      <c r="H101" s="63">
        <f t="shared" ref="H101:H113" si="28">SUM(V101:AA101)</f>
        <v>0</v>
      </c>
      <c r="I101" s="64">
        <f t="shared" si="21"/>
        <v>0</v>
      </c>
      <c r="J101" s="65"/>
      <c r="K101" s="65"/>
      <c r="L101" s="83"/>
      <c r="M101" s="67"/>
      <c r="N101" s="68"/>
      <c r="O101" s="62"/>
      <c r="P101" s="69"/>
      <c r="Q101" s="70"/>
      <c r="R101" s="50">
        <f t="shared" si="22"/>
        <v>0</v>
      </c>
      <c r="S101" s="71"/>
      <c r="T101" s="94"/>
      <c r="U101" s="72"/>
      <c r="V101" s="73"/>
      <c r="W101" s="74"/>
      <c r="X101" s="75"/>
      <c r="Y101" s="75"/>
      <c r="Z101" s="76"/>
      <c r="AA101" s="77"/>
      <c r="AB101" s="73"/>
      <c r="AC101" s="74"/>
      <c r="AD101" s="75"/>
      <c r="AE101" s="75"/>
      <c r="AF101" s="75"/>
      <c r="AG101" s="75"/>
      <c r="AH101" s="75"/>
      <c r="AI101" s="75"/>
      <c r="AJ101" s="78"/>
      <c r="AK101" s="79"/>
      <c r="AL101" s="75"/>
      <c r="AM101" s="75"/>
      <c r="AN101" s="75"/>
      <c r="AO101" s="75"/>
      <c r="AP101" s="75"/>
      <c r="AQ101" s="75"/>
      <c r="AR101" s="75"/>
      <c r="AS101" s="77"/>
      <c r="AT101" s="74"/>
      <c r="AU101" s="78"/>
      <c r="AV101" s="79"/>
      <c r="AW101" s="75"/>
      <c r="AX101" s="75"/>
      <c r="AY101" s="75"/>
      <c r="AZ101" s="77"/>
      <c r="BA101" s="74"/>
      <c r="BB101" s="75"/>
      <c r="BC101" s="75"/>
      <c r="BD101" s="77"/>
      <c r="BE101" s="6">
        <f t="shared" si="23"/>
        <v>0</v>
      </c>
    </row>
    <row r="102" spans="1:57">
      <c r="A102" s="61"/>
      <c r="B102" s="40"/>
      <c r="C102" s="62">
        <f t="shared" si="24"/>
        <v>0</v>
      </c>
      <c r="D102" s="63">
        <f t="shared" si="25"/>
        <v>0</v>
      </c>
      <c r="E102" s="63">
        <f t="shared" si="26"/>
        <v>0</v>
      </c>
      <c r="F102" s="63">
        <f t="shared" si="27"/>
        <v>0</v>
      </c>
      <c r="G102" s="63">
        <f t="shared" si="20"/>
        <v>0</v>
      </c>
      <c r="H102" s="63">
        <f t="shared" si="28"/>
        <v>0</v>
      </c>
      <c r="I102" s="64">
        <f t="shared" si="21"/>
        <v>0</v>
      </c>
      <c r="J102" s="65"/>
      <c r="K102" s="65"/>
      <c r="L102" s="83"/>
      <c r="M102" s="67"/>
      <c r="N102" s="68"/>
      <c r="O102" s="62"/>
      <c r="P102" s="69"/>
      <c r="Q102" s="70"/>
      <c r="R102" s="50">
        <f t="shared" si="22"/>
        <v>0</v>
      </c>
      <c r="S102" s="71"/>
      <c r="T102" s="94"/>
      <c r="U102" s="72"/>
      <c r="V102" s="73"/>
      <c r="W102" s="74"/>
      <c r="X102" s="75"/>
      <c r="Y102" s="75"/>
      <c r="Z102" s="76"/>
      <c r="AA102" s="77"/>
      <c r="AB102" s="73"/>
      <c r="AC102" s="74"/>
      <c r="AD102" s="75"/>
      <c r="AE102" s="75"/>
      <c r="AF102" s="75"/>
      <c r="AG102" s="75"/>
      <c r="AH102" s="75"/>
      <c r="AI102" s="75"/>
      <c r="AJ102" s="78"/>
      <c r="AK102" s="79"/>
      <c r="AL102" s="75"/>
      <c r="AM102" s="75"/>
      <c r="AN102" s="75"/>
      <c r="AO102" s="75"/>
      <c r="AP102" s="75"/>
      <c r="AQ102" s="75"/>
      <c r="AR102" s="75"/>
      <c r="AS102" s="77"/>
      <c r="AT102" s="74"/>
      <c r="AU102" s="78"/>
      <c r="AV102" s="79"/>
      <c r="AW102" s="75"/>
      <c r="AX102" s="75"/>
      <c r="AY102" s="75"/>
      <c r="AZ102" s="77"/>
      <c r="BA102" s="74"/>
      <c r="BB102" s="75"/>
      <c r="BC102" s="75"/>
      <c r="BD102" s="77"/>
      <c r="BE102" s="6">
        <f t="shared" si="23"/>
        <v>0</v>
      </c>
    </row>
    <row r="103" spans="1:57">
      <c r="A103" s="61"/>
      <c r="B103" s="40"/>
      <c r="C103" s="62">
        <f t="shared" si="24"/>
        <v>0</v>
      </c>
      <c r="D103" s="63">
        <f t="shared" si="25"/>
        <v>0</v>
      </c>
      <c r="E103" s="63">
        <f t="shared" si="26"/>
        <v>0</v>
      </c>
      <c r="F103" s="63">
        <f t="shared" si="27"/>
        <v>0</v>
      </c>
      <c r="G103" s="63">
        <f t="shared" si="20"/>
        <v>0</v>
      </c>
      <c r="H103" s="63">
        <f t="shared" si="28"/>
        <v>0</v>
      </c>
      <c r="I103" s="64">
        <f t="shared" si="21"/>
        <v>0</v>
      </c>
      <c r="J103" s="65"/>
      <c r="K103" s="65"/>
      <c r="L103" s="83"/>
      <c r="M103" s="67"/>
      <c r="N103" s="68"/>
      <c r="O103" s="62"/>
      <c r="P103" s="69"/>
      <c r="Q103" s="70"/>
      <c r="R103" s="50">
        <f t="shared" si="22"/>
        <v>0</v>
      </c>
      <c r="S103" s="71"/>
      <c r="T103" s="94"/>
      <c r="U103" s="72"/>
      <c r="V103" s="73"/>
      <c r="W103" s="74"/>
      <c r="X103" s="75"/>
      <c r="Y103" s="74"/>
      <c r="Z103" s="73"/>
      <c r="AA103" s="77"/>
      <c r="AB103" s="73"/>
      <c r="AC103" s="74"/>
      <c r="AD103" s="75"/>
      <c r="AE103" s="75"/>
      <c r="AF103" s="75"/>
      <c r="AG103" s="75"/>
      <c r="AH103" s="75"/>
      <c r="AI103" s="75"/>
      <c r="AJ103" s="78"/>
      <c r="AK103" s="79"/>
      <c r="AL103" s="75"/>
      <c r="AM103" s="75"/>
      <c r="AN103" s="75"/>
      <c r="AO103" s="75"/>
      <c r="AP103" s="75"/>
      <c r="AQ103" s="75"/>
      <c r="AR103" s="75"/>
      <c r="AS103" s="77"/>
      <c r="AT103" s="74"/>
      <c r="AU103" s="78"/>
      <c r="AV103" s="79"/>
      <c r="AW103" s="75"/>
      <c r="AX103" s="75"/>
      <c r="AY103" s="75"/>
      <c r="AZ103" s="77"/>
      <c r="BA103" s="74"/>
      <c r="BB103" s="75"/>
      <c r="BC103" s="75"/>
      <c r="BD103" s="77"/>
      <c r="BE103" s="6">
        <f t="shared" si="23"/>
        <v>0</v>
      </c>
    </row>
    <row r="104" spans="1:57">
      <c r="A104" s="61"/>
      <c r="B104" s="40"/>
      <c r="C104" s="62">
        <f t="shared" si="24"/>
        <v>0</v>
      </c>
      <c r="D104" s="63">
        <f t="shared" si="25"/>
        <v>0</v>
      </c>
      <c r="E104" s="63">
        <f t="shared" si="26"/>
        <v>0</v>
      </c>
      <c r="F104" s="63">
        <f t="shared" si="27"/>
        <v>0</v>
      </c>
      <c r="G104" s="63">
        <f t="shared" si="20"/>
        <v>0</v>
      </c>
      <c r="H104" s="63">
        <f t="shared" si="28"/>
        <v>0</v>
      </c>
      <c r="I104" s="64">
        <f t="shared" si="21"/>
        <v>0</v>
      </c>
      <c r="J104" s="65"/>
      <c r="K104" s="65"/>
      <c r="L104" s="83"/>
      <c r="M104" s="67"/>
      <c r="N104" s="68"/>
      <c r="O104" s="62"/>
      <c r="P104" s="69"/>
      <c r="Q104" s="70"/>
      <c r="R104" s="50">
        <f t="shared" si="22"/>
        <v>0</v>
      </c>
      <c r="S104" s="71"/>
      <c r="T104" s="94"/>
      <c r="U104" s="72"/>
      <c r="V104" s="73"/>
      <c r="W104" s="74"/>
      <c r="X104" s="75"/>
      <c r="Y104" s="74"/>
      <c r="Z104" s="73"/>
      <c r="AA104" s="77"/>
      <c r="AB104" s="73"/>
      <c r="AC104" s="74"/>
      <c r="AD104" s="75"/>
      <c r="AE104" s="75"/>
      <c r="AF104" s="75"/>
      <c r="AG104" s="75"/>
      <c r="AH104" s="75"/>
      <c r="AI104" s="75"/>
      <c r="AJ104" s="78"/>
      <c r="AK104" s="79"/>
      <c r="AL104" s="75"/>
      <c r="AM104" s="75"/>
      <c r="AN104" s="75"/>
      <c r="AO104" s="75"/>
      <c r="AP104" s="75"/>
      <c r="AQ104" s="75"/>
      <c r="AR104" s="75"/>
      <c r="AS104" s="77"/>
      <c r="AT104" s="74"/>
      <c r="AU104" s="78"/>
      <c r="AV104" s="79"/>
      <c r="AW104" s="75"/>
      <c r="AX104" s="75"/>
      <c r="AY104" s="75"/>
      <c r="AZ104" s="77"/>
      <c r="BA104" s="74"/>
      <c r="BB104" s="75"/>
      <c r="BC104" s="75"/>
      <c r="BD104" s="77"/>
      <c r="BE104" s="6">
        <f t="shared" si="23"/>
        <v>0</v>
      </c>
    </row>
    <row r="105" spans="1:57">
      <c r="A105" s="61"/>
      <c r="B105" s="40"/>
      <c r="C105" s="62">
        <f t="shared" si="24"/>
        <v>0</v>
      </c>
      <c r="D105" s="63">
        <f t="shared" si="25"/>
        <v>0</v>
      </c>
      <c r="E105" s="63">
        <f t="shared" si="26"/>
        <v>0</v>
      </c>
      <c r="F105" s="63">
        <f t="shared" si="27"/>
        <v>0</v>
      </c>
      <c r="G105" s="63">
        <f t="shared" si="20"/>
        <v>0</v>
      </c>
      <c r="H105" s="63">
        <f t="shared" si="28"/>
        <v>0</v>
      </c>
      <c r="I105" s="64">
        <f t="shared" si="21"/>
        <v>0</v>
      </c>
      <c r="J105" s="65"/>
      <c r="K105" s="65"/>
      <c r="L105" s="83"/>
      <c r="M105" s="67"/>
      <c r="N105" s="68"/>
      <c r="O105" s="62"/>
      <c r="P105" s="69"/>
      <c r="Q105" s="70"/>
      <c r="R105" s="50">
        <f t="shared" si="22"/>
        <v>0</v>
      </c>
      <c r="S105" s="71"/>
      <c r="T105" s="94"/>
      <c r="U105" s="72"/>
      <c r="V105" s="73"/>
      <c r="W105" s="74"/>
      <c r="X105" s="75"/>
      <c r="Y105" s="74"/>
      <c r="Z105" s="73"/>
      <c r="AA105" s="77"/>
      <c r="AB105" s="73"/>
      <c r="AC105" s="74"/>
      <c r="AD105" s="75"/>
      <c r="AE105" s="75"/>
      <c r="AF105" s="75"/>
      <c r="AG105" s="75"/>
      <c r="AH105" s="75"/>
      <c r="AI105" s="75"/>
      <c r="AJ105" s="78"/>
      <c r="AK105" s="79"/>
      <c r="AL105" s="75"/>
      <c r="AM105" s="75"/>
      <c r="AN105" s="75"/>
      <c r="AO105" s="75"/>
      <c r="AP105" s="75"/>
      <c r="AQ105" s="75"/>
      <c r="AR105" s="75"/>
      <c r="AS105" s="77"/>
      <c r="AT105" s="74"/>
      <c r="AU105" s="78"/>
      <c r="AV105" s="79"/>
      <c r="AW105" s="75"/>
      <c r="AX105" s="75"/>
      <c r="AY105" s="75"/>
      <c r="AZ105" s="77"/>
      <c r="BA105" s="74"/>
      <c r="BB105" s="75"/>
      <c r="BC105" s="75"/>
      <c r="BD105" s="77"/>
      <c r="BE105" s="6">
        <f t="shared" si="23"/>
        <v>0</v>
      </c>
    </row>
    <row r="106" spans="1:57" ht="16.2" customHeight="1">
      <c r="A106" s="61"/>
      <c r="B106" s="40"/>
      <c r="C106" s="62">
        <f t="shared" si="24"/>
        <v>0</v>
      </c>
      <c r="D106" s="63">
        <f t="shared" si="25"/>
        <v>0</v>
      </c>
      <c r="E106" s="63">
        <f t="shared" si="26"/>
        <v>0</v>
      </c>
      <c r="F106" s="63">
        <f t="shared" si="27"/>
        <v>0</v>
      </c>
      <c r="G106" s="63">
        <f t="shared" si="20"/>
        <v>0</v>
      </c>
      <c r="H106" s="63">
        <f t="shared" si="28"/>
        <v>0</v>
      </c>
      <c r="I106" s="64">
        <f t="shared" si="21"/>
        <v>0</v>
      </c>
      <c r="J106" s="65"/>
      <c r="K106" s="65"/>
      <c r="L106" s="83"/>
      <c r="M106" s="67"/>
      <c r="N106" s="68"/>
      <c r="O106" s="62"/>
      <c r="P106" s="69"/>
      <c r="Q106" s="70"/>
      <c r="R106" s="50">
        <f t="shared" si="22"/>
        <v>0</v>
      </c>
      <c r="S106" s="71"/>
      <c r="T106" s="94"/>
      <c r="U106" s="72"/>
      <c r="V106" s="73"/>
      <c r="W106" s="74"/>
      <c r="X106" s="75"/>
      <c r="Y106" s="74"/>
      <c r="Z106" s="73"/>
      <c r="AA106" s="77"/>
      <c r="AB106" s="73"/>
      <c r="AC106" s="74"/>
      <c r="AD106" s="75"/>
      <c r="AE106" s="75"/>
      <c r="AF106" s="75"/>
      <c r="AG106" s="75"/>
      <c r="AH106" s="75"/>
      <c r="AI106" s="75"/>
      <c r="AJ106" s="78"/>
      <c r="AK106" s="79"/>
      <c r="AL106" s="75"/>
      <c r="AM106" s="75"/>
      <c r="AN106" s="75"/>
      <c r="AO106" s="75"/>
      <c r="AP106" s="75"/>
      <c r="AQ106" s="75"/>
      <c r="AR106" s="75"/>
      <c r="AS106" s="77"/>
      <c r="AT106" s="74"/>
      <c r="AU106" s="78"/>
      <c r="AV106" s="79"/>
      <c r="AW106" s="75"/>
      <c r="AX106" s="75"/>
      <c r="AY106" s="75"/>
      <c r="AZ106" s="77"/>
      <c r="BA106" s="74"/>
      <c r="BB106" s="75"/>
      <c r="BC106" s="75"/>
      <c r="BD106" s="77"/>
      <c r="BE106" s="6">
        <f t="shared" si="23"/>
        <v>0</v>
      </c>
    </row>
    <row r="107" spans="1:57">
      <c r="A107" s="61"/>
      <c r="B107" s="40"/>
      <c r="C107" s="62">
        <f t="shared" si="24"/>
        <v>0</v>
      </c>
      <c r="D107" s="63">
        <f t="shared" si="25"/>
        <v>0</v>
      </c>
      <c r="E107" s="63">
        <f t="shared" si="26"/>
        <v>0</v>
      </c>
      <c r="F107" s="63">
        <f t="shared" si="27"/>
        <v>0</v>
      </c>
      <c r="G107" s="63">
        <f t="shared" si="20"/>
        <v>0</v>
      </c>
      <c r="H107" s="63">
        <f t="shared" si="28"/>
        <v>0</v>
      </c>
      <c r="I107" s="64">
        <f t="shared" si="21"/>
        <v>0</v>
      </c>
      <c r="J107" s="65"/>
      <c r="K107" s="65"/>
      <c r="L107" s="83"/>
      <c r="M107" s="67"/>
      <c r="N107" s="68"/>
      <c r="O107" s="62"/>
      <c r="P107" s="69"/>
      <c r="Q107" s="70"/>
      <c r="R107" s="50">
        <f t="shared" si="22"/>
        <v>0</v>
      </c>
      <c r="S107" s="109"/>
      <c r="T107" s="94"/>
      <c r="U107" s="72"/>
      <c r="V107" s="73"/>
      <c r="W107" s="74"/>
      <c r="X107" s="75"/>
      <c r="Y107" s="75"/>
      <c r="Z107" s="76"/>
      <c r="AA107" s="77"/>
      <c r="AB107" s="73"/>
      <c r="AC107" s="74"/>
      <c r="AD107" s="75"/>
      <c r="AE107" s="75"/>
      <c r="AF107" s="75"/>
      <c r="AG107" s="75"/>
      <c r="AH107" s="75"/>
      <c r="AI107" s="75"/>
      <c r="AJ107" s="78"/>
      <c r="AK107" s="79"/>
      <c r="AL107" s="75"/>
      <c r="AM107" s="75"/>
      <c r="AN107" s="75"/>
      <c r="AO107" s="75"/>
      <c r="AP107" s="75"/>
      <c r="AQ107" s="75"/>
      <c r="AR107" s="75"/>
      <c r="AS107" s="77"/>
      <c r="AT107" s="74"/>
      <c r="AU107" s="78"/>
      <c r="AV107" s="79"/>
      <c r="AW107" s="75"/>
      <c r="AX107" s="75"/>
      <c r="AY107" s="75"/>
      <c r="AZ107" s="77"/>
      <c r="BA107" s="74"/>
      <c r="BB107" s="75"/>
      <c r="BC107" s="75"/>
      <c r="BD107" s="77"/>
      <c r="BE107" s="6">
        <f t="shared" si="23"/>
        <v>0</v>
      </c>
    </row>
    <row r="108" spans="1:57">
      <c r="A108" s="61"/>
      <c r="B108" s="40"/>
      <c r="C108" s="62">
        <f t="shared" si="24"/>
        <v>0</v>
      </c>
      <c r="D108" s="63">
        <f t="shared" si="25"/>
        <v>0</v>
      </c>
      <c r="E108" s="63">
        <f t="shared" si="26"/>
        <v>0</v>
      </c>
      <c r="F108" s="63">
        <f t="shared" si="27"/>
        <v>0</v>
      </c>
      <c r="G108" s="63">
        <f t="shared" si="20"/>
        <v>0</v>
      </c>
      <c r="H108" s="63">
        <f t="shared" si="28"/>
        <v>0</v>
      </c>
      <c r="I108" s="64">
        <f t="shared" si="21"/>
        <v>0</v>
      </c>
      <c r="J108" s="65"/>
      <c r="K108" s="65"/>
      <c r="L108" s="83"/>
      <c r="M108" s="67"/>
      <c r="N108" s="68"/>
      <c r="O108" s="62"/>
      <c r="P108" s="69"/>
      <c r="Q108" s="70"/>
      <c r="R108" s="50">
        <f t="shared" si="22"/>
        <v>0</v>
      </c>
      <c r="S108" s="71"/>
      <c r="T108" s="94"/>
      <c r="U108" s="72"/>
      <c r="V108" s="73"/>
      <c r="W108" s="74"/>
      <c r="X108" s="75"/>
      <c r="Y108" s="75"/>
      <c r="Z108" s="76"/>
      <c r="AA108" s="77"/>
      <c r="AB108" s="73"/>
      <c r="AC108" s="74"/>
      <c r="AD108" s="75"/>
      <c r="AE108" s="75"/>
      <c r="AF108" s="75"/>
      <c r="AG108" s="75"/>
      <c r="AH108" s="75"/>
      <c r="AI108" s="75"/>
      <c r="AJ108" s="78"/>
      <c r="AK108" s="79"/>
      <c r="AL108" s="75"/>
      <c r="AM108" s="75"/>
      <c r="AN108" s="75"/>
      <c r="AO108" s="75"/>
      <c r="AP108" s="75"/>
      <c r="AQ108" s="75"/>
      <c r="AR108" s="75"/>
      <c r="AS108" s="77"/>
      <c r="AT108" s="74"/>
      <c r="AU108" s="78"/>
      <c r="AV108" s="79"/>
      <c r="AW108" s="75"/>
      <c r="AX108" s="75"/>
      <c r="AY108" s="75"/>
      <c r="AZ108" s="77"/>
      <c r="BA108" s="74"/>
      <c r="BB108" s="75"/>
      <c r="BC108" s="75"/>
      <c r="BD108" s="77"/>
      <c r="BE108" s="6">
        <f t="shared" si="23"/>
        <v>0</v>
      </c>
    </row>
    <row r="109" spans="1:57">
      <c r="A109" s="61"/>
      <c r="B109" s="40"/>
      <c r="C109" s="62">
        <f t="shared" si="24"/>
        <v>0</v>
      </c>
      <c r="D109" s="63">
        <f t="shared" si="25"/>
        <v>0</v>
      </c>
      <c r="E109" s="63">
        <f t="shared" si="26"/>
        <v>0</v>
      </c>
      <c r="F109" s="63">
        <f t="shared" si="27"/>
        <v>0</v>
      </c>
      <c r="G109" s="63">
        <f t="shared" si="20"/>
        <v>0</v>
      </c>
      <c r="H109" s="63">
        <f t="shared" si="28"/>
        <v>0</v>
      </c>
      <c r="I109" s="64">
        <f t="shared" si="21"/>
        <v>0</v>
      </c>
      <c r="J109" s="65"/>
      <c r="K109" s="65"/>
      <c r="L109" s="83"/>
      <c r="M109" s="67"/>
      <c r="N109" s="68"/>
      <c r="O109" s="62"/>
      <c r="P109" s="69"/>
      <c r="Q109" s="70"/>
      <c r="R109" s="50">
        <f t="shared" si="22"/>
        <v>0</v>
      </c>
      <c r="S109" s="71"/>
      <c r="T109" s="94"/>
      <c r="U109" s="72"/>
      <c r="V109" s="73"/>
      <c r="W109" s="74"/>
      <c r="X109" s="75"/>
      <c r="Y109" s="75"/>
      <c r="Z109" s="76"/>
      <c r="AA109" s="77"/>
      <c r="AB109" s="73"/>
      <c r="AC109" s="74"/>
      <c r="AD109" s="75"/>
      <c r="AE109" s="75"/>
      <c r="AF109" s="75"/>
      <c r="AG109" s="75"/>
      <c r="AH109" s="75"/>
      <c r="AI109" s="75"/>
      <c r="AJ109" s="78"/>
      <c r="AK109" s="79"/>
      <c r="AL109" s="75"/>
      <c r="AM109" s="75"/>
      <c r="AN109" s="75"/>
      <c r="AO109" s="75"/>
      <c r="AP109" s="75"/>
      <c r="AQ109" s="75"/>
      <c r="AR109" s="75"/>
      <c r="AS109" s="77"/>
      <c r="AT109" s="74"/>
      <c r="AU109" s="78"/>
      <c r="AV109" s="79"/>
      <c r="AW109" s="75"/>
      <c r="AX109" s="75"/>
      <c r="AY109" s="75"/>
      <c r="AZ109" s="77"/>
      <c r="BA109" s="74"/>
      <c r="BB109" s="75"/>
      <c r="BC109" s="75"/>
      <c r="BD109" s="77"/>
      <c r="BE109" s="6">
        <f t="shared" si="23"/>
        <v>0</v>
      </c>
    </row>
    <row r="110" spans="1:57">
      <c r="A110" s="61"/>
      <c r="B110" s="40"/>
      <c r="C110" s="62">
        <f t="shared" si="24"/>
        <v>0</v>
      </c>
      <c r="D110" s="63">
        <f t="shared" si="25"/>
        <v>0</v>
      </c>
      <c r="E110" s="63">
        <f t="shared" si="26"/>
        <v>0</v>
      </c>
      <c r="F110" s="63">
        <f t="shared" si="27"/>
        <v>0</v>
      </c>
      <c r="G110" s="63">
        <f t="shared" si="20"/>
        <v>0</v>
      </c>
      <c r="H110" s="63">
        <f t="shared" si="28"/>
        <v>0</v>
      </c>
      <c r="I110" s="64">
        <f t="shared" si="21"/>
        <v>0</v>
      </c>
      <c r="J110" s="65"/>
      <c r="K110" s="65"/>
      <c r="L110" s="83"/>
      <c r="M110" s="67"/>
      <c r="N110" s="68"/>
      <c r="O110" s="62"/>
      <c r="P110" s="69"/>
      <c r="Q110" s="70"/>
      <c r="R110" s="50">
        <f t="shared" si="22"/>
        <v>0</v>
      </c>
      <c r="S110" s="71"/>
      <c r="T110" s="94"/>
      <c r="U110" s="72"/>
      <c r="V110" s="73"/>
      <c r="W110" s="74"/>
      <c r="X110" s="75"/>
      <c r="Y110" s="75"/>
      <c r="Z110" s="76"/>
      <c r="AA110" s="77"/>
      <c r="AB110" s="73"/>
      <c r="AC110" s="74"/>
      <c r="AD110" s="75"/>
      <c r="AE110" s="75"/>
      <c r="AF110" s="75"/>
      <c r="AG110" s="75"/>
      <c r="AH110" s="75"/>
      <c r="AI110" s="75"/>
      <c r="AJ110" s="78"/>
      <c r="AK110" s="79"/>
      <c r="AL110" s="75"/>
      <c r="AM110" s="75"/>
      <c r="AN110" s="75"/>
      <c r="AO110" s="75"/>
      <c r="AP110" s="75"/>
      <c r="AQ110" s="75"/>
      <c r="AR110" s="75"/>
      <c r="AS110" s="77"/>
      <c r="AT110" s="74"/>
      <c r="AU110" s="78"/>
      <c r="AV110" s="79"/>
      <c r="AW110" s="75"/>
      <c r="AX110" s="75"/>
      <c r="AY110" s="75"/>
      <c r="AZ110" s="77"/>
      <c r="BA110" s="74"/>
      <c r="BB110" s="75"/>
      <c r="BC110" s="75"/>
      <c r="BD110" s="77"/>
      <c r="BE110" s="6">
        <f t="shared" si="23"/>
        <v>0</v>
      </c>
    </row>
    <row r="111" spans="1:57">
      <c r="A111" s="61"/>
      <c r="B111" s="40"/>
      <c r="C111" s="62">
        <f t="shared" si="24"/>
        <v>0</v>
      </c>
      <c r="D111" s="63">
        <f t="shared" si="25"/>
        <v>0</v>
      </c>
      <c r="E111" s="63">
        <f t="shared" si="26"/>
        <v>0</v>
      </c>
      <c r="F111" s="63">
        <f t="shared" si="27"/>
        <v>0</v>
      </c>
      <c r="G111" s="63">
        <f t="shared" si="20"/>
        <v>0</v>
      </c>
      <c r="H111" s="63">
        <f t="shared" si="28"/>
        <v>0</v>
      </c>
      <c r="I111" s="64">
        <f t="shared" si="21"/>
        <v>0</v>
      </c>
      <c r="J111" s="65"/>
      <c r="K111" s="65"/>
      <c r="L111" s="83"/>
      <c r="M111" s="67"/>
      <c r="N111" s="68"/>
      <c r="O111" s="62"/>
      <c r="P111" s="69"/>
      <c r="Q111" s="70"/>
      <c r="R111" s="50">
        <f t="shared" si="22"/>
        <v>0</v>
      </c>
      <c r="S111" s="71"/>
      <c r="T111" s="94"/>
      <c r="U111" s="72"/>
      <c r="V111" s="73"/>
      <c r="W111" s="74"/>
      <c r="X111" s="75"/>
      <c r="Y111" s="75"/>
      <c r="Z111" s="76"/>
      <c r="AA111" s="77"/>
      <c r="AB111" s="106"/>
      <c r="AC111" s="106"/>
      <c r="AD111" s="75"/>
      <c r="AE111" s="75"/>
      <c r="AF111" s="75"/>
      <c r="AG111" s="75"/>
      <c r="AH111" s="75"/>
      <c r="AI111" s="75"/>
      <c r="AJ111" s="78"/>
      <c r="AK111" s="79"/>
      <c r="AL111" s="75"/>
      <c r="AM111" s="75"/>
      <c r="AN111" s="75"/>
      <c r="AO111" s="75"/>
      <c r="AP111" s="75"/>
      <c r="AQ111" s="75"/>
      <c r="AR111" s="75"/>
      <c r="AS111" s="77"/>
      <c r="AT111" s="74"/>
      <c r="AU111" s="78"/>
      <c r="AV111" s="79"/>
      <c r="AW111" s="75"/>
      <c r="AX111" s="75"/>
      <c r="AY111" s="75"/>
      <c r="AZ111" s="77"/>
      <c r="BA111" s="74"/>
      <c r="BB111" s="75"/>
      <c r="BC111" s="75"/>
      <c r="BD111" s="77"/>
      <c r="BE111" s="6">
        <f t="shared" ref="BE111:BE114" si="29">I111-SUM(AB111:BD111)</f>
        <v>0</v>
      </c>
    </row>
    <row r="112" spans="1:57" ht="16.2" customHeight="1">
      <c r="A112" s="61"/>
      <c r="B112" s="40"/>
      <c r="C112" s="62">
        <f t="shared" si="24"/>
        <v>0</v>
      </c>
      <c r="D112" s="63">
        <f t="shared" si="25"/>
        <v>0</v>
      </c>
      <c r="E112" s="63">
        <f t="shared" si="26"/>
        <v>0</v>
      </c>
      <c r="F112" s="63">
        <f t="shared" si="27"/>
        <v>0</v>
      </c>
      <c r="G112" s="63">
        <f t="shared" si="20"/>
        <v>0</v>
      </c>
      <c r="H112" s="63">
        <f t="shared" si="28"/>
        <v>0</v>
      </c>
      <c r="I112" s="64">
        <f t="shared" si="21"/>
        <v>0</v>
      </c>
      <c r="J112" s="65"/>
      <c r="K112" s="65"/>
      <c r="L112" s="83"/>
      <c r="M112" s="67"/>
      <c r="N112" s="68"/>
      <c r="O112" s="62"/>
      <c r="P112" s="69"/>
      <c r="Q112" s="70"/>
      <c r="R112" s="50">
        <f t="shared" si="22"/>
        <v>0</v>
      </c>
      <c r="S112" s="71"/>
      <c r="T112" s="94"/>
      <c r="U112" s="72"/>
      <c r="V112" s="73"/>
      <c r="W112" s="74"/>
      <c r="X112" s="75"/>
      <c r="Y112" s="75"/>
      <c r="Z112" s="76"/>
      <c r="AA112" s="77"/>
      <c r="AB112" s="73"/>
      <c r="AC112" s="74"/>
      <c r="AD112" s="75"/>
      <c r="AE112" s="75"/>
      <c r="AF112" s="75"/>
      <c r="AG112" s="75"/>
      <c r="AH112" s="75"/>
      <c r="AI112" s="75"/>
      <c r="AJ112" s="78"/>
      <c r="AK112" s="79"/>
      <c r="AL112" s="75"/>
      <c r="AM112" s="75"/>
      <c r="AN112" s="75"/>
      <c r="AO112" s="75"/>
      <c r="AP112" s="75"/>
      <c r="AQ112" s="75"/>
      <c r="AR112" s="75"/>
      <c r="AS112" s="77"/>
      <c r="AT112" s="74"/>
      <c r="AU112" s="78"/>
      <c r="AV112" s="79"/>
      <c r="AW112" s="75"/>
      <c r="AX112" s="75"/>
      <c r="AY112" s="75"/>
      <c r="AZ112" s="77"/>
      <c r="BA112" s="74"/>
      <c r="BB112" s="75"/>
      <c r="BC112" s="75"/>
      <c r="BD112" s="77"/>
      <c r="BE112" s="6">
        <f t="shared" si="29"/>
        <v>0</v>
      </c>
    </row>
    <row r="113" spans="1:57">
      <c r="A113" s="61"/>
      <c r="B113" s="40"/>
      <c r="C113" s="62">
        <f t="shared" si="24"/>
        <v>0</v>
      </c>
      <c r="D113" s="63">
        <f t="shared" si="25"/>
        <v>0</v>
      </c>
      <c r="E113" s="63">
        <f t="shared" si="26"/>
        <v>0</v>
      </c>
      <c r="F113" s="63">
        <f t="shared" si="27"/>
        <v>0</v>
      </c>
      <c r="G113" s="63">
        <f t="shared" si="20"/>
        <v>0</v>
      </c>
      <c r="H113" s="63">
        <f t="shared" si="28"/>
        <v>0</v>
      </c>
      <c r="I113" s="64">
        <f t="shared" si="21"/>
        <v>0</v>
      </c>
      <c r="J113" s="65"/>
      <c r="K113" s="65"/>
      <c r="L113" s="83"/>
      <c r="M113" s="67"/>
      <c r="N113" s="68"/>
      <c r="O113" s="62"/>
      <c r="P113" s="69"/>
      <c r="Q113" s="70"/>
      <c r="R113" s="50">
        <f t="shared" si="22"/>
        <v>0</v>
      </c>
      <c r="S113" s="71"/>
      <c r="T113" s="94"/>
      <c r="U113" s="72"/>
      <c r="V113" s="73"/>
      <c r="W113" s="74"/>
      <c r="X113" s="75"/>
      <c r="Y113" s="75"/>
      <c r="Z113" s="76"/>
      <c r="AA113" s="77"/>
      <c r="AB113" s="73"/>
      <c r="AC113" s="74"/>
      <c r="AD113" s="75"/>
      <c r="AE113" s="75"/>
      <c r="AF113" s="75"/>
      <c r="AG113" s="75"/>
      <c r="AH113" s="75"/>
      <c r="AI113" s="75"/>
      <c r="AJ113" s="78"/>
      <c r="AK113" s="79"/>
      <c r="AL113" s="75"/>
      <c r="AM113" s="75"/>
      <c r="AN113" s="75"/>
      <c r="AO113" s="75"/>
      <c r="AP113" s="75"/>
      <c r="AQ113" s="75"/>
      <c r="AR113" s="75"/>
      <c r="AS113" s="77"/>
      <c r="AT113" s="74"/>
      <c r="AU113" s="78"/>
      <c r="AV113" s="79"/>
      <c r="AW113" s="75"/>
      <c r="AX113" s="75"/>
      <c r="AY113" s="75"/>
      <c r="AZ113" s="77"/>
      <c r="BA113" s="74"/>
      <c r="BB113" s="75"/>
      <c r="BC113" s="75"/>
      <c r="BD113" s="77"/>
      <c r="BE113" s="6">
        <f t="shared" si="29"/>
        <v>0</v>
      </c>
    </row>
    <row r="114" spans="1:57" s="3" customFormat="1" ht="31.2" customHeight="1">
      <c r="A114" s="554" t="s">
        <v>97</v>
      </c>
      <c r="B114" s="555"/>
      <c r="C114" s="110">
        <f>SUM(C5:C113)</f>
        <v>0</v>
      </c>
      <c r="D114" s="110">
        <f t="shared" ref="D114:J114" si="30">SUM(D5:D113)</f>
        <v>0</v>
      </c>
      <c r="E114" s="110">
        <f t="shared" si="30"/>
        <v>0</v>
      </c>
      <c r="F114" s="110">
        <f t="shared" si="30"/>
        <v>0</v>
      </c>
      <c r="G114" s="110">
        <f t="shared" si="30"/>
        <v>0</v>
      </c>
      <c r="H114" s="110">
        <f t="shared" si="30"/>
        <v>0</v>
      </c>
      <c r="I114" s="110">
        <f t="shared" si="30"/>
        <v>0</v>
      </c>
      <c r="J114" s="110">
        <f t="shared" si="30"/>
        <v>0</v>
      </c>
      <c r="K114" s="110">
        <f t="shared" ref="K114:N114" si="31">SUM(K5:K113)</f>
        <v>0</v>
      </c>
      <c r="L114" s="110">
        <f t="shared" si="31"/>
        <v>0</v>
      </c>
      <c r="M114" s="110">
        <f t="shared" si="31"/>
        <v>0</v>
      </c>
      <c r="N114" s="110">
        <f t="shared" si="31"/>
        <v>0</v>
      </c>
      <c r="O114" s="110"/>
      <c r="P114" s="111">
        <f>SUM(P5:P113)</f>
        <v>0</v>
      </c>
      <c r="Q114" s="110">
        <f>SUM(Q5:Q113)</f>
        <v>0</v>
      </c>
      <c r="R114" s="112">
        <f>R4+N114+P114+Q114-M114-L114-K114-J114-I114</f>
        <v>0</v>
      </c>
      <c r="S114" s="110"/>
      <c r="T114" s="111"/>
      <c r="U114" s="111"/>
      <c r="V114" s="113">
        <f>SUM(V5:V113)</f>
        <v>0</v>
      </c>
      <c r="W114" s="113">
        <f>SUM(W5:W113)</f>
        <v>0</v>
      </c>
      <c r="X114" s="113">
        <f>SUM(X5:X113)</f>
        <v>0</v>
      </c>
      <c r="Y114" s="113">
        <f t="shared" ref="Y114:AD114" si="32">SUM(Y5:Y113)</f>
        <v>0</v>
      </c>
      <c r="Z114" s="113">
        <f t="shared" si="32"/>
        <v>0</v>
      </c>
      <c r="AA114" s="113">
        <f t="shared" si="32"/>
        <v>0</v>
      </c>
      <c r="AB114" s="114">
        <f t="shared" si="32"/>
        <v>0</v>
      </c>
      <c r="AC114" s="114">
        <f t="shared" si="32"/>
        <v>0</v>
      </c>
      <c r="AD114" s="114">
        <f t="shared" si="32"/>
        <v>0</v>
      </c>
      <c r="AE114" s="114">
        <f t="shared" ref="AE114:BD114" si="33">SUM(AE5:AE113)</f>
        <v>0</v>
      </c>
      <c r="AF114" s="114">
        <f t="shared" si="33"/>
        <v>0</v>
      </c>
      <c r="AG114" s="114">
        <f t="shared" si="33"/>
        <v>0</v>
      </c>
      <c r="AH114" s="114">
        <f t="shared" si="33"/>
        <v>0</v>
      </c>
      <c r="AI114" s="114">
        <f t="shared" si="33"/>
        <v>0</v>
      </c>
      <c r="AJ114" s="114">
        <f t="shared" si="33"/>
        <v>0</v>
      </c>
      <c r="AK114" s="114">
        <f t="shared" si="33"/>
        <v>0</v>
      </c>
      <c r="AL114" s="114">
        <f t="shared" si="33"/>
        <v>0</v>
      </c>
      <c r="AM114" s="114">
        <f t="shared" si="33"/>
        <v>0</v>
      </c>
      <c r="AN114" s="114">
        <f t="shared" si="33"/>
        <v>0</v>
      </c>
      <c r="AO114" s="114">
        <f t="shared" si="33"/>
        <v>0</v>
      </c>
      <c r="AP114" s="114">
        <f t="shared" si="33"/>
        <v>0</v>
      </c>
      <c r="AQ114" s="114">
        <f t="shared" si="33"/>
        <v>0</v>
      </c>
      <c r="AR114" s="114">
        <f t="shared" si="33"/>
        <v>0</v>
      </c>
      <c r="AS114" s="114">
        <f t="shared" si="33"/>
        <v>0</v>
      </c>
      <c r="AT114" s="114">
        <f t="shared" si="33"/>
        <v>0</v>
      </c>
      <c r="AU114" s="114">
        <f t="shared" si="33"/>
        <v>0</v>
      </c>
      <c r="AV114" s="114">
        <f t="shared" si="33"/>
        <v>0</v>
      </c>
      <c r="AW114" s="114">
        <f t="shared" si="33"/>
        <v>0</v>
      </c>
      <c r="AX114" s="114">
        <f t="shared" si="33"/>
        <v>0</v>
      </c>
      <c r="AY114" s="114">
        <f t="shared" si="33"/>
        <v>0</v>
      </c>
      <c r="AZ114" s="114">
        <f t="shared" si="33"/>
        <v>0</v>
      </c>
      <c r="BA114" s="114">
        <f t="shared" si="33"/>
        <v>0</v>
      </c>
      <c r="BB114" s="114">
        <f t="shared" si="33"/>
        <v>0</v>
      </c>
      <c r="BC114" s="114">
        <f t="shared" si="33"/>
        <v>0</v>
      </c>
      <c r="BD114" s="115">
        <f t="shared" si="33"/>
        <v>0</v>
      </c>
      <c r="BE114" s="6">
        <f t="shared" si="29"/>
        <v>0</v>
      </c>
    </row>
    <row r="115" spans="1:57" s="3" customFormat="1" ht="22.95" customHeight="1">
      <c r="A115" s="116" t="s">
        <v>118</v>
      </c>
      <c r="B115" s="117"/>
      <c r="C115" s="118"/>
      <c r="D115" s="119"/>
      <c r="E115" s="119"/>
      <c r="F115" s="119"/>
      <c r="G115" s="119"/>
      <c r="H115" s="119"/>
      <c r="I115" s="120">
        <f t="shared" ref="I115:I120" si="34">SUM(C115:H115)</f>
        <v>0</v>
      </c>
      <c r="J115" s="121"/>
      <c r="K115" s="121"/>
      <c r="L115" s="122"/>
      <c r="M115" s="123"/>
      <c r="N115" s="124"/>
      <c r="O115" s="118"/>
      <c r="P115" s="125"/>
      <c r="Q115" s="126"/>
      <c r="R115" s="50">
        <f t="shared" ref="R115:R122" si="35">R114+SUM(N115:Q115)-SUM(I115:M115)</f>
        <v>0</v>
      </c>
      <c r="S115" s="127"/>
      <c r="T115" s="128"/>
      <c r="U115" s="129"/>
      <c r="V115" s="130"/>
      <c r="W115" s="131"/>
      <c r="X115" s="132"/>
      <c r="Y115" s="132"/>
      <c r="Z115" s="133"/>
      <c r="AA115" s="134"/>
      <c r="AB115" s="130"/>
      <c r="AC115" s="131"/>
      <c r="AD115" s="132"/>
      <c r="AE115" s="132"/>
      <c r="AF115" s="132"/>
      <c r="AG115" s="132"/>
      <c r="AH115" s="132"/>
      <c r="AI115" s="132"/>
      <c r="AJ115" s="135"/>
      <c r="AK115" s="130"/>
      <c r="AL115" s="132"/>
      <c r="AM115" s="132"/>
      <c r="AN115" s="132"/>
      <c r="AO115" s="132"/>
      <c r="AP115" s="132"/>
      <c r="AQ115" s="132"/>
      <c r="AR115" s="132"/>
      <c r="AS115" s="135"/>
      <c r="AT115" s="130"/>
      <c r="AU115" s="135"/>
      <c r="AV115" s="130"/>
      <c r="AW115" s="132"/>
      <c r="AX115" s="132"/>
      <c r="AY115" s="132"/>
      <c r="AZ115" s="135"/>
      <c r="BA115" s="130"/>
      <c r="BB115" s="132"/>
      <c r="BC115" s="132"/>
      <c r="BD115" s="134"/>
      <c r="BE115" s="6"/>
    </row>
    <row r="116" spans="1:57" ht="15" customHeight="1">
      <c r="A116" s="136"/>
      <c r="B116" s="40"/>
      <c r="C116" s="62">
        <f>SUM(AB116:AJ116)</f>
        <v>0</v>
      </c>
      <c r="D116" s="63">
        <f>SUM(AK116:AS116)</f>
        <v>0</v>
      </c>
      <c r="E116" s="63">
        <f>SUM(AT116:AU116)</f>
        <v>0</v>
      </c>
      <c r="F116" s="63">
        <f>SUM(AV116:AZ116)</f>
        <v>0</v>
      </c>
      <c r="G116" s="63">
        <f t="shared" ref="G116:G118" si="36">SUM(BA116:BD116)</f>
        <v>0</v>
      </c>
      <c r="H116" s="63">
        <f>SUM(V116:AA116)</f>
        <v>0</v>
      </c>
      <c r="I116" s="64">
        <f t="shared" si="34"/>
        <v>0</v>
      </c>
      <c r="J116" s="65"/>
      <c r="K116" s="137"/>
      <c r="L116" s="83"/>
      <c r="M116" s="67"/>
      <c r="N116" s="68"/>
      <c r="O116" s="62"/>
      <c r="P116" s="69"/>
      <c r="Q116" s="70"/>
      <c r="R116" s="50">
        <f t="shared" si="35"/>
        <v>0</v>
      </c>
      <c r="S116" s="138"/>
      <c r="T116" s="69"/>
      <c r="U116" s="72"/>
      <c r="V116" s="139"/>
      <c r="W116" s="140"/>
      <c r="X116" s="141"/>
      <c r="Y116" s="141"/>
      <c r="Z116" s="142"/>
      <c r="AA116" s="143"/>
      <c r="AB116" s="139"/>
      <c r="AC116" s="140"/>
      <c r="AD116" s="141"/>
      <c r="AE116" s="141"/>
      <c r="AF116" s="141"/>
      <c r="AG116" s="141"/>
      <c r="AH116" s="141"/>
      <c r="AI116" s="141"/>
      <c r="AJ116" s="144"/>
      <c r="AK116" s="139"/>
      <c r="AL116" s="141"/>
      <c r="AM116" s="141"/>
      <c r="AN116" s="141"/>
      <c r="AO116" s="141"/>
      <c r="AP116" s="141"/>
      <c r="AQ116" s="141"/>
      <c r="AR116" s="141"/>
      <c r="AS116" s="144"/>
      <c r="AT116" s="139"/>
      <c r="AU116" s="144"/>
      <c r="AV116" s="139"/>
      <c r="AW116" s="141"/>
      <c r="AX116" s="141"/>
      <c r="AY116" s="141"/>
      <c r="AZ116" s="144"/>
      <c r="BA116" s="139"/>
      <c r="BB116" s="141"/>
      <c r="BC116" s="141"/>
      <c r="BD116" s="143"/>
      <c r="BE116" s="6">
        <f>I116-SUM(AB116:BD116)</f>
        <v>0</v>
      </c>
    </row>
    <row r="117" spans="1:57" ht="15" customHeight="1">
      <c r="A117" s="136"/>
      <c r="B117" s="40"/>
      <c r="C117" s="62">
        <f>SUM(AB117:AJ117)</f>
        <v>0</v>
      </c>
      <c r="D117" s="63">
        <f>SUM(AK117:AS117)</f>
        <v>0</v>
      </c>
      <c r="E117" s="63">
        <f>SUM(AT117:AU117)</f>
        <v>0</v>
      </c>
      <c r="F117" s="63">
        <f>SUM(AV117:AZ117)</f>
        <v>0</v>
      </c>
      <c r="G117" s="63">
        <f t="shared" si="36"/>
        <v>0</v>
      </c>
      <c r="H117" s="63">
        <f>SUM(V117:AA117)</f>
        <v>0</v>
      </c>
      <c r="I117" s="64">
        <f t="shared" si="34"/>
        <v>0</v>
      </c>
      <c r="J117" s="65"/>
      <c r="K117" s="137"/>
      <c r="L117" s="83"/>
      <c r="M117" s="67"/>
      <c r="N117" s="68"/>
      <c r="O117" s="62"/>
      <c r="P117" s="69"/>
      <c r="Q117" s="70"/>
      <c r="R117" s="50">
        <f t="shared" si="35"/>
        <v>0</v>
      </c>
      <c r="S117" s="138"/>
      <c r="T117" s="69"/>
      <c r="U117" s="145"/>
      <c r="V117" s="139"/>
      <c r="W117" s="140"/>
      <c r="X117" s="141"/>
      <c r="Y117" s="141"/>
      <c r="Z117" s="142"/>
      <c r="AA117" s="143"/>
      <c r="AB117" s="106"/>
      <c r="AC117" s="106"/>
      <c r="AD117" s="141"/>
      <c r="AE117" s="141"/>
      <c r="AF117" s="141"/>
      <c r="AG117" s="141"/>
      <c r="AH117" s="141"/>
      <c r="AI117" s="141"/>
      <c r="AJ117" s="144"/>
      <c r="AK117" s="139"/>
      <c r="AL117" s="141"/>
      <c r="AM117" s="141"/>
      <c r="AN117" s="141"/>
      <c r="AO117" s="141"/>
      <c r="AP117" s="141"/>
      <c r="AQ117" s="141"/>
      <c r="AR117" s="141"/>
      <c r="AS117" s="144"/>
      <c r="AT117" s="139"/>
      <c r="AU117" s="144"/>
      <c r="AV117" s="139"/>
      <c r="AW117" s="141"/>
      <c r="AX117" s="141"/>
      <c r="AY117" s="141"/>
      <c r="AZ117" s="144"/>
      <c r="BA117" s="139"/>
      <c r="BB117" s="141"/>
      <c r="BC117" s="141"/>
      <c r="BD117" s="143"/>
      <c r="BE117" s="6">
        <f>I117-SUM(AB117:BD117)</f>
        <v>0</v>
      </c>
    </row>
    <row r="118" spans="1:57" ht="15" customHeight="1">
      <c r="A118" s="136"/>
      <c r="B118" s="40"/>
      <c r="C118" s="62">
        <f>SUM(AB118:AJ118)</f>
        <v>0</v>
      </c>
      <c r="D118" s="63">
        <f>SUM(AK118:AS118)</f>
        <v>0</v>
      </c>
      <c r="E118" s="63">
        <f>SUM(AT118:AU118)</f>
        <v>0</v>
      </c>
      <c r="F118" s="63">
        <f>SUM(AV118:AZ118)</f>
        <v>0</v>
      </c>
      <c r="G118" s="63">
        <f t="shared" si="36"/>
        <v>0</v>
      </c>
      <c r="H118" s="63">
        <f>SUM(V118:AA118)</f>
        <v>0</v>
      </c>
      <c r="I118" s="64">
        <f t="shared" si="34"/>
        <v>0</v>
      </c>
      <c r="J118" s="65"/>
      <c r="K118" s="137"/>
      <c r="L118" s="83"/>
      <c r="M118" s="67"/>
      <c r="N118" s="68"/>
      <c r="O118" s="62"/>
      <c r="P118" s="69"/>
      <c r="Q118" s="70"/>
      <c r="R118" s="50">
        <f t="shared" si="35"/>
        <v>0</v>
      </c>
      <c r="S118" s="138"/>
      <c r="T118" s="69"/>
      <c r="U118" s="145"/>
      <c r="V118" s="139"/>
      <c r="W118" s="140"/>
      <c r="X118" s="141"/>
      <c r="Y118" s="141"/>
      <c r="Z118" s="142"/>
      <c r="AA118" s="143"/>
      <c r="AB118" s="139"/>
      <c r="AC118" s="140"/>
      <c r="AD118" s="141"/>
      <c r="AE118" s="141"/>
      <c r="AF118" s="141"/>
      <c r="AG118" s="141"/>
      <c r="AH118" s="141"/>
      <c r="AI118" s="141"/>
      <c r="AJ118" s="144"/>
      <c r="AK118" s="139"/>
      <c r="AL118" s="141"/>
      <c r="AM118" s="141"/>
      <c r="AN118" s="141"/>
      <c r="AO118" s="141"/>
      <c r="AP118" s="141"/>
      <c r="AQ118" s="141"/>
      <c r="AR118" s="141"/>
      <c r="AS118" s="144"/>
      <c r="AT118" s="139"/>
      <c r="AU118" s="144"/>
      <c r="AV118" s="139"/>
      <c r="AW118" s="141"/>
      <c r="AX118" s="141"/>
      <c r="AY118" s="141"/>
      <c r="AZ118" s="144"/>
      <c r="BA118" s="139"/>
      <c r="BB118" s="141"/>
      <c r="BC118" s="141"/>
      <c r="BD118" s="143"/>
      <c r="BE118" s="6">
        <f>I118-SUM(AB118:BD118)</f>
        <v>0</v>
      </c>
    </row>
    <row r="119" spans="1:57" ht="15" customHeight="1">
      <c r="A119" s="136"/>
      <c r="B119" s="40"/>
      <c r="C119" s="62"/>
      <c r="D119" s="63"/>
      <c r="E119" s="63"/>
      <c r="F119" s="63"/>
      <c r="G119" s="63"/>
      <c r="H119" s="63"/>
      <c r="I119" s="64"/>
      <c r="J119" s="65"/>
      <c r="K119" s="137"/>
      <c r="L119" s="83"/>
      <c r="M119" s="67"/>
      <c r="N119" s="68"/>
      <c r="O119" s="62"/>
      <c r="P119" s="69"/>
      <c r="Q119" s="70"/>
      <c r="R119" s="50">
        <f t="shared" si="35"/>
        <v>0</v>
      </c>
      <c r="S119" s="138"/>
      <c r="T119" s="69"/>
      <c r="U119" s="72"/>
      <c r="V119" s="139"/>
      <c r="W119" s="140"/>
      <c r="X119" s="141"/>
      <c r="Y119" s="141"/>
      <c r="Z119" s="142"/>
      <c r="AA119" s="143"/>
      <c r="AB119" s="139"/>
      <c r="AC119" s="140"/>
      <c r="AD119" s="141"/>
      <c r="AE119" s="141"/>
      <c r="AF119" s="141"/>
      <c r="AG119" s="141"/>
      <c r="AH119" s="141"/>
      <c r="AI119" s="141"/>
      <c r="AJ119" s="144"/>
      <c r="AK119" s="139"/>
      <c r="AL119" s="141"/>
      <c r="AM119" s="141"/>
      <c r="AN119" s="141"/>
      <c r="AO119" s="141"/>
      <c r="AP119" s="141"/>
      <c r="AQ119" s="141"/>
      <c r="AR119" s="141"/>
      <c r="AS119" s="144"/>
      <c r="AT119" s="139"/>
      <c r="AU119" s="144"/>
      <c r="AV119" s="139"/>
      <c r="AW119" s="141"/>
      <c r="AX119" s="141"/>
      <c r="AY119" s="141"/>
      <c r="AZ119" s="144"/>
      <c r="BA119" s="139"/>
      <c r="BB119" s="141"/>
      <c r="BC119" s="141"/>
      <c r="BD119" s="143"/>
    </row>
    <row r="120" spans="1:57" ht="15" customHeight="1">
      <c r="A120" s="136"/>
      <c r="B120" s="40"/>
      <c r="C120" s="62">
        <f>SUM(AB120:AJ120)</f>
        <v>0</v>
      </c>
      <c r="D120" s="63">
        <f>SUM(AK120:AS120)</f>
        <v>0</v>
      </c>
      <c r="E120" s="63">
        <f>SUM(AT120:AU120)</f>
        <v>0</v>
      </c>
      <c r="F120" s="63">
        <f>SUM(AV120:AZ120)</f>
        <v>0</v>
      </c>
      <c r="G120" s="63">
        <f>SUM(BA120:BD120)</f>
        <v>0</v>
      </c>
      <c r="H120" s="63">
        <f>SUM(V120:AA120)</f>
        <v>0</v>
      </c>
      <c r="I120" s="64">
        <f t="shared" si="34"/>
        <v>0</v>
      </c>
      <c r="J120" s="65"/>
      <c r="K120" s="137"/>
      <c r="L120" s="83"/>
      <c r="M120" s="67"/>
      <c r="N120" s="68"/>
      <c r="O120" s="62"/>
      <c r="P120" s="69"/>
      <c r="Q120" s="70"/>
      <c r="R120" s="50">
        <f t="shared" si="35"/>
        <v>0</v>
      </c>
      <c r="S120" s="138"/>
      <c r="T120" s="69"/>
      <c r="U120" s="72"/>
      <c r="V120" s="139"/>
      <c r="W120" s="140"/>
      <c r="X120" s="141"/>
      <c r="Y120" s="141"/>
      <c r="Z120" s="142"/>
      <c r="AA120" s="143"/>
      <c r="AB120" s="139"/>
      <c r="AC120" s="140"/>
      <c r="AD120" s="141"/>
      <c r="AE120" s="141"/>
      <c r="AF120" s="141"/>
      <c r="AG120" s="141"/>
      <c r="AH120" s="141"/>
      <c r="AI120" s="141"/>
      <c r="AJ120" s="144"/>
      <c r="AK120" s="139"/>
      <c r="AL120" s="141"/>
      <c r="AM120" s="141"/>
      <c r="AN120" s="141"/>
      <c r="AO120" s="141"/>
      <c r="AP120" s="141"/>
      <c r="AQ120" s="141"/>
      <c r="AR120" s="141"/>
      <c r="AS120" s="144"/>
      <c r="AT120" s="139"/>
      <c r="AU120" s="144"/>
      <c r="AV120" s="139"/>
      <c r="AW120" s="141"/>
      <c r="AX120" s="141"/>
      <c r="AY120" s="141"/>
      <c r="AZ120" s="144"/>
      <c r="BA120" s="139"/>
      <c r="BB120" s="141"/>
      <c r="BC120" s="141"/>
      <c r="BD120" s="143"/>
      <c r="BE120" s="6">
        <f>I120-SUM(AB120:BD120)</f>
        <v>0</v>
      </c>
    </row>
    <row r="121" spans="1:57" ht="15" customHeight="1">
      <c r="A121" s="136"/>
      <c r="B121" s="40"/>
      <c r="C121" s="146"/>
      <c r="D121" s="147"/>
      <c r="E121" s="147"/>
      <c r="F121" s="147"/>
      <c r="G121" s="147"/>
      <c r="H121" s="147"/>
      <c r="I121" s="148"/>
      <c r="J121" s="149"/>
      <c r="K121" s="150"/>
      <c r="L121" s="151"/>
      <c r="M121" s="152"/>
      <c r="N121" s="153"/>
      <c r="O121" s="146"/>
      <c r="P121" s="154"/>
      <c r="Q121" s="155"/>
      <c r="R121" s="50">
        <f t="shared" si="35"/>
        <v>0</v>
      </c>
      <c r="S121" s="138"/>
      <c r="T121" s="69"/>
      <c r="U121" s="72"/>
      <c r="V121" s="156"/>
      <c r="W121" s="157"/>
      <c r="X121" s="158"/>
      <c r="Y121" s="158"/>
      <c r="Z121" s="159"/>
      <c r="AA121" s="160"/>
      <c r="AB121" s="156"/>
      <c r="AC121" s="157"/>
      <c r="AD121" s="158"/>
      <c r="AE121" s="158"/>
      <c r="AF121" s="158"/>
      <c r="AG121" s="158"/>
      <c r="AH121" s="158"/>
      <c r="AI121" s="158"/>
      <c r="AJ121" s="161"/>
      <c r="AK121" s="156"/>
      <c r="AL121" s="158"/>
      <c r="AM121" s="157"/>
      <c r="AN121" s="158"/>
      <c r="AO121" s="158"/>
      <c r="AP121" s="158"/>
      <c r="AQ121" s="158"/>
      <c r="AR121" s="158"/>
      <c r="AS121" s="161"/>
      <c r="AT121" s="156"/>
      <c r="AU121" s="161"/>
      <c r="AV121" s="156"/>
      <c r="AW121" s="158"/>
      <c r="AX121" s="158"/>
      <c r="AY121" s="158"/>
      <c r="AZ121" s="161"/>
      <c r="BA121" s="156"/>
      <c r="BB121" s="158"/>
      <c r="BC121" s="158"/>
      <c r="BD121" s="160"/>
    </row>
    <row r="122" spans="1:57" s="3" customFormat="1" ht="15" customHeight="1">
      <c r="A122" s="162" t="s">
        <v>119</v>
      </c>
      <c r="B122" s="163"/>
      <c r="C122" s="164">
        <f t="shared" ref="C122:Q122" si="37">SUM(C116:C120)</f>
        <v>0</v>
      </c>
      <c r="D122" s="165">
        <f t="shared" si="37"/>
        <v>0</v>
      </c>
      <c r="E122" s="165">
        <f t="shared" si="37"/>
        <v>0</v>
      </c>
      <c r="F122" s="165">
        <f t="shared" si="37"/>
        <v>0</v>
      </c>
      <c r="G122" s="165">
        <f t="shared" si="37"/>
        <v>0</v>
      </c>
      <c r="H122" s="165">
        <f t="shared" si="37"/>
        <v>0</v>
      </c>
      <c r="I122" s="166">
        <f t="shared" si="37"/>
        <v>0</v>
      </c>
      <c r="J122" s="167">
        <f t="shared" si="37"/>
        <v>0</v>
      </c>
      <c r="K122" s="167">
        <f>SUM(K116:K121)</f>
        <v>0</v>
      </c>
      <c r="L122" s="168">
        <f>SUM(L116:L120)</f>
        <v>0</v>
      </c>
      <c r="M122" s="169">
        <f>SUM(M116:M120)</f>
        <v>0</v>
      </c>
      <c r="N122" s="170">
        <f t="shared" si="37"/>
        <v>0</v>
      </c>
      <c r="O122" s="164"/>
      <c r="P122" s="171">
        <f t="shared" si="37"/>
        <v>0</v>
      </c>
      <c r="Q122" s="172">
        <f t="shared" si="37"/>
        <v>0</v>
      </c>
      <c r="R122" s="173">
        <f t="shared" si="35"/>
        <v>0</v>
      </c>
      <c r="S122" s="174"/>
      <c r="T122" s="171"/>
      <c r="U122" s="175"/>
      <c r="V122" s="176">
        <f>SUM(V116:V120)</f>
        <v>0</v>
      </c>
      <c r="W122" s="177"/>
      <c r="X122" s="178">
        <f>SUM(X116:X120)</f>
        <v>0</v>
      </c>
      <c r="Y122" s="178"/>
      <c r="Z122" s="179">
        <f>SUM(Z116:Z120)</f>
        <v>0</v>
      </c>
      <c r="AA122" s="180">
        <f>SUM(AA116:AA120)</f>
        <v>0</v>
      </c>
      <c r="AB122" s="176">
        <f t="shared" ref="AB122:BD122" si="38">SUM(AB116:AB120)</f>
        <v>0</v>
      </c>
      <c r="AC122" s="177"/>
      <c r="AD122" s="178">
        <f t="shared" si="38"/>
        <v>0</v>
      </c>
      <c r="AE122" s="178">
        <f t="shared" si="38"/>
        <v>0</v>
      </c>
      <c r="AF122" s="178">
        <f t="shared" si="38"/>
        <v>0</v>
      </c>
      <c r="AG122" s="178">
        <f t="shared" si="38"/>
        <v>0</v>
      </c>
      <c r="AH122" s="178">
        <f t="shared" si="38"/>
        <v>0</v>
      </c>
      <c r="AI122" s="178">
        <f t="shared" si="38"/>
        <v>0</v>
      </c>
      <c r="AJ122" s="181">
        <f t="shared" si="38"/>
        <v>0</v>
      </c>
      <c r="AK122" s="176">
        <f t="shared" si="38"/>
        <v>0</v>
      </c>
      <c r="AL122" s="178">
        <f t="shared" si="38"/>
        <v>0</v>
      </c>
      <c r="AM122" s="176">
        <f t="shared" si="38"/>
        <v>0</v>
      </c>
      <c r="AN122" s="178">
        <f t="shared" si="38"/>
        <v>0</v>
      </c>
      <c r="AO122" s="178">
        <f t="shared" si="38"/>
        <v>0</v>
      </c>
      <c r="AP122" s="178">
        <f t="shared" si="38"/>
        <v>0</v>
      </c>
      <c r="AQ122" s="178">
        <f t="shared" si="38"/>
        <v>0</v>
      </c>
      <c r="AR122" s="178">
        <f t="shared" si="38"/>
        <v>0</v>
      </c>
      <c r="AS122" s="181">
        <f t="shared" si="38"/>
        <v>0</v>
      </c>
      <c r="AT122" s="176">
        <f t="shared" si="38"/>
        <v>0</v>
      </c>
      <c r="AU122" s="181">
        <f t="shared" si="38"/>
        <v>0</v>
      </c>
      <c r="AV122" s="176">
        <f t="shared" si="38"/>
        <v>0</v>
      </c>
      <c r="AW122" s="178">
        <f t="shared" si="38"/>
        <v>0</v>
      </c>
      <c r="AX122" s="178">
        <f t="shared" si="38"/>
        <v>0</v>
      </c>
      <c r="AY122" s="178">
        <f t="shared" si="38"/>
        <v>0</v>
      </c>
      <c r="AZ122" s="181">
        <f t="shared" si="38"/>
        <v>0</v>
      </c>
      <c r="BA122" s="176">
        <f t="shared" si="38"/>
        <v>0</v>
      </c>
      <c r="BB122" s="178">
        <f t="shared" si="38"/>
        <v>0</v>
      </c>
      <c r="BC122" s="178">
        <f t="shared" si="38"/>
        <v>0</v>
      </c>
      <c r="BD122" s="180">
        <f t="shared" si="38"/>
        <v>0</v>
      </c>
      <c r="BE122" s="6">
        <f>I122-SUM(AB122:BD122)</f>
        <v>0</v>
      </c>
    </row>
    <row r="123" spans="1:57" s="4" customFormat="1" ht="14.25" customHeight="1">
      <c r="B123" s="5"/>
      <c r="C123" s="182"/>
      <c r="D123" s="182"/>
      <c r="E123" s="182"/>
      <c r="F123" s="182"/>
      <c r="I123" s="183"/>
      <c r="P123" s="2"/>
      <c r="R123" s="183"/>
      <c r="S123" s="183"/>
      <c r="T123" s="2"/>
      <c r="U123" s="2"/>
      <c r="Z123" s="2"/>
      <c r="BE123" s="182"/>
    </row>
    <row r="124" spans="1:57" s="4" customFormat="1" ht="14.25" customHeight="1">
      <c r="B124" s="5"/>
      <c r="C124" s="183"/>
      <c r="D124" s="183"/>
      <c r="E124" s="183"/>
      <c r="F124" s="183"/>
      <c r="G124" s="183"/>
      <c r="H124" s="183"/>
      <c r="I124" s="183"/>
      <c r="J124" s="183"/>
      <c r="K124" s="183"/>
      <c r="L124" s="183"/>
      <c r="M124" s="183"/>
      <c r="N124" s="183"/>
      <c r="O124" s="183"/>
      <c r="P124" s="184"/>
      <c r="Q124" s="183"/>
      <c r="R124" s="183"/>
      <c r="S124" s="183"/>
      <c r="T124" s="184"/>
      <c r="U124" s="184"/>
      <c r="V124" s="183"/>
      <c r="W124" s="183"/>
      <c r="X124" s="183"/>
      <c r="Y124" s="183"/>
      <c r="Z124" s="183"/>
      <c r="AA124" s="183"/>
      <c r="AB124" s="183"/>
      <c r="AC124" s="183"/>
      <c r="AD124" s="183"/>
      <c r="AE124" s="183"/>
      <c r="AF124" s="183"/>
      <c r="AG124" s="183"/>
      <c r="AH124" s="183"/>
      <c r="AI124" s="183"/>
      <c r="AJ124" s="183"/>
      <c r="AK124" s="183"/>
      <c r="AL124" s="183"/>
      <c r="AM124" s="183"/>
      <c r="AN124" s="183"/>
      <c r="AO124" s="183"/>
      <c r="AP124" s="183"/>
      <c r="AQ124" s="183"/>
      <c r="AR124" s="183"/>
      <c r="AS124" s="183"/>
      <c r="AT124" s="183"/>
      <c r="AU124" s="183"/>
      <c r="AV124" s="183"/>
      <c r="AW124" s="183"/>
      <c r="AX124" s="183"/>
      <c r="AY124" s="183"/>
      <c r="AZ124" s="183"/>
      <c r="BA124" s="183"/>
      <c r="BB124" s="183"/>
      <c r="BC124" s="183"/>
      <c r="BD124" s="183"/>
      <c r="BE124" s="182"/>
    </row>
    <row r="125" spans="1:57" ht="31.5" customHeight="1">
      <c r="AB125" s="185"/>
      <c r="AC125" s="185"/>
    </row>
    <row r="126" spans="1:57" ht="21.75" customHeight="1">
      <c r="R126" s="186"/>
      <c r="AB126" s="187"/>
      <c r="AC126" s="187"/>
    </row>
  </sheetData>
  <autoFilter ref="A3:BE126" xr:uid="{00000000-0009-0000-0000-000005000000}"/>
  <mergeCells count="26">
    <mergeCell ref="V2:AA2"/>
    <mergeCell ref="AB2:AJ2"/>
    <mergeCell ref="AK2:AS2"/>
    <mergeCell ref="AT2:AU2"/>
    <mergeCell ref="AV2:AZ2"/>
    <mergeCell ref="BA2:BD2"/>
    <mergeCell ref="A4:B4"/>
    <mergeCell ref="A114:B114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R2:R3"/>
    <mergeCell ref="S2:S3"/>
    <mergeCell ref="T2:T3"/>
    <mergeCell ref="U2:U3"/>
    <mergeCell ref="N2:Q2"/>
  </mergeCells>
  <phoneticPr fontId="46" type="noConversion"/>
  <hyperlinks>
    <hyperlink ref="A1" location="汇总表!A1" display="←返回" xr:uid="{00000000-0004-0000-0500-000000000000}"/>
  </hyperlinks>
  <pageMargins left="0.7" right="0.7" top="0.75" bottom="0.75" header="0.3" footer="0.3"/>
  <pageSetup paperSize="9" orientation="landscape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E126"/>
  <sheetViews>
    <sheetView zoomScale="115" zoomScaleNormal="115" workbookViewId="0">
      <pane xSplit="2" ySplit="4" topLeftCell="C110" activePane="bottomRight" state="frozen"/>
      <selection pane="topRight"/>
      <selection pane="bottomLeft"/>
      <selection pane="bottomRight" activeCell="A31" sqref="A31:XFD40"/>
    </sheetView>
  </sheetViews>
  <sheetFormatPr defaultColWidth="9" defaultRowHeight="17.399999999999999" outlineLevelCol="1"/>
  <cols>
    <col min="1" max="1" width="6.69921875" style="4" customWidth="1"/>
    <col min="2" max="2" width="7" style="5" customWidth="1"/>
    <col min="3" max="6" width="4.8984375" style="6" customWidth="1" outlineLevel="1"/>
    <col min="7" max="8" width="4.8984375" style="7" customWidth="1" outlineLevel="1"/>
    <col min="9" max="9" width="4.8984375" style="7" customWidth="1"/>
    <col min="10" max="10" width="4.09765625" style="7" customWidth="1" outlineLevel="1"/>
    <col min="11" max="11" width="4.19921875" style="7" customWidth="1" outlineLevel="1"/>
    <col min="12" max="13" width="4.8984375" style="7" customWidth="1"/>
    <col min="14" max="15" width="4.8984375" style="7" customWidth="1" outlineLevel="1"/>
    <col min="16" max="16" width="4.8984375" style="8" customWidth="1" outlineLevel="1"/>
    <col min="17" max="17" width="4.8984375" style="7" customWidth="1" outlineLevel="1"/>
    <col min="18" max="18" width="7.59765625" style="7" customWidth="1"/>
    <col min="19" max="19" width="4.69921875" style="7" customWidth="1"/>
    <col min="20" max="20" width="4.09765625" style="8" customWidth="1"/>
    <col min="21" max="21" width="9.5" style="8" customWidth="1"/>
    <col min="22" max="25" width="5.3984375" style="7" customWidth="1" outlineLevel="1"/>
    <col min="26" max="26" width="4.8984375" style="8" customWidth="1" outlineLevel="1"/>
    <col min="27" max="27" width="5.69921875" style="7" customWidth="1" outlineLevel="1"/>
    <col min="28" max="28" width="5.09765625" style="9" customWidth="1" outlineLevel="1"/>
    <col min="29" max="29" width="4.09765625" style="9" customWidth="1" outlineLevel="1"/>
    <col min="30" max="30" width="4.59765625" style="9" customWidth="1" outlineLevel="1"/>
    <col min="31" max="35" width="3.8984375" style="9" customWidth="1" outlineLevel="1"/>
    <col min="36" max="36" width="3.8984375" style="9" customWidth="1"/>
    <col min="37" max="44" width="4.5" style="7" customWidth="1" outlineLevel="1"/>
    <col min="45" max="45" width="4.5" style="7" customWidth="1"/>
    <col min="46" max="47" width="4.8984375" style="7" customWidth="1"/>
    <col min="48" max="48" width="5" style="7" customWidth="1"/>
    <col min="49" max="50" width="4.09765625" style="7" customWidth="1"/>
    <col min="51" max="51" width="4.19921875" style="7" customWidth="1"/>
    <col min="52" max="52" width="4.8984375" style="7" customWidth="1"/>
    <col min="53" max="53" width="6.3984375" style="7" customWidth="1"/>
    <col min="54" max="54" width="6.59765625" style="7" customWidth="1"/>
    <col min="55" max="56" width="4.19921875" style="7" customWidth="1"/>
    <col min="57" max="57" width="2.3984375" style="6" customWidth="1"/>
    <col min="58" max="16384" width="9" style="7"/>
  </cols>
  <sheetData>
    <row r="1" spans="1:57">
      <c r="A1" s="188" t="s">
        <v>93</v>
      </c>
      <c r="R1" s="11"/>
      <c r="S1" s="11"/>
    </row>
    <row r="2" spans="1:57" s="1" customFormat="1" ht="25.5" customHeight="1">
      <c r="A2" s="556" t="s">
        <v>65</v>
      </c>
      <c r="B2" s="558" t="s">
        <v>66</v>
      </c>
      <c r="C2" s="560" t="s">
        <v>68</v>
      </c>
      <c r="D2" s="562" t="s">
        <v>69</v>
      </c>
      <c r="E2" s="564" t="s">
        <v>70</v>
      </c>
      <c r="F2" s="566" t="s">
        <v>71</v>
      </c>
      <c r="G2" s="550" t="s">
        <v>72</v>
      </c>
      <c r="H2" s="569" t="s">
        <v>73</v>
      </c>
      <c r="I2" s="571" t="s">
        <v>74</v>
      </c>
      <c r="J2" s="573" t="s">
        <v>75</v>
      </c>
      <c r="K2" s="575" t="s">
        <v>76</v>
      </c>
      <c r="L2" s="536" t="s">
        <v>100</v>
      </c>
      <c r="M2" s="536" t="s">
        <v>101</v>
      </c>
      <c r="N2" s="577" t="s">
        <v>79</v>
      </c>
      <c r="O2" s="577"/>
      <c r="P2" s="577"/>
      <c r="Q2" s="577"/>
      <c r="R2" s="538" t="s">
        <v>80</v>
      </c>
      <c r="S2" s="540" t="s">
        <v>81</v>
      </c>
      <c r="T2" s="542" t="s">
        <v>82</v>
      </c>
      <c r="U2" s="544" t="s">
        <v>83</v>
      </c>
      <c r="V2" s="578" t="s">
        <v>73</v>
      </c>
      <c r="W2" s="579"/>
      <c r="X2" s="569"/>
      <c r="Y2" s="569"/>
      <c r="Z2" s="569"/>
      <c r="AA2" s="580"/>
      <c r="AB2" s="581" t="s">
        <v>68</v>
      </c>
      <c r="AC2" s="582"/>
      <c r="AD2" s="583"/>
      <c r="AE2" s="583"/>
      <c r="AF2" s="583"/>
      <c r="AG2" s="583"/>
      <c r="AH2" s="583"/>
      <c r="AI2" s="583"/>
      <c r="AJ2" s="584"/>
      <c r="AK2" s="585" t="s">
        <v>69</v>
      </c>
      <c r="AL2" s="586"/>
      <c r="AM2" s="586"/>
      <c r="AN2" s="586"/>
      <c r="AO2" s="586"/>
      <c r="AP2" s="586"/>
      <c r="AQ2" s="586"/>
      <c r="AR2" s="586"/>
      <c r="AS2" s="587"/>
      <c r="AT2" s="588" t="s">
        <v>70</v>
      </c>
      <c r="AU2" s="589"/>
      <c r="AV2" s="546" t="s">
        <v>71</v>
      </c>
      <c r="AW2" s="547"/>
      <c r="AX2" s="547"/>
      <c r="AY2" s="547"/>
      <c r="AZ2" s="548"/>
      <c r="BA2" s="549" t="s">
        <v>84</v>
      </c>
      <c r="BB2" s="550"/>
      <c r="BC2" s="550"/>
      <c r="BD2" s="551"/>
      <c r="BE2" s="12"/>
    </row>
    <row r="3" spans="1:57" s="2" customFormat="1" ht="30" customHeight="1">
      <c r="A3" s="557"/>
      <c r="B3" s="559"/>
      <c r="C3" s="561"/>
      <c r="D3" s="563"/>
      <c r="E3" s="565"/>
      <c r="F3" s="567"/>
      <c r="G3" s="568"/>
      <c r="H3" s="570"/>
      <c r="I3" s="572"/>
      <c r="J3" s="574"/>
      <c r="K3" s="576"/>
      <c r="L3" s="537"/>
      <c r="M3" s="537"/>
      <c r="N3" s="13" t="s">
        <v>102</v>
      </c>
      <c r="O3" s="13" t="s">
        <v>103</v>
      </c>
      <c r="P3" s="13" t="s">
        <v>104</v>
      </c>
      <c r="Q3" s="14" t="s">
        <v>105</v>
      </c>
      <c r="R3" s="539"/>
      <c r="S3" s="541"/>
      <c r="T3" s="543"/>
      <c r="U3" s="545"/>
      <c r="V3" s="15" t="s">
        <v>19</v>
      </c>
      <c r="W3" s="16" t="s">
        <v>106</v>
      </c>
      <c r="X3" s="17" t="s">
        <v>107</v>
      </c>
      <c r="Y3" s="17" t="s">
        <v>108</v>
      </c>
      <c r="Z3" s="17" t="s">
        <v>109</v>
      </c>
      <c r="AA3" s="18" t="s">
        <v>32</v>
      </c>
      <c r="AB3" s="19" t="s">
        <v>110</v>
      </c>
      <c r="AC3" s="19" t="s">
        <v>111</v>
      </c>
      <c r="AD3" s="19" t="s">
        <v>26</v>
      </c>
      <c r="AE3" s="19" t="s">
        <v>27</v>
      </c>
      <c r="AF3" s="19" t="s">
        <v>28</v>
      </c>
      <c r="AG3" s="19" t="s">
        <v>29</v>
      </c>
      <c r="AH3" s="19" t="s">
        <v>30</v>
      </c>
      <c r="AI3" s="19" t="s">
        <v>19</v>
      </c>
      <c r="AJ3" s="20" t="s">
        <v>32</v>
      </c>
      <c r="AK3" s="21" t="s">
        <v>112</v>
      </c>
      <c r="AL3" s="22" t="s">
        <v>113</v>
      </c>
      <c r="AM3" s="22" t="s">
        <v>114</v>
      </c>
      <c r="AN3" s="22" t="s">
        <v>115</v>
      </c>
      <c r="AO3" s="22" t="s">
        <v>19</v>
      </c>
      <c r="AP3" s="22" t="s">
        <v>36</v>
      </c>
      <c r="AQ3" s="22" t="s">
        <v>37</v>
      </c>
      <c r="AR3" s="22" t="s">
        <v>38</v>
      </c>
      <c r="AS3" s="23" t="s">
        <v>32</v>
      </c>
      <c r="AT3" s="24" t="s">
        <v>40</v>
      </c>
      <c r="AU3" s="25" t="s">
        <v>116</v>
      </c>
      <c r="AV3" s="26" t="s">
        <v>51</v>
      </c>
      <c r="AW3" s="27" t="s">
        <v>52</v>
      </c>
      <c r="AX3" s="27" t="s">
        <v>53</v>
      </c>
      <c r="AY3" s="27" t="s">
        <v>86</v>
      </c>
      <c r="AZ3" s="28" t="s">
        <v>87</v>
      </c>
      <c r="BA3" s="29" t="s">
        <v>44</v>
      </c>
      <c r="BB3" s="30" t="s">
        <v>45</v>
      </c>
      <c r="BC3" s="30"/>
      <c r="BD3" s="31"/>
      <c r="BE3" s="32"/>
    </row>
    <row r="4" spans="1:57" s="3" customFormat="1" ht="20.25" customHeight="1">
      <c r="A4" s="552" t="s">
        <v>117</v>
      </c>
      <c r="B4" s="553"/>
      <c r="C4" s="33"/>
      <c r="D4" s="33"/>
      <c r="E4" s="33"/>
      <c r="F4" s="33"/>
      <c r="G4" s="34"/>
      <c r="H4" s="35"/>
      <c r="I4" s="33">
        <v>0</v>
      </c>
      <c r="J4" s="34"/>
      <c r="K4" s="34"/>
      <c r="L4" s="34"/>
      <c r="M4" s="34"/>
      <c r="N4" s="34"/>
      <c r="O4" s="34"/>
      <c r="P4" s="36"/>
      <c r="Q4" s="34"/>
      <c r="R4" s="33">
        <v>0</v>
      </c>
      <c r="S4" s="34"/>
      <c r="T4" s="36"/>
      <c r="U4" s="36"/>
      <c r="V4" s="34"/>
      <c r="W4" s="34"/>
      <c r="X4" s="34"/>
      <c r="Y4" s="34"/>
      <c r="Z4" s="36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34"/>
      <c r="BA4" s="34"/>
      <c r="BB4" s="34"/>
      <c r="BC4" s="34"/>
      <c r="BD4" s="37"/>
      <c r="BE4" s="38"/>
    </row>
    <row r="5" spans="1:57">
      <c r="A5" s="39"/>
      <c r="B5" s="40"/>
      <c r="C5" s="41">
        <f t="shared" ref="C5:C36" si="0">SUM(AB5:AJ5)</f>
        <v>0</v>
      </c>
      <c r="D5" s="42">
        <f t="shared" ref="D5:D36" si="1">SUM(AK5:AS5)</f>
        <v>0</v>
      </c>
      <c r="E5" s="42">
        <f t="shared" ref="E5:E36" si="2">SUM(AT5:AU5)</f>
        <v>0</v>
      </c>
      <c r="F5" s="42">
        <f t="shared" ref="F5:F36" si="3">SUM(AV5:AZ5)</f>
        <v>0</v>
      </c>
      <c r="G5" s="42">
        <f>SUM(BA5:BD5)</f>
        <v>0</v>
      </c>
      <c r="H5" s="42">
        <f t="shared" ref="H5:H36" si="4">SUM(V5:AA5)</f>
        <v>0</v>
      </c>
      <c r="I5" s="43">
        <f>SUM(C5:H5)</f>
        <v>0</v>
      </c>
      <c r="J5" s="44"/>
      <c r="K5" s="44"/>
      <c r="L5" s="45"/>
      <c r="M5" s="46"/>
      <c r="N5" s="47"/>
      <c r="O5" s="41"/>
      <c r="P5" s="48"/>
      <c r="Q5" s="49"/>
      <c r="R5" s="50">
        <f>R4+SUM(N5:Q5)-SUM(I5:M5)</f>
        <v>0</v>
      </c>
      <c r="S5" s="51"/>
      <c r="T5" s="52"/>
      <c r="U5" s="53"/>
      <c r="V5" s="54"/>
      <c r="W5" s="55"/>
      <c r="X5" s="56"/>
      <c r="Y5" s="56"/>
      <c r="Z5" s="57"/>
      <c r="AA5" s="58"/>
      <c r="AB5" s="54"/>
      <c r="AC5" s="55"/>
      <c r="AD5" s="56"/>
      <c r="AE5" s="56"/>
      <c r="AF5" s="56"/>
      <c r="AG5" s="56"/>
      <c r="AH5" s="56"/>
      <c r="AI5" s="56"/>
      <c r="AJ5" s="59"/>
      <c r="AK5" s="60"/>
      <c r="AL5" s="56"/>
      <c r="AM5" s="56"/>
      <c r="AN5" s="56"/>
      <c r="AO5" s="56"/>
      <c r="AP5" s="56"/>
      <c r="AQ5" s="56"/>
      <c r="AR5" s="56"/>
      <c r="AS5" s="58"/>
      <c r="AT5" s="55"/>
      <c r="AU5" s="59"/>
      <c r="AV5" s="60"/>
      <c r="AW5" s="56"/>
      <c r="AX5" s="56"/>
      <c r="AY5" s="56"/>
      <c r="AZ5" s="58"/>
      <c r="BA5" s="55"/>
      <c r="BB5" s="56"/>
      <c r="BC5" s="56"/>
      <c r="BD5" s="58"/>
      <c r="BE5" s="6">
        <f t="shared" ref="BE5:BE45" si="5">I5-SUM(AB5:BD5)</f>
        <v>0</v>
      </c>
    </row>
    <row r="6" spans="1:57">
      <c r="A6" s="61"/>
      <c r="B6" s="40"/>
      <c r="C6" s="62">
        <f t="shared" si="0"/>
        <v>0</v>
      </c>
      <c r="D6" s="63">
        <f t="shared" si="1"/>
        <v>0</v>
      </c>
      <c r="E6" s="63">
        <f t="shared" si="2"/>
        <v>0</v>
      </c>
      <c r="F6" s="63">
        <f t="shared" si="3"/>
        <v>0</v>
      </c>
      <c r="G6" s="63">
        <f t="shared" ref="G6:G69" si="6">SUM(BA6:BD6)</f>
        <v>0</v>
      </c>
      <c r="H6" s="63">
        <f t="shared" si="4"/>
        <v>0</v>
      </c>
      <c r="I6" s="64">
        <f t="shared" ref="I6:I69" si="7">SUM(C6:H6)</f>
        <v>0</v>
      </c>
      <c r="J6" s="65"/>
      <c r="K6" s="65"/>
      <c r="L6" s="66"/>
      <c r="M6" s="67"/>
      <c r="N6" s="68"/>
      <c r="O6" s="62"/>
      <c r="P6" s="69"/>
      <c r="Q6" s="70"/>
      <c r="R6" s="50">
        <f t="shared" ref="R6:R69" si="8">R5+SUM(N6:Q6)-SUM(I6:M6)</f>
        <v>0</v>
      </c>
      <c r="S6" s="71"/>
      <c r="T6" s="69"/>
      <c r="U6" s="72"/>
      <c r="V6" s="73"/>
      <c r="W6" s="74"/>
      <c r="X6" s="75"/>
      <c r="Y6" s="75"/>
      <c r="Z6" s="76"/>
      <c r="AA6" s="77"/>
      <c r="AB6" s="73"/>
      <c r="AC6" s="74"/>
      <c r="AD6" s="75"/>
      <c r="AE6" s="75"/>
      <c r="AF6" s="75"/>
      <c r="AG6" s="75"/>
      <c r="AI6" s="75"/>
      <c r="AJ6" s="78"/>
      <c r="AK6" s="79"/>
      <c r="AL6" s="75"/>
      <c r="AM6" s="75"/>
      <c r="AN6" s="75"/>
      <c r="AO6" s="75"/>
      <c r="AP6" s="75"/>
      <c r="AQ6" s="75"/>
      <c r="AR6" s="75"/>
      <c r="AS6" s="77"/>
      <c r="AT6" s="74"/>
      <c r="AU6" s="78"/>
      <c r="AV6" s="79"/>
      <c r="AW6" s="75"/>
      <c r="AX6" s="75"/>
      <c r="AY6" s="75"/>
      <c r="AZ6" s="77"/>
      <c r="BA6" s="74"/>
      <c r="BB6" s="75"/>
      <c r="BC6" s="75"/>
      <c r="BD6" s="77"/>
      <c r="BE6" s="6">
        <f t="shared" si="5"/>
        <v>0</v>
      </c>
    </row>
    <row r="7" spans="1:57">
      <c r="A7" s="61"/>
      <c r="B7" s="40"/>
      <c r="C7" s="62">
        <f t="shared" si="0"/>
        <v>0</v>
      </c>
      <c r="D7" s="63">
        <f t="shared" si="1"/>
        <v>0</v>
      </c>
      <c r="E7" s="63">
        <f t="shared" si="2"/>
        <v>0</v>
      </c>
      <c r="F7" s="63">
        <f t="shared" si="3"/>
        <v>0</v>
      </c>
      <c r="G7" s="63">
        <f t="shared" si="6"/>
        <v>0</v>
      </c>
      <c r="H7" s="63">
        <f t="shared" si="4"/>
        <v>0</v>
      </c>
      <c r="I7" s="64">
        <f t="shared" si="7"/>
        <v>0</v>
      </c>
      <c r="J7" s="65"/>
      <c r="K7" s="65"/>
      <c r="L7" s="80"/>
      <c r="M7" s="67"/>
      <c r="N7" s="68"/>
      <c r="O7" s="62"/>
      <c r="P7" s="69"/>
      <c r="Q7" s="70"/>
      <c r="R7" s="50">
        <f t="shared" si="8"/>
        <v>0</v>
      </c>
      <c r="S7" s="71"/>
      <c r="T7" s="69"/>
      <c r="U7" s="72"/>
      <c r="V7" s="73"/>
      <c r="W7" s="74"/>
      <c r="X7" s="75"/>
      <c r="Y7" s="75"/>
      <c r="Z7" s="76"/>
      <c r="AA7" s="77"/>
      <c r="AB7" s="73"/>
      <c r="AC7" s="74"/>
      <c r="AD7" s="75"/>
      <c r="AE7" s="75"/>
      <c r="AF7" s="75"/>
      <c r="AG7" s="75"/>
      <c r="AH7" s="75"/>
      <c r="AI7" s="75"/>
      <c r="AJ7" s="78"/>
      <c r="AK7" s="79"/>
      <c r="AL7" s="75"/>
      <c r="AM7" s="75"/>
      <c r="AN7" s="75"/>
      <c r="AO7" s="75"/>
      <c r="AP7" s="75"/>
      <c r="AQ7" s="75"/>
      <c r="AR7" s="75"/>
      <c r="AS7" s="77"/>
      <c r="AT7" s="74"/>
      <c r="AU7" s="78"/>
      <c r="AV7" s="79"/>
      <c r="AW7" s="75"/>
      <c r="AX7" s="75"/>
      <c r="AY7" s="75"/>
      <c r="AZ7" s="77"/>
      <c r="BA7" s="74"/>
      <c r="BB7" s="75"/>
      <c r="BC7" s="75"/>
      <c r="BD7" s="77"/>
      <c r="BE7" s="6">
        <f t="shared" si="5"/>
        <v>0</v>
      </c>
    </row>
    <row r="8" spans="1:57">
      <c r="A8" s="61"/>
      <c r="B8" s="40"/>
      <c r="C8" s="62">
        <f t="shared" si="0"/>
        <v>0</v>
      </c>
      <c r="D8" s="42">
        <f t="shared" si="1"/>
        <v>0</v>
      </c>
      <c r="E8" s="63">
        <f t="shared" si="2"/>
        <v>0</v>
      </c>
      <c r="F8" s="63">
        <f t="shared" si="3"/>
        <v>0</v>
      </c>
      <c r="G8" s="63">
        <f t="shared" si="6"/>
        <v>0</v>
      </c>
      <c r="H8" s="63">
        <f t="shared" si="4"/>
        <v>0</v>
      </c>
      <c r="I8" s="64">
        <f t="shared" si="7"/>
        <v>0</v>
      </c>
      <c r="J8" s="65"/>
      <c r="K8" s="65"/>
      <c r="L8" s="80"/>
      <c r="M8" s="67"/>
      <c r="N8" s="68"/>
      <c r="O8" s="41"/>
      <c r="P8" s="48"/>
      <c r="Q8" s="70"/>
      <c r="R8" s="50">
        <f t="shared" si="8"/>
        <v>0</v>
      </c>
      <c r="S8" s="71"/>
      <c r="T8" s="69"/>
      <c r="U8" s="81"/>
      <c r="V8" s="73"/>
      <c r="W8" s="74"/>
      <c r="X8" s="75"/>
      <c r="Y8" s="75"/>
      <c r="Z8" s="76"/>
      <c r="AA8" s="77"/>
      <c r="AB8" s="73"/>
      <c r="AC8" s="74"/>
      <c r="AD8" s="75"/>
      <c r="AE8" s="75"/>
      <c r="AF8" s="75"/>
      <c r="AG8" s="75"/>
      <c r="AH8" s="75"/>
      <c r="AI8" s="75"/>
      <c r="AJ8" s="78"/>
      <c r="AK8" s="79"/>
      <c r="AL8" s="75"/>
      <c r="AM8" s="75"/>
      <c r="AN8" s="75"/>
      <c r="AO8" s="75"/>
      <c r="AP8" s="75"/>
      <c r="AQ8" s="75"/>
      <c r="AR8" s="75"/>
      <c r="AS8" s="77"/>
      <c r="AT8" s="74"/>
      <c r="AU8" s="78"/>
      <c r="AV8" s="79"/>
      <c r="AW8" s="75"/>
      <c r="AX8" s="75"/>
      <c r="AY8" s="75"/>
      <c r="AZ8" s="77"/>
      <c r="BA8" s="74"/>
      <c r="BB8" s="75"/>
      <c r="BC8" s="75"/>
      <c r="BD8" s="77"/>
      <c r="BE8" s="6">
        <f t="shared" si="5"/>
        <v>0</v>
      </c>
    </row>
    <row r="9" spans="1:57">
      <c r="A9" s="61"/>
      <c r="B9" s="40"/>
      <c r="C9" s="62">
        <f t="shared" si="0"/>
        <v>0</v>
      </c>
      <c r="D9" s="63">
        <f t="shared" si="1"/>
        <v>0</v>
      </c>
      <c r="E9" s="63">
        <f t="shared" si="2"/>
        <v>0</v>
      </c>
      <c r="F9" s="63">
        <f t="shared" si="3"/>
        <v>0</v>
      </c>
      <c r="G9" s="63">
        <f t="shared" si="6"/>
        <v>0</v>
      </c>
      <c r="H9" s="63">
        <f t="shared" si="4"/>
        <v>0</v>
      </c>
      <c r="I9" s="64">
        <f t="shared" si="7"/>
        <v>0</v>
      </c>
      <c r="J9" s="65"/>
      <c r="K9" s="65"/>
      <c r="L9" s="80"/>
      <c r="M9" s="67"/>
      <c r="N9" s="68"/>
      <c r="O9" s="41"/>
      <c r="P9" s="48"/>
      <c r="Q9" s="70"/>
      <c r="R9" s="50">
        <f t="shared" si="8"/>
        <v>0</v>
      </c>
      <c r="S9" s="71"/>
      <c r="T9" s="69"/>
      <c r="U9" s="81"/>
      <c r="V9" s="73"/>
      <c r="W9" s="74"/>
      <c r="X9" s="75"/>
      <c r="Y9" s="75"/>
      <c r="Z9" s="76"/>
      <c r="AA9" s="77"/>
      <c r="AB9" s="73"/>
      <c r="AC9" s="74"/>
      <c r="AD9" s="75"/>
      <c r="AE9" s="75"/>
      <c r="AF9" s="75"/>
      <c r="AG9" s="75"/>
      <c r="AH9" s="75"/>
      <c r="AI9" s="75"/>
      <c r="AJ9" s="78"/>
      <c r="AK9" s="79"/>
      <c r="AL9" s="75"/>
      <c r="AM9" s="75"/>
      <c r="AN9" s="75"/>
      <c r="AO9" s="75"/>
      <c r="AP9" s="75"/>
      <c r="AQ9" s="75"/>
      <c r="AR9" s="75"/>
      <c r="AS9" s="77"/>
      <c r="AT9" s="74"/>
      <c r="AU9" s="78"/>
      <c r="AV9" s="79"/>
      <c r="AW9" s="75"/>
      <c r="AX9" s="75"/>
      <c r="AY9" s="75"/>
      <c r="AZ9" s="77"/>
      <c r="BA9" s="74"/>
      <c r="BB9" s="75"/>
      <c r="BC9" s="75"/>
      <c r="BD9" s="77"/>
      <c r="BE9" s="6">
        <f t="shared" si="5"/>
        <v>0</v>
      </c>
    </row>
    <row r="10" spans="1:57">
      <c r="A10" s="61"/>
      <c r="B10" s="40"/>
      <c r="C10" s="62">
        <f t="shared" si="0"/>
        <v>0</v>
      </c>
      <c r="D10" s="63">
        <f t="shared" si="1"/>
        <v>0</v>
      </c>
      <c r="E10" s="63">
        <f t="shared" si="2"/>
        <v>0</v>
      </c>
      <c r="F10" s="63">
        <f t="shared" si="3"/>
        <v>0</v>
      </c>
      <c r="G10" s="63">
        <f t="shared" si="6"/>
        <v>0</v>
      </c>
      <c r="H10" s="63">
        <f t="shared" si="4"/>
        <v>0</v>
      </c>
      <c r="I10" s="64">
        <f t="shared" si="7"/>
        <v>0</v>
      </c>
      <c r="J10" s="65"/>
      <c r="K10" s="65"/>
      <c r="L10" s="80"/>
      <c r="M10" s="67"/>
      <c r="N10" s="68"/>
      <c r="O10" s="41"/>
      <c r="P10" s="48"/>
      <c r="Q10" s="70"/>
      <c r="R10" s="50">
        <f t="shared" si="8"/>
        <v>0</v>
      </c>
      <c r="S10" s="71"/>
      <c r="T10" s="69"/>
      <c r="U10" s="81"/>
      <c r="V10" s="73"/>
      <c r="W10" s="74"/>
      <c r="X10" s="75"/>
      <c r="Y10" s="75"/>
      <c r="Z10" s="76"/>
      <c r="AA10" s="77"/>
      <c r="AB10" s="73"/>
      <c r="AC10" s="74"/>
      <c r="AD10" s="75"/>
      <c r="AE10" s="75"/>
      <c r="AF10" s="75"/>
      <c r="AG10" s="75"/>
      <c r="AH10" s="75"/>
      <c r="AI10" s="75"/>
      <c r="AJ10" s="78"/>
      <c r="AK10" s="79"/>
      <c r="AL10" s="75"/>
      <c r="AM10" s="75"/>
      <c r="AN10" s="75"/>
      <c r="AO10" s="75"/>
      <c r="AP10" s="75"/>
      <c r="AQ10" s="75"/>
      <c r="AR10" s="75"/>
      <c r="AS10" s="77"/>
      <c r="AT10" s="74"/>
      <c r="AU10" s="78"/>
      <c r="AV10" s="79"/>
      <c r="AW10" s="75"/>
      <c r="AX10" s="75"/>
      <c r="AY10" s="75"/>
      <c r="AZ10" s="77"/>
      <c r="BA10" s="74"/>
      <c r="BB10" s="75"/>
      <c r="BC10" s="75"/>
      <c r="BD10" s="77"/>
      <c r="BE10" s="6">
        <f t="shared" si="5"/>
        <v>0</v>
      </c>
    </row>
    <row r="11" spans="1:57">
      <c r="A11" s="61"/>
      <c r="B11" s="40"/>
      <c r="C11" s="62">
        <f t="shared" si="0"/>
        <v>0</v>
      </c>
      <c r="D11" s="63">
        <f t="shared" si="1"/>
        <v>0</v>
      </c>
      <c r="E11" s="63">
        <f t="shared" si="2"/>
        <v>0</v>
      </c>
      <c r="F11" s="63">
        <f t="shared" si="3"/>
        <v>0</v>
      </c>
      <c r="G11" s="63">
        <f t="shared" si="6"/>
        <v>0</v>
      </c>
      <c r="H11" s="63">
        <f t="shared" si="4"/>
        <v>0</v>
      </c>
      <c r="I11" s="64">
        <f t="shared" si="7"/>
        <v>0</v>
      </c>
      <c r="J11" s="65"/>
      <c r="K11" s="65"/>
      <c r="L11" s="80"/>
      <c r="M11" s="67"/>
      <c r="N11" s="68"/>
      <c r="O11" s="41"/>
      <c r="P11" s="48"/>
      <c r="Q11" s="70"/>
      <c r="R11" s="50">
        <f t="shared" si="8"/>
        <v>0</v>
      </c>
      <c r="S11" s="82"/>
      <c r="T11" s="69"/>
      <c r="U11" s="81"/>
      <c r="V11" s="73"/>
      <c r="W11" s="74"/>
      <c r="X11" s="75"/>
      <c r="Y11" s="75"/>
      <c r="Z11" s="76"/>
      <c r="AA11" s="77"/>
      <c r="AB11" s="73"/>
      <c r="AC11" s="74"/>
      <c r="AD11" s="75"/>
      <c r="AE11" s="75"/>
      <c r="AF11" s="75"/>
      <c r="AG11" s="75"/>
      <c r="AH11" s="75"/>
      <c r="AI11" s="75"/>
      <c r="AJ11" s="78"/>
      <c r="AK11" s="79"/>
      <c r="AL11" s="75"/>
      <c r="AM11" s="75"/>
      <c r="AN11" s="75"/>
      <c r="AO11" s="75"/>
      <c r="AP11" s="75"/>
      <c r="AQ11" s="75"/>
      <c r="AR11" s="75"/>
      <c r="AS11" s="77"/>
      <c r="AT11" s="74"/>
      <c r="AU11" s="78"/>
      <c r="AV11" s="79"/>
      <c r="AW11" s="75"/>
      <c r="AX11" s="75"/>
      <c r="AY11" s="75"/>
      <c r="AZ11" s="77"/>
      <c r="BA11" s="74"/>
      <c r="BB11" s="75"/>
      <c r="BC11" s="75"/>
      <c r="BD11" s="77"/>
      <c r="BE11" s="6">
        <f t="shared" si="5"/>
        <v>0</v>
      </c>
    </row>
    <row r="12" spans="1:57">
      <c r="A12" s="61"/>
      <c r="B12" s="40"/>
      <c r="C12" s="62">
        <f t="shared" si="0"/>
        <v>0</v>
      </c>
      <c r="D12" s="63">
        <f t="shared" si="1"/>
        <v>0</v>
      </c>
      <c r="E12" s="63">
        <f t="shared" si="2"/>
        <v>0</v>
      </c>
      <c r="F12" s="63">
        <f t="shared" si="3"/>
        <v>0</v>
      </c>
      <c r="G12" s="63">
        <f t="shared" si="6"/>
        <v>0</v>
      </c>
      <c r="H12" s="63">
        <f t="shared" si="4"/>
        <v>0</v>
      </c>
      <c r="I12" s="64">
        <f t="shared" si="7"/>
        <v>0</v>
      </c>
      <c r="J12" s="65"/>
      <c r="K12" s="65"/>
      <c r="L12" s="83"/>
      <c r="M12" s="67"/>
      <c r="N12" s="68"/>
      <c r="O12" s="62"/>
      <c r="P12" s="69"/>
      <c r="Q12" s="70"/>
      <c r="R12" s="50">
        <f t="shared" si="8"/>
        <v>0</v>
      </c>
      <c r="S12" s="71"/>
      <c r="T12" s="69"/>
      <c r="U12" s="81"/>
      <c r="V12" s="73"/>
      <c r="W12" s="74"/>
      <c r="X12" s="75"/>
      <c r="Y12" s="75"/>
      <c r="Z12" s="76"/>
      <c r="AA12" s="77"/>
      <c r="AB12" s="73"/>
      <c r="AC12" s="74"/>
      <c r="AD12" s="75"/>
      <c r="AE12" s="75"/>
      <c r="AF12" s="75"/>
      <c r="AG12" s="75"/>
      <c r="AH12" s="75"/>
      <c r="AI12" s="75"/>
      <c r="AJ12" s="78"/>
      <c r="AK12" s="79"/>
      <c r="AL12" s="75"/>
      <c r="AM12" s="75"/>
      <c r="AN12" s="75"/>
      <c r="AO12" s="75"/>
      <c r="AP12" s="75"/>
      <c r="AQ12" s="75"/>
      <c r="AR12" s="75"/>
      <c r="AS12" s="77"/>
      <c r="AT12" s="74"/>
      <c r="AU12" s="78"/>
      <c r="AV12" s="79"/>
      <c r="AW12" s="75"/>
      <c r="AX12" s="75"/>
      <c r="AY12" s="75"/>
      <c r="AZ12" s="77"/>
      <c r="BA12" s="74"/>
      <c r="BB12" s="75"/>
      <c r="BC12" s="75"/>
      <c r="BD12" s="77"/>
      <c r="BE12" s="6">
        <f t="shared" si="5"/>
        <v>0</v>
      </c>
    </row>
    <row r="13" spans="1:57">
      <c r="A13" s="61"/>
      <c r="B13" s="40"/>
      <c r="C13" s="62">
        <f t="shared" si="0"/>
        <v>0</v>
      </c>
      <c r="D13" s="63">
        <f t="shared" si="1"/>
        <v>0</v>
      </c>
      <c r="E13" s="63">
        <f t="shared" si="2"/>
        <v>0</v>
      </c>
      <c r="F13" s="63">
        <f t="shared" si="3"/>
        <v>0</v>
      </c>
      <c r="G13" s="63">
        <f t="shared" si="6"/>
        <v>0</v>
      </c>
      <c r="H13" s="63">
        <f t="shared" si="4"/>
        <v>0</v>
      </c>
      <c r="I13" s="64">
        <f t="shared" si="7"/>
        <v>0</v>
      </c>
      <c r="J13" s="65"/>
      <c r="K13" s="65"/>
      <c r="L13" s="83"/>
      <c r="M13" s="67"/>
      <c r="N13" s="68"/>
      <c r="O13" s="41"/>
      <c r="P13" s="48"/>
      <c r="Q13" s="70"/>
      <c r="R13" s="50">
        <f t="shared" si="8"/>
        <v>0</v>
      </c>
      <c r="S13" s="71"/>
      <c r="T13" s="69"/>
      <c r="U13" s="81"/>
      <c r="V13" s="73"/>
      <c r="W13" s="74"/>
      <c r="X13" s="75"/>
      <c r="Y13" s="75"/>
      <c r="Z13" s="76"/>
      <c r="AA13" s="77"/>
      <c r="AB13" s="73"/>
      <c r="AC13" s="74"/>
      <c r="AD13" s="75"/>
      <c r="AE13" s="75"/>
      <c r="AF13" s="75"/>
      <c r="AG13" s="75"/>
      <c r="AH13" s="75"/>
      <c r="AI13" s="75"/>
      <c r="AJ13" s="78"/>
      <c r="AK13" s="79"/>
      <c r="AL13" s="75"/>
      <c r="AM13" s="75"/>
      <c r="AN13" s="75"/>
      <c r="AO13" s="75"/>
      <c r="AP13" s="75"/>
      <c r="AQ13" s="75"/>
      <c r="AR13" s="75"/>
      <c r="AS13" s="77"/>
      <c r="AT13" s="74"/>
      <c r="AU13" s="78"/>
      <c r="AV13" s="79"/>
      <c r="AW13" s="75"/>
      <c r="AX13" s="75"/>
      <c r="AY13" s="75"/>
      <c r="AZ13" s="77"/>
      <c r="BA13" s="74"/>
      <c r="BB13" s="75"/>
      <c r="BC13" s="75"/>
      <c r="BD13" s="77"/>
      <c r="BE13" s="6">
        <f t="shared" si="5"/>
        <v>0</v>
      </c>
    </row>
    <row r="14" spans="1:57">
      <c r="A14" s="61"/>
      <c r="B14" s="40"/>
      <c r="C14" s="62">
        <f t="shared" si="0"/>
        <v>0</v>
      </c>
      <c r="D14" s="63">
        <f t="shared" si="1"/>
        <v>0</v>
      </c>
      <c r="E14" s="63">
        <f t="shared" si="2"/>
        <v>0</v>
      </c>
      <c r="F14" s="63">
        <f t="shared" si="3"/>
        <v>0</v>
      </c>
      <c r="G14" s="63">
        <f t="shared" si="6"/>
        <v>0</v>
      </c>
      <c r="H14" s="63">
        <f t="shared" si="4"/>
        <v>0</v>
      </c>
      <c r="I14" s="64">
        <f t="shared" si="7"/>
        <v>0</v>
      </c>
      <c r="J14" s="65"/>
      <c r="K14" s="65"/>
      <c r="L14" s="83"/>
      <c r="M14" s="67"/>
      <c r="N14" s="68"/>
      <c r="O14" s="41"/>
      <c r="P14" s="48"/>
      <c r="Q14" s="70"/>
      <c r="R14" s="50">
        <f t="shared" si="8"/>
        <v>0</v>
      </c>
      <c r="S14" s="71"/>
      <c r="T14" s="69"/>
      <c r="U14" s="81"/>
      <c r="V14" s="73"/>
      <c r="W14" s="74"/>
      <c r="X14" s="75"/>
      <c r="Y14" s="75"/>
      <c r="Z14" s="76"/>
      <c r="AA14" s="77"/>
      <c r="AB14" s="73"/>
      <c r="AC14" s="74"/>
      <c r="AD14" s="75"/>
      <c r="AE14" s="75"/>
      <c r="AF14" s="75"/>
      <c r="AG14" s="75"/>
      <c r="AH14" s="75"/>
      <c r="AI14" s="75"/>
      <c r="AJ14" s="78"/>
      <c r="AK14" s="79"/>
      <c r="AL14" s="75"/>
      <c r="AM14" s="75"/>
      <c r="AN14" s="75"/>
      <c r="AO14" s="75"/>
      <c r="AP14" s="75"/>
      <c r="AQ14" s="75"/>
      <c r="AR14" s="75"/>
      <c r="AS14" s="77"/>
      <c r="AT14" s="74"/>
      <c r="AU14" s="78"/>
      <c r="AV14" s="79"/>
      <c r="AW14" s="75"/>
      <c r="AX14" s="75"/>
      <c r="AY14" s="75"/>
      <c r="AZ14" s="77"/>
      <c r="BA14" s="74"/>
      <c r="BB14" s="75"/>
      <c r="BC14" s="75"/>
      <c r="BD14" s="77"/>
      <c r="BE14" s="6">
        <f t="shared" si="5"/>
        <v>0</v>
      </c>
    </row>
    <row r="15" spans="1:57">
      <c r="A15" s="61"/>
      <c r="B15" s="40"/>
      <c r="C15" s="62">
        <f t="shared" si="0"/>
        <v>0</v>
      </c>
      <c r="D15" s="63">
        <f t="shared" si="1"/>
        <v>0</v>
      </c>
      <c r="E15" s="63">
        <f t="shared" si="2"/>
        <v>0</v>
      </c>
      <c r="F15" s="63">
        <f t="shared" si="3"/>
        <v>0</v>
      </c>
      <c r="G15" s="63">
        <f t="shared" si="6"/>
        <v>0</v>
      </c>
      <c r="H15" s="63">
        <f t="shared" si="4"/>
        <v>0</v>
      </c>
      <c r="I15" s="64">
        <f t="shared" si="7"/>
        <v>0</v>
      </c>
      <c r="J15" s="65"/>
      <c r="K15" s="65"/>
      <c r="L15" s="83"/>
      <c r="M15" s="67"/>
      <c r="N15" s="68"/>
      <c r="O15" s="41"/>
      <c r="P15" s="48"/>
      <c r="Q15" s="70"/>
      <c r="R15" s="50">
        <f t="shared" si="8"/>
        <v>0</v>
      </c>
      <c r="S15" s="71"/>
      <c r="T15" s="69"/>
      <c r="U15" s="81"/>
      <c r="V15" s="73"/>
      <c r="W15" s="74"/>
      <c r="X15" s="75"/>
      <c r="Y15" s="75"/>
      <c r="Z15" s="76"/>
      <c r="AA15" s="77"/>
      <c r="AB15" s="73"/>
      <c r="AC15" s="74"/>
      <c r="AD15" s="75"/>
      <c r="AE15" s="75"/>
      <c r="AF15" s="75"/>
      <c r="AG15" s="75"/>
      <c r="AH15" s="75"/>
      <c r="AI15" s="75"/>
      <c r="AJ15" s="78"/>
      <c r="AK15" s="79"/>
      <c r="AL15" s="75"/>
      <c r="AM15" s="75"/>
      <c r="AN15" s="75"/>
      <c r="AO15" s="75"/>
      <c r="AP15" s="75"/>
      <c r="AQ15" s="75"/>
      <c r="AR15" s="75"/>
      <c r="AS15" s="77"/>
      <c r="AT15" s="74"/>
      <c r="AU15" s="78"/>
      <c r="AV15" s="79"/>
      <c r="AW15" s="75"/>
      <c r="AX15" s="75"/>
      <c r="AY15" s="75"/>
      <c r="AZ15" s="77"/>
      <c r="BA15" s="74"/>
      <c r="BB15" s="75"/>
      <c r="BC15" s="75"/>
      <c r="BD15" s="77"/>
      <c r="BE15" s="6">
        <f t="shared" si="5"/>
        <v>0</v>
      </c>
    </row>
    <row r="16" spans="1:57">
      <c r="A16" s="61"/>
      <c r="B16" s="40"/>
      <c r="C16" s="62">
        <f t="shared" si="0"/>
        <v>0</v>
      </c>
      <c r="D16" s="63">
        <f t="shared" si="1"/>
        <v>0</v>
      </c>
      <c r="E16" s="63">
        <f t="shared" si="2"/>
        <v>0</v>
      </c>
      <c r="F16" s="63">
        <f t="shared" si="3"/>
        <v>0</v>
      </c>
      <c r="G16" s="63">
        <f t="shared" si="6"/>
        <v>0</v>
      </c>
      <c r="H16" s="63">
        <f t="shared" si="4"/>
        <v>0</v>
      </c>
      <c r="I16" s="64">
        <f t="shared" si="7"/>
        <v>0</v>
      </c>
      <c r="J16" s="65"/>
      <c r="K16" s="65"/>
      <c r="L16" s="83"/>
      <c r="M16" s="67"/>
      <c r="N16" s="68"/>
      <c r="O16" s="41"/>
      <c r="P16" s="48"/>
      <c r="Q16" s="70"/>
      <c r="R16" s="50">
        <f t="shared" si="8"/>
        <v>0</v>
      </c>
      <c r="S16" s="71"/>
      <c r="T16" s="69"/>
      <c r="U16" s="81"/>
      <c r="V16" s="73"/>
      <c r="W16" s="74"/>
      <c r="X16" s="75"/>
      <c r="Y16" s="75"/>
      <c r="Z16" s="76"/>
      <c r="AA16" s="77"/>
      <c r="AB16" s="73"/>
      <c r="AC16" s="74"/>
      <c r="AD16" s="75"/>
      <c r="AE16" s="75"/>
      <c r="AF16" s="75"/>
      <c r="AG16" s="75"/>
      <c r="AH16" s="75"/>
      <c r="AI16" s="75"/>
      <c r="AJ16" s="78"/>
      <c r="AK16" s="79"/>
      <c r="AL16" s="75"/>
      <c r="AM16" s="75"/>
      <c r="AN16" s="75"/>
      <c r="AO16" s="75"/>
      <c r="AP16" s="75"/>
      <c r="AQ16" s="75"/>
      <c r="AR16" s="75"/>
      <c r="AS16" s="77"/>
      <c r="AT16" s="74"/>
      <c r="AU16" s="78"/>
      <c r="AV16" s="79"/>
      <c r="AW16" s="75"/>
      <c r="AX16" s="75"/>
      <c r="AY16" s="75"/>
      <c r="AZ16" s="77"/>
      <c r="BA16" s="74"/>
      <c r="BB16" s="75"/>
      <c r="BC16" s="75"/>
      <c r="BD16" s="77"/>
      <c r="BE16" s="6">
        <f t="shared" si="5"/>
        <v>0</v>
      </c>
    </row>
    <row r="17" spans="1:57">
      <c r="A17" s="61"/>
      <c r="B17" s="40"/>
      <c r="C17" s="62">
        <f t="shared" si="0"/>
        <v>0</v>
      </c>
      <c r="D17" s="63">
        <f t="shared" si="1"/>
        <v>0</v>
      </c>
      <c r="E17" s="63">
        <f t="shared" si="2"/>
        <v>0</v>
      </c>
      <c r="F17" s="63">
        <f t="shared" si="3"/>
        <v>0</v>
      </c>
      <c r="G17" s="63">
        <f t="shared" si="6"/>
        <v>0</v>
      </c>
      <c r="H17" s="63">
        <f t="shared" si="4"/>
        <v>0</v>
      </c>
      <c r="I17" s="64">
        <f t="shared" si="7"/>
        <v>0</v>
      </c>
      <c r="J17" s="65"/>
      <c r="K17" s="65"/>
      <c r="L17" s="83"/>
      <c r="M17" s="67"/>
      <c r="N17" s="68"/>
      <c r="O17" s="62"/>
      <c r="P17" s="69"/>
      <c r="Q17" s="70"/>
      <c r="R17" s="50">
        <f t="shared" si="8"/>
        <v>0</v>
      </c>
      <c r="S17" s="71"/>
      <c r="T17" s="69"/>
      <c r="U17" s="81"/>
      <c r="V17" s="73"/>
      <c r="W17" s="74"/>
      <c r="X17" s="75"/>
      <c r="Y17" s="75"/>
      <c r="Z17" s="76"/>
      <c r="AA17" s="77"/>
      <c r="AB17" s="73"/>
      <c r="AC17" s="74"/>
      <c r="AD17" s="75"/>
      <c r="AE17" s="75"/>
      <c r="AF17" s="75"/>
      <c r="AG17" s="75"/>
      <c r="AH17" s="75"/>
      <c r="AI17" s="75"/>
      <c r="AJ17" s="78"/>
      <c r="AK17" s="79"/>
      <c r="AL17" s="75"/>
      <c r="AM17" s="75"/>
      <c r="AN17" s="75"/>
      <c r="AO17" s="75"/>
      <c r="AP17" s="75"/>
      <c r="AQ17" s="75"/>
      <c r="AR17" s="75"/>
      <c r="AS17" s="77"/>
      <c r="AT17" s="74"/>
      <c r="AU17" s="78"/>
      <c r="AV17" s="79"/>
      <c r="AW17" s="75"/>
      <c r="AX17" s="75"/>
      <c r="AY17" s="75"/>
      <c r="AZ17" s="77"/>
      <c r="BA17" s="74"/>
      <c r="BB17" s="75"/>
      <c r="BC17" s="75"/>
      <c r="BD17" s="77"/>
      <c r="BE17" s="6">
        <f t="shared" si="5"/>
        <v>0</v>
      </c>
    </row>
    <row r="18" spans="1:57">
      <c r="A18" s="61"/>
      <c r="B18" s="40"/>
      <c r="C18" s="62">
        <f t="shared" si="0"/>
        <v>0</v>
      </c>
      <c r="D18" s="63">
        <f t="shared" si="1"/>
        <v>0</v>
      </c>
      <c r="E18" s="63">
        <f t="shared" si="2"/>
        <v>0</v>
      </c>
      <c r="F18" s="63">
        <f t="shared" si="3"/>
        <v>0</v>
      </c>
      <c r="G18" s="63">
        <f t="shared" si="6"/>
        <v>0</v>
      </c>
      <c r="H18" s="63">
        <f t="shared" si="4"/>
        <v>0</v>
      </c>
      <c r="I18" s="64">
        <f t="shared" si="7"/>
        <v>0</v>
      </c>
      <c r="J18" s="65"/>
      <c r="K18" s="65"/>
      <c r="L18" s="83"/>
      <c r="M18" s="67"/>
      <c r="N18" s="68"/>
      <c r="O18" s="62"/>
      <c r="P18" s="69"/>
      <c r="Q18" s="70"/>
      <c r="R18" s="50">
        <f t="shared" si="8"/>
        <v>0</v>
      </c>
      <c r="S18" s="71"/>
      <c r="T18" s="69"/>
      <c r="U18" s="81"/>
      <c r="V18" s="73"/>
      <c r="W18" s="74"/>
      <c r="X18" s="75"/>
      <c r="Y18" s="75"/>
      <c r="Z18" s="76"/>
      <c r="AA18" s="77"/>
      <c r="AB18" s="73"/>
      <c r="AC18" s="74"/>
      <c r="AD18" s="75"/>
      <c r="AE18" s="75"/>
      <c r="AF18" s="75"/>
      <c r="AG18" s="75"/>
      <c r="AH18" s="75"/>
      <c r="AI18" s="75"/>
      <c r="AJ18" s="78"/>
      <c r="AK18" s="79"/>
      <c r="AL18" s="75"/>
      <c r="AM18" s="75"/>
      <c r="AN18" s="75"/>
      <c r="AO18" s="75"/>
      <c r="AP18" s="75"/>
      <c r="AQ18" s="75"/>
      <c r="AR18" s="75"/>
      <c r="AS18" s="77"/>
      <c r="AT18" s="74"/>
      <c r="AU18" s="78"/>
      <c r="AV18" s="79"/>
      <c r="AW18" s="75"/>
      <c r="AX18" s="75"/>
      <c r="AY18" s="75"/>
      <c r="AZ18" s="77"/>
      <c r="BA18" s="74"/>
      <c r="BB18" s="75"/>
      <c r="BC18" s="75"/>
      <c r="BD18" s="77"/>
      <c r="BE18" s="6">
        <f t="shared" si="5"/>
        <v>0</v>
      </c>
    </row>
    <row r="19" spans="1:57">
      <c r="A19" s="61"/>
      <c r="B19" s="40"/>
      <c r="C19" s="62">
        <f t="shared" si="0"/>
        <v>0</v>
      </c>
      <c r="D19" s="63">
        <f t="shared" si="1"/>
        <v>0</v>
      </c>
      <c r="E19" s="63">
        <f t="shared" si="2"/>
        <v>0</v>
      </c>
      <c r="F19" s="63">
        <f t="shared" si="3"/>
        <v>0</v>
      </c>
      <c r="G19" s="63">
        <f t="shared" si="6"/>
        <v>0</v>
      </c>
      <c r="H19" s="63">
        <f t="shared" si="4"/>
        <v>0</v>
      </c>
      <c r="I19" s="64">
        <f t="shared" si="7"/>
        <v>0</v>
      </c>
      <c r="J19" s="65"/>
      <c r="K19" s="65"/>
      <c r="L19" s="83"/>
      <c r="M19" s="67"/>
      <c r="N19" s="68"/>
      <c r="O19" s="62"/>
      <c r="P19" s="69"/>
      <c r="Q19" s="70"/>
      <c r="R19" s="50">
        <f t="shared" si="8"/>
        <v>0</v>
      </c>
      <c r="S19" s="71"/>
      <c r="T19" s="69"/>
      <c r="U19" s="81"/>
      <c r="V19" s="73"/>
      <c r="W19" s="74"/>
      <c r="X19" s="75"/>
      <c r="Y19" s="75"/>
      <c r="Z19" s="76"/>
      <c r="AA19" s="77"/>
      <c r="AB19" s="73"/>
      <c r="AC19" s="74"/>
      <c r="AD19" s="75"/>
      <c r="AE19" s="75"/>
      <c r="AF19" s="75"/>
      <c r="AG19" s="75"/>
      <c r="AH19" s="75"/>
      <c r="AI19" s="75"/>
      <c r="AJ19" s="78"/>
      <c r="AK19" s="79"/>
      <c r="AL19" s="75"/>
      <c r="AM19" s="75"/>
      <c r="AN19" s="75"/>
      <c r="AO19" s="75"/>
      <c r="AP19" s="75"/>
      <c r="AQ19" s="75"/>
      <c r="AR19" s="75"/>
      <c r="AS19" s="77"/>
      <c r="AT19" s="74"/>
      <c r="AU19" s="78"/>
      <c r="AV19" s="79"/>
      <c r="AW19" s="75"/>
      <c r="AX19" s="75"/>
      <c r="AY19" s="75"/>
      <c r="AZ19" s="77"/>
      <c r="BA19" s="74"/>
      <c r="BB19" s="75"/>
      <c r="BC19" s="75"/>
      <c r="BD19" s="77"/>
      <c r="BE19" s="6">
        <f t="shared" si="5"/>
        <v>0</v>
      </c>
    </row>
    <row r="20" spans="1:57">
      <c r="A20" s="61"/>
      <c r="B20" s="40"/>
      <c r="C20" s="62">
        <f t="shared" si="0"/>
        <v>0</v>
      </c>
      <c r="D20" s="63">
        <f t="shared" si="1"/>
        <v>0</v>
      </c>
      <c r="E20" s="63">
        <f t="shared" si="2"/>
        <v>0</v>
      </c>
      <c r="F20" s="63">
        <f t="shared" si="3"/>
        <v>0</v>
      </c>
      <c r="G20" s="63">
        <f t="shared" si="6"/>
        <v>0</v>
      </c>
      <c r="H20" s="63">
        <f t="shared" si="4"/>
        <v>0</v>
      </c>
      <c r="I20" s="64">
        <f t="shared" si="7"/>
        <v>0</v>
      </c>
      <c r="J20" s="65"/>
      <c r="K20" s="65"/>
      <c r="L20" s="83"/>
      <c r="M20" s="67"/>
      <c r="N20" s="68"/>
      <c r="O20" s="62"/>
      <c r="P20" s="69"/>
      <c r="Q20" s="70"/>
      <c r="R20" s="50">
        <f t="shared" si="8"/>
        <v>0</v>
      </c>
      <c r="S20" s="71"/>
      <c r="T20" s="69"/>
      <c r="U20" s="81"/>
      <c r="V20" s="73"/>
      <c r="W20" s="74"/>
      <c r="X20" s="75"/>
      <c r="Y20" s="75"/>
      <c r="Z20" s="76"/>
      <c r="AA20" s="77"/>
      <c r="AB20" s="73"/>
      <c r="AC20" s="74"/>
      <c r="AD20" s="75"/>
      <c r="AE20" s="75"/>
      <c r="AF20" s="75"/>
      <c r="AG20" s="75"/>
      <c r="AH20" s="75"/>
      <c r="AI20" s="75"/>
      <c r="AJ20" s="78"/>
      <c r="AK20" s="79"/>
      <c r="AL20" s="75"/>
      <c r="AM20" s="75"/>
      <c r="AN20" s="75"/>
      <c r="AO20" s="75"/>
      <c r="AP20" s="75"/>
      <c r="AQ20" s="75"/>
      <c r="AR20" s="75"/>
      <c r="AS20" s="77"/>
      <c r="AT20" s="74"/>
      <c r="AU20" s="78"/>
      <c r="AV20" s="79"/>
      <c r="AW20" s="75"/>
      <c r="AX20" s="75"/>
      <c r="AY20" s="75"/>
      <c r="AZ20" s="77"/>
      <c r="BA20" s="74"/>
      <c r="BB20" s="75"/>
      <c r="BC20" s="75"/>
      <c r="BD20" s="77"/>
      <c r="BE20" s="6">
        <f t="shared" si="5"/>
        <v>0</v>
      </c>
    </row>
    <row r="21" spans="1:57">
      <c r="A21" s="61"/>
      <c r="B21" s="40"/>
      <c r="C21" s="62">
        <f t="shared" si="0"/>
        <v>0</v>
      </c>
      <c r="D21" s="63">
        <f t="shared" si="1"/>
        <v>0</v>
      </c>
      <c r="E21" s="63">
        <f t="shared" si="2"/>
        <v>0</v>
      </c>
      <c r="F21" s="63">
        <f t="shared" si="3"/>
        <v>0</v>
      </c>
      <c r="G21" s="63">
        <f t="shared" si="6"/>
        <v>0</v>
      </c>
      <c r="H21" s="63">
        <f t="shared" si="4"/>
        <v>0</v>
      </c>
      <c r="I21" s="64">
        <f t="shared" si="7"/>
        <v>0</v>
      </c>
      <c r="J21" s="65"/>
      <c r="K21" s="65"/>
      <c r="L21" s="83"/>
      <c r="M21" s="67"/>
      <c r="N21" s="68"/>
      <c r="O21" s="62"/>
      <c r="P21" s="69"/>
      <c r="Q21" s="70"/>
      <c r="R21" s="50">
        <f t="shared" si="8"/>
        <v>0</v>
      </c>
      <c r="S21" s="71"/>
      <c r="T21" s="69"/>
      <c r="U21" s="81"/>
      <c r="V21" s="73"/>
      <c r="W21" s="74"/>
      <c r="X21" s="75"/>
      <c r="Y21" s="75"/>
      <c r="Z21" s="76"/>
      <c r="AA21" s="77"/>
      <c r="AB21" s="73"/>
      <c r="AC21" s="74"/>
      <c r="AD21" s="75"/>
      <c r="AE21" s="75"/>
      <c r="AF21" s="75"/>
      <c r="AG21" s="75"/>
      <c r="AH21" s="75"/>
      <c r="AI21" s="75"/>
      <c r="AJ21" s="78"/>
      <c r="AK21" s="79"/>
      <c r="AL21" s="75"/>
      <c r="AM21" s="75"/>
      <c r="AN21" s="75"/>
      <c r="AO21" s="75"/>
      <c r="AP21" s="75"/>
      <c r="AQ21" s="75"/>
      <c r="AR21" s="75"/>
      <c r="AS21" s="77"/>
      <c r="AT21" s="74"/>
      <c r="AU21" s="78"/>
      <c r="AV21" s="79"/>
      <c r="AW21" s="75"/>
      <c r="AX21" s="75"/>
      <c r="AY21" s="75"/>
      <c r="AZ21" s="77"/>
      <c r="BA21" s="74"/>
      <c r="BB21" s="75"/>
      <c r="BC21" s="75"/>
      <c r="BD21" s="77"/>
      <c r="BE21" s="6">
        <f t="shared" si="5"/>
        <v>0</v>
      </c>
    </row>
    <row r="22" spans="1:57">
      <c r="A22" s="61"/>
      <c r="B22" s="40"/>
      <c r="C22" s="62">
        <f t="shared" si="0"/>
        <v>0</v>
      </c>
      <c r="D22" s="63">
        <f t="shared" si="1"/>
        <v>0</v>
      </c>
      <c r="E22" s="63">
        <f t="shared" si="2"/>
        <v>0</v>
      </c>
      <c r="F22" s="63">
        <f t="shared" si="3"/>
        <v>0</v>
      </c>
      <c r="G22" s="63">
        <f t="shared" si="6"/>
        <v>0</v>
      </c>
      <c r="H22" s="63">
        <f t="shared" si="4"/>
        <v>0</v>
      </c>
      <c r="I22" s="64">
        <f t="shared" si="7"/>
        <v>0</v>
      </c>
      <c r="J22" s="65"/>
      <c r="K22" s="65"/>
      <c r="L22" s="83"/>
      <c r="M22" s="67"/>
      <c r="N22" s="68"/>
      <c r="O22" s="62"/>
      <c r="P22" s="69"/>
      <c r="Q22" s="70"/>
      <c r="R22" s="50">
        <f t="shared" si="8"/>
        <v>0</v>
      </c>
      <c r="S22" s="71"/>
      <c r="T22" s="69"/>
      <c r="U22" s="81"/>
      <c r="V22" s="73"/>
      <c r="W22" s="74"/>
      <c r="X22" s="75"/>
      <c r="Y22" s="75"/>
      <c r="Z22" s="76"/>
      <c r="AA22" s="77"/>
      <c r="AB22" s="73"/>
      <c r="AC22" s="74"/>
      <c r="AD22" s="75"/>
      <c r="AE22" s="75"/>
      <c r="AF22" s="75"/>
      <c r="AG22" s="75"/>
      <c r="AH22" s="75"/>
      <c r="AI22" s="75"/>
      <c r="AJ22" s="78"/>
      <c r="AK22" s="79"/>
      <c r="AL22" s="75"/>
      <c r="AM22" s="75"/>
      <c r="AN22" s="75"/>
      <c r="AO22" s="75"/>
      <c r="AP22" s="75"/>
      <c r="AQ22" s="75"/>
      <c r="AR22" s="75"/>
      <c r="AS22" s="77"/>
      <c r="AT22" s="74"/>
      <c r="AU22" s="78"/>
      <c r="AV22" s="79"/>
      <c r="AW22" s="75"/>
      <c r="AX22" s="75"/>
      <c r="AY22" s="75"/>
      <c r="AZ22" s="77"/>
      <c r="BA22" s="74"/>
      <c r="BB22" s="75"/>
      <c r="BC22" s="75"/>
      <c r="BD22" s="77"/>
      <c r="BE22" s="6">
        <f t="shared" si="5"/>
        <v>0</v>
      </c>
    </row>
    <row r="23" spans="1:57">
      <c r="A23" s="61"/>
      <c r="B23" s="40"/>
      <c r="C23" s="62">
        <f t="shared" si="0"/>
        <v>0</v>
      </c>
      <c r="D23" s="63">
        <f t="shared" si="1"/>
        <v>0</v>
      </c>
      <c r="E23" s="63">
        <f t="shared" si="2"/>
        <v>0</v>
      </c>
      <c r="F23" s="63">
        <f t="shared" si="3"/>
        <v>0</v>
      </c>
      <c r="G23" s="63">
        <f t="shared" si="6"/>
        <v>0</v>
      </c>
      <c r="H23" s="63">
        <f t="shared" si="4"/>
        <v>0</v>
      </c>
      <c r="I23" s="64">
        <f t="shared" si="7"/>
        <v>0</v>
      </c>
      <c r="J23" s="65"/>
      <c r="K23" s="65"/>
      <c r="L23" s="83"/>
      <c r="M23" s="67"/>
      <c r="N23" s="68"/>
      <c r="O23" s="62"/>
      <c r="P23" s="69"/>
      <c r="Q23" s="70"/>
      <c r="R23" s="50">
        <f t="shared" si="8"/>
        <v>0</v>
      </c>
      <c r="S23" s="71"/>
      <c r="T23" s="69"/>
      <c r="U23" s="81"/>
      <c r="V23" s="73"/>
      <c r="W23" s="74"/>
      <c r="X23" s="75"/>
      <c r="Y23" s="75"/>
      <c r="Z23" s="76"/>
      <c r="AA23" s="77"/>
      <c r="AB23" s="73"/>
      <c r="AC23" s="74"/>
      <c r="AD23" s="75"/>
      <c r="AE23" s="75"/>
      <c r="AF23" s="75"/>
      <c r="AG23" s="75"/>
      <c r="AH23" s="75"/>
      <c r="AI23" s="75"/>
      <c r="AJ23" s="78"/>
      <c r="AK23" s="79"/>
      <c r="AL23" s="75"/>
      <c r="AM23" s="75"/>
      <c r="AN23" s="75"/>
      <c r="AO23" s="75"/>
      <c r="AP23" s="75"/>
      <c r="AQ23" s="75"/>
      <c r="AR23" s="75"/>
      <c r="AS23" s="77"/>
      <c r="AT23" s="74"/>
      <c r="AU23" s="78"/>
      <c r="AV23" s="79"/>
      <c r="AW23" s="75"/>
      <c r="AX23" s="75"/>
      <c r="AY23" s="75"/>
      <c r="AZ23" s="77"/>
      <c r="BA23" s="74"/>
      <c r="BB23" s="75"/>
      <c r="BC23" s="75"/>
      <c r="BD23" s="77"/>
      <c r="BE23" s="6">
        <f t="shared" si="5"/>
        <v>0</v>
      </c>
    </row>
    <row r="24" spans="1:57">
      <c r="A24" s="61"/>
      <c r="B24" s="40"/>
      <c r="C24" s="62">
        <f t="shared" si="0"/>
        <v>0</v>
      </c>
      <c r="D24" s="63">
        <f t="shared" si="1"/>
        <v>0</v>
      </c>
      <c r="E24" s="63">
        <f t="shared" si="2"/>
        <v>0</v>
      </c>
      <c r="F24" s="63">
        <f t="shared" si="3"/>
        <v>0</v>
      </c>
      <c r="G24" s="63">
        <f t="shared" si="6"/>
        <v>0</v>
      </c>
      <c r="H24" s="63">
        <f t="shared" si="4"/>
        <v>0</v>
      </c>
      <c r="I24" s="64">
        <f t="shared" si="7"/>
        <v>0</v>
      </c>
      <c r="J24" s="65"/>
      <c r="K24" s="65"/>
      <c r="L24" s="83"/>
      <c r="M24" s="67"/>
      <c r="N24" s="68"/>
      <c r="O24" s="62"/>
      <c r="P24" s="69"/>
      <c r="Q24" s="70"/>
      <c r="R24" s="50">
        <f t="shared" si="8"/>
        <v>0</v>
      </c>
      <c r="S24" s="71"/>
      <c r="T24" s="69"/>
      <c r="U24" s="81"/>
      <c r="V24" s="73"/>
      <c r="W24" s="74"/>
      <c r="X24" s="75"/>
      <c r="Y24" s="75"/>
      <c r="Z24" s="76"/>
      <c r="AA24" s="77"/>
      <c r="AB24" s="73"/>
      <c r="AC24" s="74"/>
      <c r="AD24" s="75"/>
      <c r="AE24" s="75"/>
      <c r="AF24" s="75"/>
      <c r="AG24" s="75"/>
      <c r="AH24" s="75"/>
      <c r="AI24" s="75"/>
      <c r="AJ24" s="78"/>
      <c r="AK24" s="79"/>
      <c r="AL24" s="75"/>
      <c r="AM24" s="75"/>
      <c r="AN24" s="75"/>
      <c r="AO24" s="75"/>
      <c r="AP24" s="75"/>
      <c r="AQ24" s="75"/>
      <c r="AR24" s="75"/>
      <c r="AS24" s="77"/>
      <c r="AT24" s="74"/>
      <c r="AU24" s="78"/>
      <c r="AV24" s="79"/>
      <c r="AW24" s="75"/>
      <c r="AX24" s="75"/>
      <c r="AY24" s="75"/>
      <c r="AZ24" s="77"/>
      <c r="BA24" s="74"/>
      <c r="BB24" s="75"/>
      <c r="BC24" s="75"/>
      <c r="BD24" s="77"/>
      <c r="BE24" s="6">
        <f t="shared" si="5"/>
        <v>0</v>
      </c>
    </row>
    <row r="25" spans="1:57">
      <c r="A25" s="61"/>
      <c r="B25" s="40"/>
      <c r="C25" s="62">
        <f t="shared" si="0"/>
        <v>0</v>
      </c>
      <c r="D25" s="63">
        <f t="shared" si="1"/>
        <v>0</v>
      </c>
      <c r="E25" s="63">
        <f t="shared" si="2"/>
        <v>0</v>
      </c>
      <c r="F25" s="63">
        <f t="shared" si="3"/>
        <v>0</v>
      </c>
      <c r="G25" s="63">
        <f t="shared" si="6"/>
        <v>0</v>
      </c>
      <c r="H25" s="63">
        <f t="shared" si="4"/>
        <v>0</v>
      </c>
      <c r="I25" s="64">
        <f t="shared" si="7"/>
        <v>0</v>
      </c>
      <c r="J25" s="65"/>
      <c r="K25" s="65"/>
      <c r="L25" s="83"/>
      <c r="M25" s="67"/>
      <c r="N25" s="68"/>
      <c r="O25" s="62"/>
      <c r="P25" s="69"/>
      <c r="Q25" s="70"/>
      <c r="R25" s="50">
        <f t="shared" si="8"/>
        <v>0</v>
      </c>
      <c r="S25" s="71"/>
      <c r="T25" s="69"/>
      <c r="U25" s="81"/>
      <c r="V25" s="73"/>
      <c r="W25" s="74"/>
      <c r="X25" s="75"/>
      <c r="Y25" s="75"/>
      <c r="Z25" s="76"/>
      <c r="AA25" s="77"/>
      <c r="AB25" s="73"/>
      <c r="AC25" s="74"/>
      <c r="AD25" s="75"/>
      <c r="AE25" s="75"/>
      <c r="AF25" s="75"/>
      <c r="AG25" s="75"/>
      <c r="AH25" s="75"/>
      <c r="AI25" s="75"/>
      <c r="AJ25" s="78"/>
      <c r="AK25" s="79"/>
      <c r="AL25" s="75"/>
      <c r="AM25" s="75"/>
      <c r="AN25" s="75"/>
      <c r="AO25" s="75"/>
      <c r="AP25" s="75"/>
      <c r="AQ25" s="75"/>
      <c r="AR25" s="75"/>
      <c r="AS25" s="77"/>
      <c r="AT25" s="74"/>
      <c r="AU25" s="78"/>
      <c r="AV25" s="79"/>
      <c r="AW25" s="84"/>
      <c r="AX25" s="75"/>
      <c r="AY25" s="75"/>
      <c r="AZ25" s="77"/>
      <c r="BA25" s="74"/>
      <c r="BB25" s="75"/>
      <c r="BC25" s="75"/>
      <c r="BD25" s="77"/>
      <c r="BE25" s="6">
        <f t="shared" si="5"/>
        <v>0</v>
      </c>
    </row>
    <row r="26" spans="1:57">
      <c r="A26" s="61"/>
      <c r="B26" s="40"/>
      <c r="C26" s="62">
        <f t="shared" si="0"/>
        <v>0</v>
      </c>
      <c r="D26" s="63">
        <f t="shared" si="1"/>
        <v>0</v>
      </c>
      <c r="E26" s="63">
        <f t="shared" si="2"/>
        <v>0</v>
      </c>
      <c r="F26" s="63">
        <f t="shared" si="3"/>
        <v>0</v>
      </c>
      <c r="G26" s="63">
        <f t="shared" si="6"/>
        <v>0</v>
      </c>
      <c r="H26" s="63">
        <f t="shared" si="4"/>
        <v>0</v>
      </c>
      <c r="I26" s="64">
        <f t="shared" si="7"/>
        <v>0</v>
      </c>
      <c r="J26" s="65"/>
      <c r="K26" s="65"/>
      <c r="L26" s="83"/>
      <c r="M26" s="67"/>
      <c r="N26" s="68"/>
      <c r="O26" s="62"/>
      <c r="P26" s="69"/>
      <c r="Q26" s="70"/>
      <c r="R26" s="50">
        <f t="shared" si="8"/>
        <v>0</v>
      </c>
      <c r="S26" s="71"/>
      <c r="T26" s="85"/>
      <c r="U26" s="81"/>
      <c r="V26" s="73"/>
      <c r="W26" s="74"/>
      <c r="X26" s="75"/>
      <c r="Y26" s="75"/>
      <c r="Z26" s="76"/>
      <c r="AA26" s="77"/>
      <c r="AB26" s="73"/>
      <c r="AC26" s="74"/>
      <c r="AD26" s="75"/>
      <c r="AE26" s="75"/>
      <c r="AF26" s="75"/>
      <c r="AG26" s="75"/>
      <c r="AH26" s="75"/>
      <c r="AI26" s="75"/>
      <c r="AJ26" s="78"/>
      <c r="AK26" s="79"/>
      <c r="AL26" s="75"/>
      <c r="AM26" s="75"/>
      <c r="AN26" s="75"/>
      <c r="AO26" s="75"/>
      <c r="AP26" s="75"/>
      <c r="AQ26" s="75"/>
      <c r="AR26" s="75"/>
      <c r="AS26" s="77"/>
      <c r="AT26" s="74"/>
      <c r="AU26" s="78"/>
      <c r="AV26" s="79"/>
      <c r="AW26" s="84"/>
      <c r="AX26" s="75"/>
      <c r="AY26" s="75"/>
      <c r="AZ26" s="77"/>
      <c r="BA26" s="74"/>
      <c r="BB26" s="75"/>
      <c r="BC26" s="75"/>
      <c r="BD26" s="77"/>
      <c r="BE26" s="6">
        <f t="shared" si="5"/>
        <v>0</v>
      </c>
    </row>
    <row r="27" spans="1:57">
      <c r="A27" s="61"/>
      <c r="B27" s="40"/>
      <c r="C27" s="62">
        <f t="shared" si="0"/>
        <v>0</v>
      </c>
      <c r="D27" s="63">
        <f t="shared" si="1"/>
        <v>0</v>
      </c>
      <c r="E27" s="63">
        <f t="shared" si="2"/>
        <v>0</v>
      </c>
      <c r="F27" s="63">
        <f t="shared" si="3"/>
        <v>0</v>
      </c>
      <c r="G27" s="63">
        <f t="shared" si="6"/>
        <v>0</v>
      </c>
      <c r="H27" s="63">
        <f t="shared" si="4"/>
        <v>0</v>
      </c>
      <c r="I27" s="64">
        <f t="shared" si="7"/>
        <v>0</v>
      </c>
      <c r="J27" s="65"/>
      <c r="K27" s="65"/>
      <c r="L27" s="83"/>
      <c r="M27" s="67"/>
      <c r="N27" s="68"/>
      <c r="O27" s="62"/>
      <c r="P27" s="69"/>
      <c r="Q27" s="70"/>
      <c r="R27" s="50">
        <f t="shared" si="8"/>
        <v>0</v>
      </c>
      <c r="S27" s="71"/>
      <c r="T27" s="86"/>
      <c r="U27" s="81"/>
      <c r="V27" s="73"/>
      <c r="W27" s="74"/>
      <c r="X27" s="75"/>
      <c r="Y27" s="75"/>
      <c r="Z27" s="76"/>
      <c r="AA27" s="77"/>
      <c r="AB27" s="73"/>
      <c r="AC27" s="74"/>
      <c r="AD27" s="75"/>
      <c r="AE27" s="75"/>
      <c r="AF27" s="75"/>
      <c r="AG27" s="75"/>
      <c r="AH27" s="75"/>
      <c r="AI27" s="75"/>
      <c r="AJ27" s="78"/>
      <c r="AK27" s="79"/>
      <c r="AL27" s="75"/>
      <c r="AM27" s="75"/>
      <c r="AN27" s="75"/>
      <c r="AO27" s="75"/>
      <c r="AP27" s="75"/>
      <c r="AQ27" s="75"/>
      <c r="AR27" s="75"/>
      <c r="AS27" s="77"/>
      <c r="AT27" s="74"/>
      <c r="AU27" s="78"/>
      <c r="AV27" s="79"/>
      <c r="AW27" s="75"/>
      <c r="AX27" s="75"/>
      <c r="AY27" s="75"/>
      <c r="AZ27" s="77"/>
      <c r="BA27" s="74"/>
      <c r="BB27" s="75"/>
      <c r="BC27" s="75"/>
      <c r="BD27" s="77"/>
      <c r="BE27" s="6">
        <f t="shared" si="5"/>
        <v>0</v>
      </c>
    </row>
    <row r="28" spans="1:57">
      <c r="A28" s="61"/>
      <c r="B28" s="40"/>
      <c r="C28" s="62">
        <f t="shared" si="0"/>
        <v>0</v>
      </c>
      <c r="D28" s="63">
        <f t="shared" si="1"/>
        <v>0</v>
      </c>
      <c r="E28" s="63">
        <f t="shared" si="2"/>
        <v>0</v>
      </c>
      <c r="F28" s="63">
        <f t="shared" si="3"/>
        <v>0</v>
      </c>
      <c r="G28" s="63">
        <f t="shared" si="6"/>
        <v>0</v>
      </c>
      <c r="H28" s="63">
        <f t="shared" si="4"/>
        <v>0</v>
      </c>
      <c r="I28" s="64">
        <f t="shared" si="7"/>
        <v>0</v>
      </c>
      <c r="J28" s="65"/>
      <c r="K28" s="65"/>
      <c r="L28" s="83"/>
      <c r="M28" s="67"/>
      <c r="N28" s="68"/>
      <c r="O28" s="62"/>
      <c r="P28" s="69"/>
      <c r="Q28" s="70"/>
      <c r="R28" s="50">
        <f t="shared" si="8"/>
        <v>0</v>
      </c>
      <c r="S28" s="71"/>
      <c r="T28" s="69"/>
      <c r="U28" s="81"/>
      <c r="V28" s="73"/>
      <c r="W28" s="74"/>
      <c r="X28" s="75"/>
      <c r="Y28" s="75"/>
      <c r="Z28" s="76"/>
      <c r="AA28" s="77"/>
      <c r="AB28" s="73"/>
      <c r="AC28" s="74"/>
      <c r="AD28" s="75"/>
      <c r="AE28" s="75"/>
      <c r="AF28" s="75"/>
      <c r="AG28" s="75"/>
      <c r="AH28" s="75"/>
      <c r="AI28" s="75"/>
      <c r="AJ28" s="78"/>
      <c r="AK28" s="79"/>
      <c r="AL28" s="75"/>
      <c r="AM28" s="75"/>
      <c r="AN28" s="75"/>
      <c r="AO28" s="75"/>
      <c r="AP28" s="75"/>
      <c r="AQ28" s="75"/>
      <c r="AR28" s="75"/>
      <c r="AS28" s="77"/>
      <c r="AT28" s="74"/>
      <c r="AU28" s="78"/>
      <c r="AV28" s="79"/>
      <c r="AW28" s="75"/>
      <c r="AX28" s="75"/>
      <c r="AY28" s="75"/>
      <c r="AZ28" s="77"/>
      <c r="BA28" s="74"/>
      <c r="BB28" s="75"/>
      <c r="BC28" s="75"/>
      <c r="BD28" s="77"/>
      <c r="BE28" s="6">
        <f t="shared" si="5"/>
        <v>0</v>
      </c>
    </row>
    <row r="29" spans="1:57">
      <c r="A29" s="61"/>
      <c r="B29" s="40"/>
      <c r="C29" s="62">
        <f t="shared" si="0"/>
        <v>0</v>
      </c>
      <c r="D29" s="63">
        <f t="shared" si="1"/>
        <v>0</v>
      </c>
      <c r="E29" s="63">
        <f t="shared" si="2"/>
        <v>0</v>
      </c>
      <c r="F29" s="63">
        <f t="shared" si="3"/>
        <v>0</v>
      </c>
      <c r="G29" s="63">
        <f t="shared" si="6"/>
        <v>0</v>
      </c>
      <c r="H29" s="63">
        <f t="shared" si="4"/>
        <v>0</v>
      </c>
      <c r="I29" s="64">
        <f t="shared" si="7"/>
        <v>0</v>
      </c>
      <c r="J29" s="65"/>
      <c r="K29" s="65"/>
      <c r="L29" s="83"/>
      <c r="M29" s="67"/>
      <c r="N29" s="68"/>
      <c r="O29" s="62"/>
      <c r="P29" s="69"/>
      <c r="Q29" s="70"/>
      <c r="R29" s="50">
        <f t="shared" si="8"/>
        <v>0</v>
      </c>
      <c r="S29" s="71"/>
      <c r="T29" s="86"/>
      <c r="U29" s="72"/>
      <c r="V29" s="73"/>
      <c r="W29" s="74"/>
      <c r="X29" s="75"/>
      <c r="Y29" s="75"/>
      <c r="Z29" s="76"/>
      <c r="AA29" s="77"/>
      <c r="AB29" s="73"/>
      <c r="AC29" s="74"/>
      <c r="AD29" s="75"/>
      <c r="AE29" s="75"/>
      <c r="AF29" s="75"/>
      <c r="AG29" s="75"/>
      <c r="AH29" s="75"/>
      <c r="AI29" s="75"/>
      <c r="AJ29" s="78"/>
      <c r="AK29" s="79"/>
      <c r="AL29" s="75"/>
      <c r="AM29" s="75"/>
      <c r="AN29" s="75"/>
      <c r="AO29" s="75"/>
      <c r="AP29" s="75"/>
      <c r="AQ29" s="75"/>
      <c r="AR29" s="75"/>
      <c r="AS29" s="77"/>
      <c r="AT29" s="74"/>
      <c r="AU29" s="78"/>
      <c r="AV29" s="79"/>
      <c r="AW29" s="75"/>
      <c r="AX29" s="75"/>
      <c r="AY29" s="75"/>
      <c r="AZ29" s="77"/>
      <c r="BA29" s="74"/>
      <c r="BB29" s="75"/>
      <c r="BC29" s="75"/>
      <c r="BD29" s="77"/>
      <c r="BE29" s="6">
        <f t="shared" si="5"/>
        <v>0</v>
      </c>
    </row>
    <row r="30" spans="1:57">
      <c r="A30" s="61"/>
      <c r="B30" s="40"/>
      <c r="C30" s="62">
        <f t="shared" si="0"/>
        <v>0</v>
      </c>
      <c r="D30" s="63">
        <f t="shared" si="1"/>
        <v>0</v>
      </c>
      <c r="E30" s="63">
        <f t="shared" si="2"/>
        <v>0</v>
      </c>
      <c r="F30" s="63">
        <f t="shared" si="3"/>
        <v>0</v>
      </c>
      <c r="G30" s="63">
        <f t="shared" si="6"/>
        <v>0</v>
      </c>
      <c r="H30" s="63">
        <f t="shared" si="4"/>
        <v>0</v>
      </c>
      <c r="I30" s="64">
        <f t="shared" si="7"/>
        <v>0</v>
      </c>
      <c r="J30" s="65"/>
      <c r="K30" s="65"/>
      <c r="L30" s="83"/>
      <c r="M30" s="67"/>
      <c r="N30" s="68"/>
      <c r="O30" s="62"/>
      <c r="P30" s="69"/>
      <c r="Q30" s="70"/>
      <c r="R30" s="50">
        <f t="shared" si="8"/>
        <v>0</v>
      </c>
      <c r="S30" s="71"/>
      <c r="T30" s="69"/>
      <c r="U30" s="81"/>
      <c r="V30" s="73"/>
      <c r="W30" s="74"/>
      <c r="X30" s="75"/>
      <c r="Y30" s="75"/>
      <c r="Z30" s="76"/>
      <c r="AA30" s="77"/>
      <c r="AB30" s="73"/>
      <c r="AC30" s="74"/>
      <c r="AD30" s="75"/>
      <c r="AE30" s="75"/>
      <c r="AF30" s="75"/>
      <c r="AG30" s="75"/>
      <c r="AH30" s="75"/>
      <c r="AI30" s="75"/>
      <c r="AJ30" s="78"/>
      <c r="AK30" s="79"/>
      <c r="AL30" s="75"/>
      <c r="AM30" s="75"/>
      <c r="AN30" s="75"/>
      <c r="AO30" s="75"/>
      <c r="AP30" s="75"/>
      <c r="AQ30" s="75"/>
      <c r="AR30" s="75"/>
      <c r="AS30" s="77"/>
      <c r="AT30" s="74"/>
      <c r="AU30" s="78"/>
      <c r="AV30" s="79"/>
      <c r="AW30" s="75"/>
      <c r="AX30" s="75"/>
      <c r="AY30" s="75"/>
      <c r="AZ30" s="77"/>
      <c r="BA30" s="74"/>
      <c r="BB30" s="75"/>
      <c r="BC30" s="75"/>
      <c r="BD30" s="77"/>
      <c r="BE30" s="6">
        <f t="shared" si="5"/>
        <v>0</v>
      </c>
    </row>
    <row r="31" spans="1:57">
      <c r="A31" s="61"/>
      <c r="B31" s="40"/>
      <c r="C31" s="62">
        <f t="shared" si="0"/>
        <v>0</v>
      </c>
      <c r="D31" s="63">
        <f t="shared" si="1"/>
        <v>0</v>
      </c>
      <c r="E31" s="63">
        <f t="shared" si="2"/>
        <v>0</v>
      </c>
      <c r="F31" s="63">
        <f t="shared" si="3"/>
        <v>0</v>
      </c>
      <c r="G31" s="63">
        <f t="shared" si="6"/>
        <v>0</v>
      </c>
      <c r="H31" s="63">
        <f t="shared" si="4"/>
        <v>0</v>
      </c>
      <c r="I31" s="64">
        <f t="shared" si="7"/>
        <v>0</v>
      </c>
      <c r="J31" s="65"/>
      <c r="K31" s="65"/>
      <c r="L31" s="83"/>
      <c r="M31" s="67"/>
      <c r="N31" s="68"/>
      <c r="O31" s="62"/>
      <c r="P31" s="69"/>
      <c r="Q31" s="70"/>
      <c r="R31" s="50">
        <f t="shared" si="8"/>
        <v>0</v>
      </c>
      <c r="S31" s="71"/>
      <c r="T31" s="69"/>
      <c r="U31" s="81"/>
      <c r="V31" s="73"/>
      <c r="W31" s="74"/>
      <c r="X31" s="75"/>
      <c r="Y31" s="75"/>
      <c r="Z31" s="76"/>
      <c r="AA31" s="77"/>
      <c r="AB31" s="87"/>
      <c r="AC31" s="88"/>
      <c r="AD31" s="89"/>
      <c r="AE31" s="89"/>
      <c r="AF31" s="89"/>
      <c r="AG31" s="89"/>
      <c r="AH31" s="89"/>
      <c r="AI31" s="89"/>
      <c r="AJ31" s="90"/>
      <c r="AK31" s="79"/>
      <c r="AL31" s="75"/>
      <c r="AM31" s="75"/>
      <c r="AN31" s="75"/>
      <c r="AO31" s="75"/>
      <c r="AP31" s="75"/>
      <c r="AQ31" s="75"/>
      <c r="AR31" s="75"/>
      <c r="AS31" s="77"/>
      <c r="AT31" s="74"/>
      <c r="AU31" s="78"/>
      <c r="AV31" s="79"/>
      <c r="AW31" s="75"/>
      <c r="AX31" s="75"/>
      <c r="AY31" s="75"/>
      <c r="AZ31" s="77"/>
      <c r="BA31" s="74"/>
      <c r="BB31" s="75"/>
      <c r="BC31" s="75"/>
      <c r="BD31" s="77"/>
      <c r="BE31" s="6">
        <f t="shared" si="5"/>
        <v>0</v>
      </c>
    </row>
    <row r="32" spans="1:57">
      <c r="A32" s="61"/>
      <c r="B32" s="40"/>
      <c r="C32" s="62">
        <f t="shared" si="0"/>
        <v>0</v>
      </c>
      <c r="D32" s="63">
        <f t="shared" si="1"/>
        <v>0</v>
      </c>
      <c r="E32" s="63">
        <f t="shared" si="2"/>
        <v>0</v>
      </c>
      <c r="F32" s="63">
        <f t="shared" si="3"/>
        <v>0</v>
      </c>
      <c r="G32" s="63">
        <f t="shared" si="6"/>
        <v>0</v>
      </c>
      <c r="H32" s="63">
        <f t="shared" si="4"/>
        <v>0</v>
      </c>
      <c r="I32" s="64">
        <f t="shared" si="7"/>
        <v>0</v>
      </c>
      <c r="J32" s="65"/>
      <c r="K32" s="65"/>
      <c r="L32" s="83"/>
      <c r="M32" s="67"/>
      <c r="N32" s="68"/>
      <c r="O32" s="62"/>
      <c r="P32" s="69"/>
      <c r="Q32" s="70"/>
      <c r="R32" s="50">
        <f t="shared" si="8"/>
        <v>0</v>
      </c>
      <c r="S32" s="71"/>
      <c r="T32" s="86"/>
      <c r="U32" s="81"/>
      <c r="V32" s="73"/>
      <c r="W32" s="74"/>
      <c r="X32" s="75"/>
      <c r="Y32" s="75"/>
      <c r="Z32" s="76"/>
      <c r="AA32" s="77"/>
      <c r="AB32" s="87"/>
      <c r="AC32" s="88"/>
      <c r="AD32" s="89"/>
      <c r="AE32" s="89"/>
      <c r="AF32" s="89"/>
      <c r="AG32" s="89"/>
      <c r="AH32" s="89"/>
      <c r="AI32" s="89"/>
      <c r="AJ32" s="90"/>
      <c r="AK32" s="79"/>
      <c r="AL32" s="75"/>
      <c r="AM32" s="75"/>
      <c r="AN32" s="75"/>
      <c r="AO32" s="75"/>
      <c r="AP32" s="75"/>
      <c r="AQ32" s="75"/>
      <c r="AR32" s="75"/>
      <c r="AS32" s="77"/>
      <c r="AT32" s="74"/>
      <c r="AU32" s="78"/>
      <c r="AV32" s="79"/>
      <c r="AW32" s="75"/>
      <c r="AX32" s="75"/>
      <c r="AY32" s="75"/>
      <c r="AZ32" s="77"/>
      <c r="BA32" s="74"/>
      <c r="BB32" s="75"/>
      <c r="BC32" s="75"/>
      <c r="BD32" s="77"/>
      <c r="BE32" s="6">
        <f t="shared" si="5"/>
        <v>0</v>
      </c>
    </row>
    <row r="33" spans="1:57">
      <c r="A33" s="61"/>
      <c r="B33" s="40"/>
      <c r="C33" s="62">
        <f t="shared" si="0"/>
        <v>0</v>
      </c>
      <c r="D33" s="63">
        <f t="shared" si="1"/>
        <v>0</v>
      </c>
      <c r="E33" s="63">
        <f t="shared" si="2"/>
        <v>0</v>
      </c>
      <c r="F33" s="63">
        <f t="shared" si="3"/>
        <v>0</v>
      </c>
      <c r="G33" s="63">
        <f t="shared" si="6"/>
        <v>0</v>
      </c>
      <c r="H33" s="63">
        <f t="shared" si="4"/>
        <v>0</v>
      </c>
      <c r="I33" s="64">
        <f t="shared" si="7"/>
        <v>0</v>
      </c>
      <c r="J33" s="65"/>
      <c r="K33" s="65"/>
      <c r="L33" s="83"/>
      <c r="M33" s="67"/>
      <c r="N33" s="68"/>
      <c r="O33" s="62"/>
      <c r="P33" s="69"/>
      <c r="Q33" s="70"/>
      <c r="R33" s="50">
        <f t="shared" si="8"/>
        <v>0</v>
      </c>
      <c r="S33" s="71"/>
      <c r="T33" s="86"/>
      <c r="U33" s="81"/>
      <c r="V33" s="73"/>
      <c r="W33" s="74"/>
      <c r="X33" s="75"/>
      <c r="Y33" s="75"/>
      <c r="Z33" s="76"/>
      <c r="AA33" s="77"/>
      <c r="AB33" s="87"/>
      <c r="AC33" s="88"/>
      <c r="AD33" s="89"/>
      <c r="AE33" s="89"/>
      <c r="AF33" s="89"/>
      <c r="AG33" s="89"/>
      <c r="AH33" s="89"/>
      <c r="AI33" s="89"/>
      <c r="AJ33" s="90"/>
      <c r="AK33" s="79"/>
      <c r="AL33" s="75"/>
      <c r="AM33" s="75"/>
      <c r="AN33" s="75"/>
      <c r="AO33" s="75"/>
      <c r="AP33" s="75"/>
      <c r="AQ33" s="75"/>
      <c r="AR33" s="75"/>
      <c r="AS33" s="77"/>
      <c r="AT33" s="74"/>
      <c r="AU33" s="78"/>
      <c r="AV33" s="79"/>
      <c r="AW33" s="75"/>
      <c r="AX33" s="75"/>
      <c r="AY33" s="75"/>
      <c r="AZ33" s="77"/>
      <c r="BA33" s="74"/>
      <c r="BB33" s="75"/>
      <c r="BC33" s="75"/>
      <c r="BD33" s="77"/>
      <c r="BE33" s="6">
        <f t="shared" si="5"/>
        <v>0</v>
      </c>
    </row>
    <row r="34" spans="1:57">
      <c r="A34" s="61"/>
      <c r="B34" s="40"/>
      <c r="C34" s="62">
        <f t="shared" si="0"/>
        <v>0</v>
      </c>
      <c r="D34" s="63">
        <f t="shared" si="1"/>
        <v>0</v>
      </c>
      <c r="E34" s="63">
        <f t="shared" si="2"/>
        <v>0</v>
      </c>
      <c r="F34" s="63">
        <f t="shared" si="3"/>
        <v>0</v>
      </c>
      <c r="G34" s="63">
        <f t="shared" si="6"/>
        <v>0</v>
      </c>
      <c r="H34" s="63">
        <f t="shared" si="4"/>
        <v>0</v>
      </c>
      <c r="I34" s="64">
        <f t="shared" si="7"/>
        <v>0</v>
      </c>
      <c r="J34" s="65"/>
      <c r="K34" s="65"/>
      <c r="L34" s="83"/>
      <c r="M34" s="67"/>
      <c r="N34" s="68"/>
      <c r="O34" s="62"/>
      <c r="P34" s="69"/>
      <c r="Q34" s="70"/>
      <c r="R34" s="50">
        <f t="shared" si="8"/>
        <v>0</v>
      </c>
      <c r="S34" s="71"/>
      <c r="T34" s="86"/>
      <c r="U34" s="81"/>
      <c r="V34" s="73"/>
      <c r="W34" s="74"/>
      <c r="X34" s="75"/>
      <c r="Y34" s="75"/>
      <c r="Z34" s="76"/>
      <c r="AA34" s="77"/>
      <c r="AB34" s="73"/>
      <c r="AC34" s="74"/>
      <c r="AD34" s="75"/>
      <c r="AE34" s="75"/>
      <c r="AF34" s="75"/>
      <c r="AG34" s="75"/>
      <c r="AH34" s="75"/>
      <c r="AI34" s="75"/>
      <c r="AJ34" s="78"/>
      <c r="AK34" s="79"/>
      <c r="AL34" s="75"/>
      <c r="AM34" s="75"/>
      <c r="AN34" s="75"/>
      <c r="AO34" s="75"/>
      <c r="AP34" s="75"/>
      <c r="AQ34" s="75"/>
      <c r="AR34" s="75"/>
      <c r="AS34" s="77"/>
      <c r="AT34" s="74"/>
      <c r="AU34" s="78"/>
      <c r="AV34" s="79"/>
      <c r="AW34" s="75"/>
      <c r="AX34" s="75"/>
      <c r="AY34" s="75"/>
      <c r="AZ34" s="77"/>
      <c r="BA34" s="74"/>
      <c r="BB34" s="75"/>
      <c r="BC34" s="75"/>
      <c r="BD34" s="77"/>
      <c r="BE34" s="6">
        <f t="shared" si="5"/>
        <v>0</v>
      </c>
    </row>
    <row r="35" spans="1:57" ht="19.5" customHeight="1">
      <c r="A35" s="61"/>
      <c r="B35" s="40"/>
      <c r="C35" s="62">
        <f t="shared" si="0"/>
        <v>0</v>
      </c>
      <c r="D35" s="63">
        <f t="shared" si="1"/>
        <v>0</v>
      </c>
      <c r="E35" s="63">
        <f t="shared" si="2"/>
        <v>0</v>
      </c>
      <c r="F35" s="63">
        <f t="shared" si="3"/>
        <v>0</v>
      </c>
      <c r="G35" s="63">
        <f t="shared" si="6"/>
        <v>0</v>
      </c>
      <c r="H35" s="63">
        <f t="shared" si="4"/>
        <v>0</v>
      </c>
      <c r="I35" s="64">
        <f t="shared" si="7"/>
        <v>0</v>
      </c>
      <c r="J35" s="65"/>
      <c r="K35" s="65"/>
      <c r="L35" s="83"/>
      <c r="M35" s="67"/>
      <c r="N35" s="68"/>
      <c r="O35" s="62"/>
      <c r="P35" s="69"/>
      <c r="Q35" s="70"/>
      <c r="R35" s="50">
        <f t="shared" si="8"/>
        <v>0</v>
      </c>
      <c r="S35" s="71"/>
      <c r="T35" s="86"/>
      <c r="U35" s="81"/>
      <c r="V35" s="73"/>
      <c r="W35" s="74"/>
      <c r="X35" s="75"/>
      <c r="Y35" s="75"/>
      <c r="Z35" s="76"/>
      <c r="AA35" s="77"/>
      <c r="AB35" s="87"/>
      <c r="AC35" s="88"/>
      <c r="AD35" s="89"/>
      <c r="AE35" s="89"/>
      <c r="AF35" s="89"/>
      <c r="AG35" s="89"/>
      <c r="AH35" s="89"/>
      <c r="AI35" s="89"/>
      <c r="AJ35" s="90"/>
      <c r="AK35" s="79"/>
      <c r="AL35" s="75"/>
      <c r="AM35" s="75"/>
      <c r="AN35" s="75"/>
      <c r="AO35" s="75"/>
      <c r="AP35" s="75"/>
      <c r="AQ35" s="75"/>
      <c r="AR35" s="75"/>
      <c r="AS35" s="77"/>
      <c r="AT35" s="74"/>
      <c r="AU35" s="78"/>
      <c r="AV35" s="79"/>
      <c r="AW35" s="75"/>
      <c r="AX35" s="75"/>
      <c r="AY35" s="75"/>
      <c r="AZ35" s="77"/>
      <c r="BA35" s="74"/>
      <c r="BB35" s="75"/>
      <c r="BC35" s="75"/>
      <c r="BD35" s="77"/>
      <c r="BE35" s="6">
        <f t="shared" si="5"/>
        <v>0</v>
      </c>
    </row>
    <row r="36" spans="1:57">
      <c r="A36" s="61"/>
      <c r="B36" s="40"/>
      <c r="C36" s="62">
        <f t="shared" si="0"/>
        <v>0</v>
      </c>
      <c r="D36" s="63">
        <f t="shared" si="1"/>
        <v>0</v>
      </c>
      <c r="E36" s="63">
        <f t="shared" si="2"/>
        <v>0</v>
      </c>
      <c r="F36" s="63">
        <f t="shared" si="3"/>
        <v>0</v>
      </c>
      <c r="G36" s="63">
        <f t="shared" si="6"/>
        <v>0</v>
      </c>
      <c r="H36" s="63">
        <f t="shared" si="4"/>
        <v>0</v>
      </c>
      <c r="I36" s="64">
        <f t="shared" si="7"/>
        <v>0</v>
      </c>
      <c r="J36" s="65"/>
      <c r="K36" s="65"/>
      <c r="L36" s="83"/>
      <c r="M36" s="67"/>
      <c r="N36" s="68"/>
      <c r="O36" s="62"/>
      <c r="P36" s="69"/>
      <c r="Q36" s="70"/>
      <c r="R36" s="50">
        <f t="shared" si="8"/>
        <v>0</v>
      </c>
      <c r="S36" s="71"/>
      <c r="T36" s="86"/>
      <c r="U36" s="81"/>
      <c r="V36" s="73"/>
      <c r="W36" s="74"/>
      <c r="X36" s="75"/>
      <c r="Y36" s="75"/>
      <c r="Z36" s="76"/>
      <c r="AA36" s="77"/>
      <c r="AB36" s="73"/>
      <c r="AC36" s="74"/>
      <c r="AD36" s="75"/>
      <c r="AE36" s="75"/>
      <c r="AF36" s="75"/>
      <c r="AG36" s="75"/>
      <c r="AH36" s="75"/>
      <c r="AI36" s="75"/>
      <c r="AJ36" s="78"/>
      <c r="AK36" s="79"/>
      <c r="AL36" s="75"/>
      <c r="AM36" s="75"/>
      <c r="AN36" s="75"/>
      <c r="AO36" s="75"/>
      <c r="AP36" s="75"/>
      <c r="AQ36" s="75"/>
      <c r="AR36" s="75"/>
      <c r="AS36" s="77"/>
      <c r="AT36" s="74"/>
      <c r="AU36" s="78"/>
      <c r="AV36" s="79"/>
      <c r="AW36" s="75"/>
      <c r="AX36" s="75"/>
      <c r="AY36" s="75"/>
      <c r="AZ36" s="77"/>
      <c r="BA36" s="74"/>
      <c r="BB36" s="75"/>
      <c r="BC36" s="75"/>
      <c r="BD36" s="77"/>
      <c r="BE36" s="6">
        <f t="shared" si="5"/>
        <v>0</v>
      </c>
    </row>
    <row r="37" spans="1:57">
      <c r="A37" s="61"/>
      <c r="B37" s="40"/>
      <c r="C37" s="62">
        <f t="shared" ref="C37:C68" si="9">SUM(AB37:AJ37)</f>
        <v>0</v>
      </c>
      <c r="D37" s="63">
        <f t="shared" ref="D37:D68" si="10">SUM(AK37:AS37)</f>
        <v>0</v>
      </c>
      <c r="E37" s="63">
        <f t="shared" ref="E37:E68" si="11">SUM(AT37:AU37)</f>
        <v>0</v>
      </c>
      <c r="F37" s="63">
        <f t="shared" ref="F37:F68" si="12">SUM(AV37:AZ37)</f>
        <v>0</v>
      </c>
      <c r="G37" s="63">
        <f t="shared" si="6"/>
        <v>0</v>
      </c>
      <c r="H37" s="63">
        <f t="shared" ref="H37:H68" si="13">SUM(V37:AA37)</f>
        <v>0</v>
      </c>
      <c r="I37" s="64">
        <f t="shared" si="7"/>
        <v>0</v>
      </c>
      <c r="J37" s="91"/>
      <c r="K37" s="65"/>
      <c r="L37" s="83"/>
      <c r="M37" s="67"/>
      <c r="N37" s="68"/>
      <c r="O37" s="62"/>
      <c r="P37" s="69"/>
      <c r="Q37" s="70"/>
      <c r="R37" s="50">
        <f t="shared" si="8"/>
        <v>0</v>
      </c>
      <c r="S37" s="92"/>
      <c r="T37" s="69"/>
      <c r="U37" s="93"/>
      <c r="V37" s="73"/>
      <c r="W37" s="74"/>
      <c r="X37" s="75"/>
      <c r="Y37" s="75"/>
      <c r="Z37" s="76"/>
      <c r="AA37" s="77"/>
      <c r="AB37" s="87"/>
      <c r="AC37" s="88"/>
      <c r="AD37" s="89"/>
      <c r="AE37" s="89"/>
      <c r="AF37" s="89"/>
      <c r="AG37" s="89"/>
      <c r="AH37" s="89"/>
      <c r="AI37" s="89"/>
      <c r="AJ37" s="90"/>
      <c r="AK37" s="79"/>
      <c r="AL37" s="75"/>
      <c r="AM37" s="75"/>
      <c r="AN37" s="75"/>
      <c r="AO37" s="75"/>
      <c r="AP37" s="75"/>
      <c r="AQ37" s="75"/>
      <c r="AR37" s="75"/>
      <c r="AS37" s="77"/>
      <c r="AT37" s="74"/>
      <c r="AU37" s="78"/>
      <c r="AV37" s="79"/>
      <c r="AW37" s="75"/>
      <c r="AX37" s="75"/>
      <c r="AY37" s="75"/>
      <c r="AZ37" s="77"/>
      <c r="BA37" s="74"/>
      <c r="BB37" s="75"/>
      <c r="BC37" s="75"/>
      <c r="BD37" s="77"/>
      <c r="BE37" s="6">
        <f t="shared" si="5"/>
        <v>0</v>
      </c>
    </row>
    <row r="38" spans="1:57">
      <c r="A38" s="61"/>
      <c r="B38" s="40"/>
      <c r="C38" s="62">
        <f t="shared" si="9"/>
        <v>0</v>
      </c>
      <c r="D38" s="63">
        <f t="shared" si="10"/>
        <v>0</v>
      </c>
      <c r="E38" s="63">
        <f t="shared" si="11"/>
        <v>0</v>
      </c>
      <c r="F38" s="63">
        <f t="shared" si="12"/>
        <v>0</v>
      </c>
      <c r="G38" s="63">
        <f t="shared" si="6"/>
        <v>0</v>
      </c>
      <c r="H38" s="63">
        <f t="shared" si="13"/>
        <v>0</v>
      </c>
      <c r="I38" s="64">
        <f t="shared" si="7"/>
        <v>0</v>
      </c>
      <c r="J38" s="65"/>
      <c r="K38" s="65"/>
      <c r="L38" s="83"/>
      <c r="M38" s="67"/>
      <c r="N38" s="68"/>
      <c r="O38" s="62"/>
      <c r="P38" s="69"/>
      <c r="Q38" s="70"/>
      <c r="R38" s="50">
        <f t="shared" si="8"/>
        <v>0</v>
      </c>
      <c r="S38" s="92"/>
      <c r="T38" s="94"/>
      <c r="U38" s="72"/>
      <c r="V38" s="73"/>
      <c r="W38" s="74"/>
      <c r="X38" s="75"/>
      <c r="Y38" s="75"/>
      <c r="Z38" s="76"/>
      <c r="AA38" s="77"/>
      <c r="AB38" s="73"/>
      <c r="AC38" s="74"/>
      <c r="AD38" s="75"/>
      <c r="AE38" s="75"/>
      <c r="AF38" s="75"/>
      <c r="AG38" s="75"/>
      <c r="AH38" s="75"/>
      <c r="AI38" s="75"/>
      <c r="AJ38" s="78"/>
      <c r="AK38" s="79"/>
      <c r="AL38" s="75"/>
      <c r="AM38" s="75"/>
      <c r="AN38" s="75"/>
      <c r="AO38" s="75"/>
      <c r="AP38" s="75"/>
      <c r="AQ38" s="75"/>
      <c r="AR38" s="75"/>
      <c r="AS38" s="77"/>
      <c r="AT38" s="74"/>
      <c r="AU38" s="78"/>
      <c r="AV38" s="79"/>
      <c r="AW38" s="75"/>
      <c r="AX38" s="75"/>
      <c r="AY38" s="75"/>
      <c r="AZ38" s="77"/>
      <c r="BA38" s="74"/>
      <c r="BB38" s="75"/>
      <c r="BC38" s="75"/>
      <c r="BD38" s="77"/>
      <c r="BE38" s="6">
        <f t="shared" si="5"/>
        <v>0</v>
      </c>
    </row>
    <row r="39" spans="1:57">
      <c r="A39" s="61"/>
      <c r="B39" s="40"/>
      <c r="C39" s="62">
        <f t="shared" si="9"/>
        <v>0</v>
      </c>
      <c r="D39" s="63">
        <f t="shared" si="10"/>
        <v>0</v>
      </c>
      <c r="E39" s="63">
        <f t="shared" si="11"/>
        <v>0</v>
      </c>
      <c r="F39" s="63">
        <f t="shared" si="12"/>
        <v>0</v>
      </c>
      <c r="G39" s="63">
        <f t="shared" si="6"/>
        <v>0</v>
      </c>
      <c r="H39" s="63">
        <f t="shared" si="13"/>
        <v>0</v>
      </c>
      <c r="I39" s="64">
        <f t="shared" si="7"/>
        <v>0</v>
      </c>
      <c r="J39" s="65"/>
      <c r="K39" s="65"/>
      <c r="L39" s="83"/>
      <c r="M39" s="67"/>
      <c r="N39" s="68"/>
      <c r="O39" s="62"/>
      <c r="P39" s="69"/>
      <c r="Q39" s="70"/>
      <c r="R39" s="50">
        <f t="shared" si="8"/>
        <v>0</v>
      </c>
      <c r="S39" s="71"/>
      <c r="T39" s="85"/>
      <c r="U39" s="72"/>
      <c r="V39" s="73"/>
      <c r="W39" s="74"/>
      <c r="X39" s="75"/>
      <c r="Y39" s="75"/>
      <c r="Z39" s="76"/>
      <c r="AA39" s="77"/>
      <c r="AB39" s="73"/>
      <c r="AC39" s="74"/>
      <c r="AD39" s="75"/>
      <c r="AE39" s="75"/>
      <c r="AF39" s="75"/>
      <c r="AG39" s="75"/>
      <c r="AH39" s="75"/>
      <c r="AI39" s="75"/>
      <c r="AJ39" s="78"/>
      <c r="AK39" s="79"/>
      <c r="AL39" s="75"/>
      <c r="AM39" s="75"/>
      <c r="AN39" s="75"/>
      <c r="AO39" s="75"/>
      <c r="AP39" s="75"/>
      <c r="AQ39" s="75"/>
      <c r="AR39" s="75"/>
      <c r="AS39" s="77"/>
      <c r="AT39" s="74"/>
      <c r="AU39" s="78"/>
      <c r="AV39" s="79"/>
      <c r="AW39" s="75"/>
      <c r="AX39" s="75"/>
      <c r="AY39" s="75"/>
      <c r="AZ39" s="77"/>
      <c r="BA39" s="74"/>
      <c r="BB39" s="75"/>
      <c r="BC39" s="75"/>
      <c r="BD39" s="77"/>
      <c r="BE39" s="6">
        <f t="shared" si="5"/>
        <v>0</v>
      </c>
    </row>
    <row r="40" spans="1:57">
      <c r="A40" s="61"/>
      <c r="B40" s="40"/>
      <c r="C40" s="62">
        <f t="shared" si="9"/>
        <v>0</v>
      </c>
      <c r="D40" s="63">
        <f t="shared" si="10"/>
        <v>0</v>
      </c>
      <c r="E40" s="63">
        <f t="shared" si="11"/>
        <v>0</v>
      </c>
      <c r="F40" s="63">
        <f t="shared" si="12"/>
        <v>0</v>
      </c>
      <c r="G40" s="63">
        <f t="shared" si="6"/>
        <v>0</v>
      </c>
      <c r="H40" s="63">
        <f t="shared" si="13"/>
        <v>0</v>
      </c>
      <c r="I40" s="64">
        <f t="shared" si="7"/>
        <v>0</v>
      </c>
      <c r="J40" s="65"/>
      <c r="K40" s="65"/>
      <c r="L40" s="83"/>
      <c r="M40" s="67"/>
      <c r="N40" s="68"/>
      <c r="O40" s="62"/>
      <c r="P40" s="69"/>
      <c r="Q40" s="70"/>
      <c r="R40" s="50">
        <f t="shared" si="8"/>
        <v>0</v>
      </c>
      <c r="S40" s="71"/>
      <c r="T40" s="69"/>
      <c r="U40" s="81"/>
      <c r="V40" s="73"/>
      <c r="W40" s="74"/>
      <c r="X40" s="75"/>
      <c r="Y40" s="75"/>
      <c r="Z40" s="76"/>
      <c r="AA40" s="77"/>
      <c r="AB40" s="73"/>
      <c r="AC40" s="74"/>
      <c r="AD40" s="75"/>
      <c r="AE40" s="75"/>
      <c r="AF40" s="75"/>
      <c r="AG40" s="75"/>
      <c r="AH40" s="75"/>
      <c r="AI40" s="75"/>
      <c r="AJ40" s="78"/>
      <c r="AK40" s="79"/>
      <c r="AL40" s="75"/>
      <c r="AM40" s="75"/>
      <c r="AN40" s="75"/>
      <c r="AO40" s="75"/>
      <c r="AP40" s="75"/>
      <c r="AQ40" s="75"/>
      <c r="AR40" s="75"/>
      <c r="AS40" s="77"/>
      <c r="AT40" s="74"/>
      <c r="AU40" s="78"/>
      <c r="AV40" s="79"/>
      <c r="AW40" s="75"/>
      <c r="AX40" s="75"/>
      <c r="AY40" s="75"/>
      <c r="AZ40" s="77"/>
      <c r="BA40" s="74"/>
      <c r="BB40" s="75"/>
      <c r="BC40" s="75"/>
      <c r="BD40" s="77"/>
      <c r="BE40" s="6">
        <f t="shared" si="5"/>
        <v>0</v>
      </c>
    </row>
    <row r="41" spans="1:57">
      <c r="A41" s="61"/>
      <c r="B41" s="40"/>
      <c r="C41" s="62">
        <f t="shared" si="9"/>
        <v>0</v>
      </c>
      <c r="D41" s="63">
        <f t="shared" si="10"/>
        <v>0</v>
      </c>
      <c r="E41" s="63">
        <f t="shared" si="11"/>
        <v>0</v>
      </c>
      <c r="F41" s="63">
        <f t="shared" si="12"/>
        <v>0</v>
      </c>
      <c r="G41" s="63">
        <f t="shared" si="6"/>
        <v>0</v>
      </c>
      <c r="H41" s="63">
        <f t="shared" si="13"/>
        <v>0</v>
      </c>
      <c r="I41" s="64">
        <f t="shared" si="7"/>
        <v>0</v>
      </c>
      <c r="J41" s="91"/>
      <c r="K41" s="65"/>
      <c r="L41" s="83"/>
      <c r="M41" s="67"/>
      <c r="N41" s="68"/>
      <c r="O41" s="62"/>
      <c r="P41" s="69"/>
      <c r="Q41" s="70"/>
      <c r="R41" s="50">
        <f t="shared" si="8"/>
        <v>0</v>
      </c>
      <c r="S41" s="92"/>
      <c r="T41" s="85"/>
      <c r="U41" s="72"/>
      <c r="V41" s="73"/>
      <c r="W41" s="74"/>
      <c r="X41" s="75"/>
      <c r="Y41" s="75"/>
      <c r="Z41" s="76"/>
      <c r="AA41" s="77"/>
      <c r="AB41" s="87"/>
      <c r="AC41" s="88"/>
      <c r="AD41" s="89"/>
      <c r="AE41" s="89"/>
      <c r="AF41" s="89"/>
      <c r="AG41" s="89"/>
      <c r="AH41" s="89"/>
      <c r="AI41" s="89"/>
      <c r="AJ41" s="90"/>
      <c r="AK41" s="79"/>
      <c r="AL41" s="75"/>
      <c r="AM41" s="75"/>
      <c r="AN41" s="75"/>
      <c r="AO41" s="75"/>
      <c r="AP41" s="75"/>
      <c r="AQ41" s="75"/>
      <c r="AR41" s="75"/>
      <c r="AS41" s="77"/>
      <c r="AT41" s="74"/>
      <c r="AU41" s="78"/>
      <c r="AV41" s="79"/>
      <c r="AW41" s="75"/>
      <c r="AX41" s="75"/>
      <c r="AY41" s="75"/>
      <c r="AZ41" s="77"/>
      <c r="BA41" s="74"/>
      <c r="BB41" s="75"/>
      <c r="BC41" s="75"/>
      <c r="BD41" s="77"/>
      <c r="BE41" s="6">
        <f t="shared" si="5"/>
        <v>0</v>
      </c>
    </row>
    <row r="42" spans="1:57">
      <c r="A42" s="61"/>
      <c r="B42" s="40"/>
      <c r="C42" s="62">
        <f t="shared" si="9"/>
        <v>0</v>
      </c>
      <c r="D42" s="63">
        <f t="shared" si="10"/>
        <v>0</v>
      </c>
      <c r="E42" s="63">
        <f t="shared" si="11"/>
        <v>0</v>
      </c>
      <c r="F42" s="63">
        <f t="shared" si="12"/>
        <v>0</v>
      </c>
      <c r="G42" s="63">
        <f t="shared" si="6"/>
        <v>0</v>
      </c>
      <c r="H42" s="63">
        <f t="shared" si="13"/>
        <v>0</v>
      </c>
      <c r="I42" s="64">
        <f t="shared" si="7"/>
        <v>0</v>
      </c>
      <c r="J42" s="65"/>
      <c r="K42" s="65"/>
      <c r="L42" s="83"/>
      <c r="M42" s="67"/>
      <c r="N42" s="68"/>
      <c r="O42" s="62"/>
      <c r="P42" s="69"/>
      <c r="Q42" s="70"/>
      <c r="R42" s="50">
        <f t="shared" si="8"/>
        <v>0</v>
      </c>
      <c r="S42" s="71"/>
      <c r="T42" s="69"/>
      <c r="U42" s="81"/>
      <c r="V42" s="73"/>
      <c r="W42" s="74"/>
      <c r="X42" s="75"/>
      <c r="Y42" s="75"/>
      <c r="Z42" s="76"/>
      <c r="AA42" s="77"/>
      <c r="AB42" s="74"/>
      <c r="AC42" s="74"/>
      <c r="AD42" s="75"/>
      <c r="AE42" s="75"/>
      <c r="AF42" s="75"/>
      <c r="AG42" s="75"/>
      <c r="AH42" s="75"/>
      <c r="AI42" s="75"/>
      <c r="AJ42" s="78"/>
      <c r="AK42" s="79"/>
      <c r="AL42" s="75"/>
      <c r="AM42" s="75"/>
      <c r="AN42" s="75"/>
      <c r="AO42" s="75"/>
      <c r="AP42" s="95"/>
      <c r="AQ42" s="75"/>
      <c r="AR42" s="75"/>
      <c r="AS42" s="77"/>
      <c r="AT42" s="74"/>
      <c r="AU42" s="78"/>
      <c r="AV42" s="79"/>
      <c r="AW42" s="75"/>
      <c r="AX42" s="75"/>
      <c r="AY42" s="75"/>
      <c r="AZ42" s="77"/>
      <c r="BA42" s="74"/>
      <c r="BB42" s="75"/>
      <c r="BC42" s="75"/>
      <c r="BD42" s="77"/>
      <c r="BE42" s="6">
        <f t="shared" si="5"/>
        <v>0</v>
      </c>
    </row>
    <row r="43" spans="1:57" ht="16.2" customHeight="1">
      <c r="A43" s="61"/>
      <c r="B43" s="40"/>
      <c r="C43" s="62">
        <f t="shared" si="9"/>
        <v>0</v>
      </c>
      <c r="D43" s="63">
        <f t="shared" si="10"/>
        <v>0</v>
      </c>
      <c r="E43" s="63">
        <f t="shared" si="11"/>
        <v>0</v>
      </c>
      <c r="F43" s="63">
        <f t="shared" si="12"/>
        <v>0</v>
      </c>
      <c r="G43" s="63">
        <f t="shared" si="6"/>
        <v>0</v>
      </c>
      <c r="H43" s="63">
        <f t="shared" si="13"/>
        <v>0</v>
      </c>
      <c r="I43" s="64">
        <f t="shared" si="7"/>
        <v>0</v>
      </c>
      <c r="J43" s="65"/>
      <c r="K43" s="65"/>
      <c r="L43" s="83"/>
      <c r="M43" s="67"/>
      <c r="N43" s="68"/>
      <c r="O43" s="62"/>
      <c r="P43" s="69"/>
      <c r="Q43" s="70"/>
      <c r="R43" s="50">
        <f t="shared" si="8"/>
        <v>0</v>
      </c>
      <c r="S43" s="71"/>
      <c r="T43" s="86"/>
      <c r="U43" s="81"/>
      <c r="V43" s="73"/>
      <c r="W43" s="74"/>
      <c r="X43" s="75"/>
      <c r="Y43" s="75"/>
      <c r="Z43" s="76"/>
      <c r="AA43" s="77"/>
      <c r="AB43" s="74"/>
      <c r="AC43" s="74"/>
      <c r="AD43" s="75"/>
      <c r="AE43" s="75"/>
      <c r="AF43" s="75"/>
      <c r="AG43" s="75"/>
      <c r="AH43" s="75"/>
      <c r="AI43" s="75"/>
      <c r="AJ43" s="78"/>
      <c r="AK43" s="79"/>
      <c r="AL43" s="75"/>
      <c r="AM43" s="75"/>
      <c r="AN43" s="75"/>
      <c r="AO43" s="75"/>
      <c r="AP43" s="95"/>
      <c r="AQ43" s="75"/>
      <c r="AR43" s="75"/>
      <c r="AS43" s="77"/>
      <c r="AT43" s="74"/>
      <c r="AU43" s="78"/>
      <c r="AV43" s="79"/>
      <c r="AW43" s="75"/>
      <c r="AX43" s="75"/>
      <c r="AY43" s="75"/>
      <c r="AZ43" s="77"/>
      <c r="BA43" s="74"/>
      <c r="BB43" s="75"/>
      <c r="BC43" s="75"/>
      <c r="BD43" s="77"/>
      <c r="BE43" s="6">
        <f t="shared" si="5"/>
        <v>0</v>
      </c>
    </row>
    <row r="44" spans="1:57">
      <c r="A44" s="61"/>
      <c r="B44" s="40"/>
      <c r="C44" s="62">
        <f t="shared" si="9"/>
        <v>0</v>
      </c>
      <c r="D44" s="63">
        <f t="shared" si="10"/>
        <v>0</v>
      </c>
      <c r="E44" s="63">
        <f t="shared" si="11"/>
        <v>0</v>
      </c>
      <c r="F44" s="63">
        <f t="shared" si="12"/>
        <v>0</v>
      </c>
      <c r="G44" s="63">
        <f t="shared" si="6"/>
        <v>0</v>
      </c>
      <c r="H44" s="63">
        <f t="shared" si="13"/>
        <v>0</v>
      </c>
      <c r="I44" s="64">
        <f t="shared" si="7"/>
        <v>0</v>
      </c>
      <c r="J44" s="65"/>
      <c r="K44" s="65"/>
      <c r="L44" s="83"/>
      <c r="M44" s="67"/>
      <c r="N44" s="68"/>
      <c r="O44" s="62"/>
      <c r="P44" s="69"/>
      <c r="Q44" s="70"/>
      <c r="R44" s="50">
        <f t="shared" si="8"/>
        <v>0</v>
      </c>
      <c r="S44" s="71"/>
      <c r="T44" s="86"/>
      <c r="U44" s="81"/>
      <c r="V44" s="73"/>
      <c r="W44" s="74"/>
      <c r="X44" s="75"/>
      <c r="Y44" s="75"/>
      <c r="Z44" s="76"/>
      <c r="AA44" s="77"/>
      <c r="AB44" s="96"/>
      <c r="AC44" s="96"/>
      <c r="AD44" s="89"/>
      <c r="AE44" s="89"/>
      <c r="AF44" s="89"/>
      <c r="AG44" s="89"/>
      <c r="AH44" s="89"/>
      <c r="AI44" s="89"/>
      <c r="AJ44" s="90"/>
      <c r="AK44" s="79"/>
      <c r="AL44" s="75"/>
      <c r="AM44" s="75"/>
      <c r="AN44" s="75"/>
      <c r="AO44" s="75"/>
      <c r="AP44" s="95"/>
      <c r="AQ44" s="75"/>
      <c r="AR44" s="75"/>
      <c r="AS44" s="77"/>
      <c r="AT44" s="74"/>
      <c r="AU44" s="78"/>
      <c r="AV44" s="79"/>
      <c r="AW44" s="75"/>
      <c r="AX44" s="75"/>
      <c r="AY44" s="75"/>
      <c r="AZ44" s="77"/>
      <c r="BA44" s="74"/>
      <c r="BB44" s="75"/>
      <c r="BC44" s="75"/>
      <c r="BD44" s="77"/>
      <c r="BE44" s="6">
        <f t="shared" si="5"/>
        <v>0</v>
      </c>
    </row>
    <row r="45" spans="1:57">
      <c r="A45" s="61"/>
      <c r="B45" s="40"/>
      <c r="C45" s="62">
        <f t="shared" si="9"/>
        <v>0</v>
      </c>
      <c r="D45" s="63">
        <f t="shared" si="10"/>
        <v>0</v>
      </c>
      <c r="E45" s="63">
        <f t="shared" si="11"/>
        <v>0</v>
      </c>
      <c r="F45" s="63">
        <f t="shared" si="12"/>
        <v>0</v>
      </c>
      <c r="G45" s="63">
        <f t="shared" si="6"/>
        <v>0</v>
      </c>
      <c r="H45" s="63">
        <f t="shared" si="13"/>
        <v>0</v>
      </c>
      <c r="I45" s="64">
        <f t="shared" si="7"/>
        <v>0</v>
      </c>
      <c r="J45" s="65"/>
      <c r="K45" s="65"/>
      <c r="L45" s="83"/>
      <c r="M45" s="67"/>
      <c r="N45" s="68"/>
      <c r="O45" s="62"/>
      <c r="P45" s="69"/>
      <c r="Q45" s="70"/>
      <c r="R45" s="50">
        <f t="shared" si="8"/>
        <v>0</v>
      </c>
      <c r="S45" s="71"/>
      <c r="T45" s="86"/>
      <c r="U45" s="81"/>
      <c r="V45" s="73"/>
      <c r="W45" s="74"/>
      <c r="X45" s="75"/>
      <c r="Y45" s="75"/>
      <c r="Z45" s="76"/>
      <c r="AA45" s="77"/>
      <c r="AB45" s="96"/>
      <c r="AC45" s="96"/>
      <c r="AD45" s="89"/>
      <c r="AE45" s="89"/>
      <c r="AF45" s="89"/>
      <c r="AG45" s="89"/>
      <c r="AH45" s="89"/>
      <c r="AI45" s="89"/>
      <c r="AJ45" s="90"/>
      <c r="AK45" s="79"/>
      <c r="AL45" s="75"/>
      <c r="AM45" s="75"/>
      <c r="AN45" s="75"/>
      <c r="AO45" s="75"/>
      <c r="AP45" s="75"/>
      <c r="AQ45" s="75"/>
      <c r="AR45" s="75"/>
      <c r="AS45" s="77"/>
      <c r="AT45" s="74"/>
      <c r="AU45" s="78"/>
      <c r="AV45" s="79"/>
      <c r="AW45" s="75"/>
      <c r="AX45" s="75"/>
      <c r="AY45" s="75"/>
      <c r="AZ45" s="77"/>
      <c r="BA45" s="74"/>
      <c r="BB45" s="75"/>
      <c r="BC45" s="75"/>
      <c r="BD45" s="77"/>
      <c r="BE45" s="6">
        <f t="shared" si="5"/>
        <v>0</v>
      </c>
    </row>
    <row r="46" spans="1:57">
      <c r="A46" s="61"/>
      <c r="B46" s="40"/>
      <c r="C46" s="97">
        <f t="shared" si="9"/>
        <v>0</v>
      </c>
      <c r="D46" s="98">
        <f t="shared" si="10"/>
        <v>0</v>
      </c>
      <c r="E46" s="98">
        <f t="shared" si="11"/>
        <v>0</v>
      </c>
      <c r="F46" s="98">
        <f t="shared" si="12"/>
        <v>0</v>
      </c>
      <c r="G46" s="98">
        <f t="shared" si="6"/>
        <v>0</v>
      </c>
      <c r="H46" s="98">
        <f t="shared" si="13"/>
        <v>0</v>
      </c>
      <c r="I46" s="64">
        <f t="shared" si="7"/>
        <v>0</v>
      </c>
      <c r="J46" s="99"/>
      <c r="K46" s="99"/>
      <c r="L46" s="100"/>
      <c r="M46" s="101"/>
      <c r="N46" s="102"/>
      <c r="O46" s="97"/>
      <c r="P46" s="69"/>
      <c r="Q46" s="103"/>
      <c r="R46" s="50">
        <f t="shared" si="8"/>
        <v>0</v>
      </c>
      <c r="S46" s="71"/>
      <c r="T46" s="86"/>
      <c r="U46" s="81"/>
      <c r="V46" s="73"/>
      <c r="W46" s="74"/>
      <c r="X46" s="75"/>
      <c r="Y46" s="75"/>
      <c r="Z46" s="76"/>
      <c r="AA46" s="77"/>
      <c r="AB46" s="88"/>
      <c r="AC46" s="88"/>
      <c r="AD46" s="89"/>
      <c r="AE46" s="89"/>
      <c r="AF46" s="89"/>
      <c r="AG46" s="89"/>
      <c r="AH46" s="89"/>
      <c r="AI46" s="89"/>
      <c r="AJ46" s="90"/>
      <c r="AK46" s="79"/>
      <c r="AL46" s="75"/>
      <c r="AM46" s="75"/>
      <c r="AN46" s="75"/>
      <c r="AO46" s="75"/>
      <c r="AP46" s="75"/>
      <c r="AQ46" s="75"/>
      <c r="AR46" s="75"/>
      <c r="AS46" s="77"/>
      <c r="AT46" s="74"/>
      <c r="AU46" s="78"/>
      <c r="AV46" s="79"/>
      <c r="AW46" s="75"/>
      <c r="AX46" s="75"/>
      <c r="AY46" s="75"/>
      <c r="AZ46" s="77"/>
      <c r="BA46" s="74"/>
      <c r="BB46" s="75"/>
      <c r="BC46" s="75"/>
      <c r="BD46" s="77"/>
      <c r="BE46" s="104"/>
    </row>
    <row r="47" spans="1:57">
      <c r="A47" s="61"/>
      <c r="B47" s="40"/>
      <c r="C47" s="62">
        <f t="shared" si="9"/>
        <v>0</v>
      </c>
      <c r="D47" s="63">
        <f t="shared" si="10"/>
        <v>0</v>
      </c>
      <c r="E47" s="63">
        <f t="shared" si="11"/>
        <v>0</v>
      </c>
      <c r="F47" s="63">
        <f t="shared" si="12"/>
        <v>0</v>
      </c>
      <c r="G47" s="63">
        <f t="shared" si="6"/>
        <v>0</v>
      </c>
      <c r="H47" s="63">
        <f t="shared" si="13"/>
        <v>0</v>
      </c>
      <c r="I47" s="64">
        <f t="shared" si="7"/>
        <v>0</v>
      </c>
      <c r="J47" s="65"/>
      <c r="K47" s="65"/>
      <c r="L47" s="83"/>
      <c r="M47" s="67"/>
      <c r="N47" s="68"/>
      <c r="O47" s="62"/>
      <c r="P47" s="69"/>
      <c r="Q47" s="70"/>
      <c r="R47" s="50">
        <f t="shared" si="8"/>
        <v>0</v>
      </c>
      <c r="S47" s="105"/>
      <c r="T47" s="86"/>
      <c r="U47" s="81"/>
      <c r="V47" s="73"/>
      <c r="W47" s="74"/>
      <c r="X47" s="75"/>
      <c r="Y47" s="75"/>
      <c r="Z47" s="76"/>
      <c r="AA47" s="77"/>
      <c r="AB47" s="88"/>
      <c r="AC47" s="88"/>
      <c r="AD47" s="89"/>
      <c r="AE47" s="89"/>
      <c r="AF47" s="89"/>
      <c r="AG47" s="89"/>
      <c r="AH47" s="89"/>
      <c r="AI47" s="89"/>
      <c r="AJ47" s="90"/>
      <c r="AK47" s="79"/>
      <c r="AL47" s="75"/>
      <c r="AM47" s="75"/>
      <c r="AN47" s="75"/>
      <c r="AO47" s="75"/>
      <c r="AP47" s="84"/>
      <c r="AQ47" s="75"/>
      <c r="AR47" s="75"/>
      <c r="AS47" s="77"/>
      <c r="AT47" s="74"/>
      <c r="AU47" s="78"/>
      <c r="AV47" s="79"/>
      <c r="AW47" s="75"/>
      <c r="AX47" s="75"/>
      <c r="AY47" s="75"/>
      <c r="AZ47" s="77"/>
      <c r="BA47" s="74"/>
      <c r="BB47" s="75"/>
      <c r="BC47" s="75"/>
      <c r="BD47" s="77"/>
      <c r="BE47" s="6">
        <f t="shared" ref="BE47:BE78" si="14">I47-SUM(AB47:BD47)</f>
        <v>0</v>
      </c>
    </row>
    <row r="48" spans="1:57">
      <c r="A48" s="61"/>
      <c r="B48" s="40"/>
      <c r="C48" s="62">
        <f t="shared" si="9"/>
        <v>0</v>
      </c>
      <c r="D48" s="63">
        <f t="shared" si="10"/>
        <v>0</v>
      </c>
      <c r="E48" s="63">
        <f t="shared" si="11"/>
        <v>0</v>
      </c>
      <c r="F48" s="63">
        <f t="shared" si="12"/>
        <v>0</v>
      </c>
      <c r="G48" s="63">
        <f t="shared" si="6"/>
        <v>0</v>
      </c>
      <c r="H48" s="63">
        <f t="shared" si="13"/>
        <v>0</v>
      </c>
      <c r="I48" s="64">
        <f t="shared" si="7"/>
        <v>0</v>
      </c>
      <c r="J48" s="65"/>
      <c r="K48" s="65"/>
      <c r="L48" s="83"/>
      <c r="M48" s="67"/>
      <c r="N48" s="68"/>
      <c r="O48" s="62"/>
      <c r="P48" s="69"/>
      <c r="Q48" s="70"/>
      <c r="R48" s="50">
        <f t="shared" si="8"/>
        <v>0</v>
      </c>
      <c r="S48" s="71"/>
      <c r="T48" s="85"/>
      <c r="U48" s="72"/>
      <c r="V48" s="73"/>
      <c r="W48" s="74"/>
      <c r="X48" s="75"/>
      <c r="Y48" s="75"/>
      <c r="Z48" s="76"/>
      <c r="AA48" s="77"/>
      <c r="AB48" s="88"/>
      <c r="AC48" s="88"/>
      <c r="AD48" s="89"/>
      <c r="AE48" s="89"/>
      <c r="AF48" s="89"/>
      <c r="AG48" s="89"/>
      <c r="AH48" s="89"/>
      <c r="AI48" s="89"/>
      <c r="AJ48" s="90"/>
      <c r="AK48" s="79"/>
      <c r="AL48" s="75"/>
      <c r="AM48" s="75"/>
      <c r="AN48" s="75"/>
      <c r="AO48" s="75"/>
      <c r="AP48" s="95"/>
      <c r="AQ48" s="75"/>
      <c r="AR48" s="75"/>
      <c r="AS48" s="77"/>
      <c r="AT48" s="74"/>
      <c r="AU48" s="78"/>
      <c r="AV48" s="79"/>
      <c r="AW48" s="75"/>
      <c r="AX48" s="75"/>
      <c r="AY48" s="75"/>
      <c r="AZ48" s="77"/>
      <c r="BA48" s="74"/>
      <c r="BB48" s="75"/>
      <c r="BC48" s="75"/>
      <c r="BD48" s="77"/>
      <c r="BE48" s="6">
        <f t="shared" si="14"/>
        <v>0</v>
      </c>
    </row>
    <row r="49" spans="1:57">
      <c r="A49" s="61"/>
      <c r="B49" s="40"/>
      <c r="C49" s="62">
        <f t="shared" si="9"/>
        <v>0</v>
      </c>
      <c r="D49" s="63">
        <f t="shared" si="10"/>
        <v>0</v>
      </c>
      <c r="E49" s="63">
        <f t="shared" si="11"/>
        <v>0</v>
      </c>
      <c r="F49" s="63">
        <f t="shared" si="12"/>
        <v>0</v>
      </c>
      <c r="G49" s="63">
        <f t="shared" si="6"/>
        <v>0</v>
      </c>
      <c r="H49" s="63">
        <f t="shared" si="13"/>
        <v>0</v>
      </c>
      <c r="I49" s="64">
        <f t="shared" si="7"/>
        <v>0</v>
      </c>
      <c r="J49" s="65"/>
      <c r="K49" s="65"/>
      <c r="L49" s="83"/>
      <c r="M49" s="67"/>
      <c r="N49" s="68"/>
      <c r="O49" s="62"/>
      <c r="P49" s="69"/>
      <c r="Q49" s="70"/>
      <c r="R49" s="50">
        <f t="shared" si="8"/>
        <v>0</v>
      </c>
      <c r="S49" s="71"/>
      <c r="T49" s="86"/>
      <c r="U49" s="72"/>
      <c r="V49" s="73"/>
      <c r="W49" s="74"/>
      <c r="X49" s="75"/>
      <c r="Y49" s="75"/>
      <c r="Z49" s="76"/>
      <c r="AA49" s="77"/>
      <c r="AB49" s="74"/>
      <c r="AC49" s="74"/>
      <c r="AD49" s="75"/>
      <c r="AE49" s="75"/>
      <c r="AF49" s="75"/>
      <c r="AG49" s="75"/>
      <c r="AH49" s="75"/>
      <c r="AI49" s="75"/>
      <c r="AJ49" s="78"/>
      <c r="AK49" s="79"/>
      <c r="AL49" s="75"/>
      <c r="AM49" s="75"/>
      <c r="AN49" s="75"/>
      <c r="AO49" s="75"/>
      <c r="AP49" s="95"/>
      <c r="AQ49" s="75"/>
      <c r="AR49" s="75"/>
      <c r="AS49" s="77"/>
      <c r="AT49" s="74"/>
      <c r="AU49" s="78"/>
      <c r="AV49" s="79"/>
      <c r="AW49" s="75"/>
      <c r="AX49" s="75"/>
      <c r="AY49" s="75"/>
      <c r="AZ49" s="77"/>
      <c r="BA49" s="74"/>
      <c r="BB49" s="75"/>
      <c r="BC49" s="75"/>
      <c r="BD49" s="77"/>
      <c r="BE49" s="6">
        <f t="shared" si="14"/>
        <v>0</v>
      </c>
    </row>
    <row r="50" spans="1:57">
      <c r="A50" s="61"/>
      <c r="B50" s="40"/>
      <c r="C50" s="62">
        <f t="shared" si="9"/>
        <v>0</v>
      </c>
      <c r="D50" s="63">
        <f t="shared" si="10"/>
        <v>0</v>
      </c>
      <c r="E50" s="63">
        <f t="shared" si="11"/>
        <v>0</v>
      </c>
      <c r="F50" s="63">
        <f t="shared" si="12"/>
        <v>0</v>
      </c>
      <c r="G50" s="63">
        <f t="shared" si="6"/>
        <v>0</v>
      </c>
      <c r="H50" s="63">
        <f t="shared" si="13"/>
        <v>0</v>
      </c>
      <c r="I50" s="64">
        <f t="shared" si="7"/>
        <v>0</v>
      </c>
      <c r="J50" s="65"/>
      <c r="K50" s="65"/>
      <c r="L50" s="83"/>
      <c r="M50" s="67"/>
      <c r="N50" s="68"/>
      <c r="O50" s="62"/>
      <c r="P50" s="69"/>
      <c r="Q50" s="70"/>
      <c r="R50" s="50">
        <f t="shared" si="8"/>
        <v>0</v>
      </c>
      <c r="S50" s="71"/>
      <c r="T50" s="69"/>
      <c r="U50" s="81"/>
      <c r="V50" s="73"/>
      <c r="W50" s="74"/>
      <c r="X50" s="75"/>
      <c r="Y50" s="75"/>
      <c r="Z50" s="76"/>
      <c r="AA50" s="77"/>
      <c r="AB50" s="73"/>
      <c r="AC50" s="74"/>
      <c r="AD50" s="75"/>
      <c r="AE50" s="75"/>
      <c r="AF50" s="75"/>
      <c r="AG50" s="75"/>
      <c r="AH50" s="75"/>
      <c r="AI50" s="75"/>
      <c r="AJ50" s="78"/>
      <c r="AK50" s="79"/>
      <c r="AL50" s="75"/>
      <c r="AM50" s="75"/>
      <c r="AN50" s="75"/>
      <c r="AO50" s="75"/>
      <c r="AP50" s="75"/>
      <c r="AQ50" s="75"/>
      <c r="AR50" s="75"/>
      <c r="AS50" s="77"/>
      <c r="AT50" s="74"/>
      <c r="AU50" s="78"/>
      <c r="AV50" s="79"/>
      <c r="AW50" s="75"/>
      <c r="AX50" s="75"/>
      <c r="AY50" s="75"/>
      <c r="AZ50" s="77"/>
      <c r="BA50" s="74"/>
      <c r="BB50" s="75"/>
      <c r="BC50" s="75"/>
      <c r="BD50" s="77"/>
      <c r="BE50" s="6">
        <f t="shared" si="14"/>
        <v>0</v>
      </c>
    </row>
    <row r="51" spans="1:57">
      <c r="A51" s="61"/>
      <c r="B51" s="40"/>
      <c r="C51" s="62">
        <f t="shared" si="9"/>
        <v>0</v>
      </c>
      <c r="D51" s="63">
        <f t="shared" si="10"/>
        <v>0</v>
      </c>
      <c r="E51" s="63">
        <f t="shared" si="11"/>
        <v>0</v>
      </c>
      <c r="F51" s="63">
        <f t="shared" si="12"/>
        <v>0</v>
      </c>
      <c r="G51" s="63">
        <f t="shared" si="6"/>
        <v>0</v>
      </c>
      <c r="H51" s="63">
        <f t="shared" si="13"/>
        <v>0</v>
      </c>
      <c r="I51" s="64">
        <f t="shared" si="7"/>
        <v>0</v>
      </c>
      <c r="J51" s="65"/>
      <c r="K51" s="65"/>
      <c r="L51" s="83"/>
      <c r="M51" s="67"/>
      <c r="N51" s="68"/>
      <c r="O51" s="62"/>
      <c r="P51" s="69"/>
      <c r="Q51" s="70"/>
      <c r="R51" s="50">
        <f t="shared" si="8"/>
        <v>0</v>
      </c>
      <c r="S51" s="71"/>
      <c r="T51" s="69"/>
      <c r="U51" s="72"/>
      <c r="V51" s="73"/>
      <c r="W51" s="74"/>
      <c r="X51" s="75"/>
      <c r="Y51" s="75"/>
      <c r="Z51" s="76"/>
      <c r="AA51" s="77"/>
      <c r="AB51" s="73"/>
      <c r="AC51" s="74"/>
      <c r="AD51" s="75"/>
      <c r="AE51" s="75"/>
      <c r="AF51" s="75"/>
      <c r="AG51" s="75"/>
      <c r="AH51" s="75"/>
      <c r="AI51" s="75"/>
      <c r="AJ51" s="78"/>
      <c r="AK51" s="79"/>
      <c r="AL51" s="75"/>
      <c r="AM51" s="75"/>
      <c r="AN51" s="75"/>
      <c r="AO51" s="75"/>
      <c r="AP51" s="75"/>
      <c r="AQ51" s="75"/>
      <c r="AR51" s="75"/>
      <c r="AS51" s="77"/>
      <c r="AT51" s="74"/>
      <c r="AU51" s="78"/>
      <c r="AV51" s="79"/>
      <c r="AW51" s="75"/>
      <c r="AX51" s="75"/>
      <c r="AY51" s="75"/>
      <c r="AZ51" s="77"/>
      <c r="BA51" s="74"/>
      <c r="BB51" s="75"/>
      <c r="BC51" s="75"/>
      <c r="BD51" s="77"/>
      <c r="BE51" s="6">
        <f t="shared" si="14"/>
        <v>0</v>
      </c>
    </row>
    <row r="52" spans="1:57">
      <c r="A52" s="61"/>
      <c r="B52" s="40"/>
      <c r="C52" s="62">
        <f t="shared" si="9"/>
        <v>0</v>
      </c>
      <c r="D52" s="63">
        <f t="shared" si="10"/>
        <v>0</v>
      </c>
      <c r="E52" s="63">
        <f t="shared" si="11"/>
        <v>0</v>
      </c>
      <c r="F52" s="63">
        <f t="shared" si="12"/>
        <v>0</v>
      </c>
      <c r="G52" s="63">
        <f t="shared" si="6"/>
        <v>0</v>
      </c>
      <c r="H52" s="63">
        <f t="shared" si="13"/>
        <v>0</v>
      </c>
      <c r="I52" s="64">
        <f t="shared" si="7"/>
        <v>0</v>
      </c>
      <c r="J52" s="65"/>
      <c r="K52" s="65"/>
      <c r="L52" s="83"/>
      <c r="M52" s="67"/>
      <c r="N52" s="68"/>
      <c r="O52" s="62"/>
      <c r="P52" s="69"/>
      <c r="Q52" s="70"/>
      <c r="R52" s="50">
        <f t="shared" si="8"/>
        <v>0</v>
      </c>
      <c r="S52" s="71"/>
      <c r="T52" s="69"/>
      <c r="U52" s="81"/>
      <c r="V52" s="73"/>
      <c r="W52" s="74"/>
      <c r="X52" s="75"/>
      <c r="Y52" s="75"/>
      <c r="Z52" s="76"/>
      <c r="AA52" s="77"/>
      <c r="AB52" s="73"/>
      <c r="AC52" s="74"/>
      <c r="AD52" s="75"/>
      <c r="AE52" s="75"/>
      <c r="AF52" s="75"/>
      <c r="AG52" s="75"/>
      <c r="AH52" s="75"/>
      <c r="AI52" s="75"/>
      <c r="AJ52" s="78"/>
      <c r="AK52" s="79"/>
      <c r="AL52" s="75"/>
      <c r="AM52" s="75"/>
      <c r="AN52" s="75"/>
      <c r="AO52" s="75"/>
      <c r="AP52" s="75"/>
      <c r="AQ52" s="75"/>
      <c r="AR52" s="75"/>
      <c r="AS52" s="77"/>
      <c r="AT52" s="74"/>
      <c r="AU52" s="78"/>
      <c r="AV52" s="79"/>
      <c r="AW52" s="75"/>
      <c r="AX52" s="75"/>
      <c r="AY52" s="75"/>
      <c r="AZ52" s="77"/>
      <c r="BA52" s="74"/>
      <c r="BB52" s="75"/>
      <c r="BC52" s="75"/>
      <c r="BD52" s="77"/>
      <c r="BE52" s="6">
        <f t="shared" si="14"/>
        <v>0</v>
      </c>
    </row>
    <row r="53" spans="1:57">
      <c r="A53" s="61"/>
      <c r="B53" s="40"/>
      <c r="C53" s="62">
        <f t="shared" si="9"/>
        <v>0</v>
      </c>
      <c r="D53" s="63">
        <f t="shared" si="10"/>
        <v>0</v>
      </c>
      <c r="E53" s="63">
        <f t="shared" si="11"/>
        <v>0</v>
      </c>
      <c r="F53" s="63">
        <f t="shared" si="12"/>
        <v>0</v>
      </c>
      <c r="G53" s="63">
        <f t="shared" si="6"/>
        <v>0</v>
      </c>
      <c r="H53" s="63">
        <f t="shared" si="13"/>
        <v>0</v>
      </c>
      <c r="I53" s="64">
        <f t="shared" si="7"/>
        <v>0</v>
      </c>
      <c r="J53" s="65"/>
      <c r="K53" s="65"/>
      <c r="L53" s="83"/>
      <c r="M53" s="67"/>
      <c r="N53" s="68"/>
      <c r="O53" s="62"/>
      <c r="P53" s="69"/>
      <c r="Q53" s="70"/>
      <c r="R53" s="50">
        <f t="shared" si="8"/>
        <v>0</v>
      </c>
      <c r="S53" s="71"/>
      <c r="T53" s="69"/>
      <c r="U53" s="72"/>
      <c r="V53" s="73"/>
      <c r="W53" s="74"/>
      <c r="X53" s="75"/>
      <c r="Y53" s="75"/>
      <c r="Z53" s="76"/>
      <c r="AA53" s="77"/>
      <c r="AB53" s="73"/>
      <c r="AC53" s="74"/>
      <c r="AD53" s="75"/>
      <c r="AE53" s="75"/>
      <c r="AF53" s="75"/>
      <c r="AG53" s="75"/>
      <c r="AH53" s="75"/>
      <c r="AI53" s="75"/>
      <c r="AJ53" s="78"/>
      <c r="AK53" s="79"/>
      <c r="AL53" s="75"/>
      <c r="AM53" s="75"/>
      <c r="AN53" s="75"/>
      <c r="AO53" s="75"/>
      <c r="AP53" s="75"/>
      <c r="AQ53" s="75"/>
      <c r="AR53" s="75"/>
      <c r="AS53" s="77"/>
      <c r="AT53" s="74"/>
      <c r="AU53" s="78"/>
      <c r="AV53" s="79"/>
      <c r="AW53" s="75"/>
      <c r="AX53" s="75"/>
      <c r="AY53" s="75"/>
      <c r="AZ53" s="77"/>
      <c r="BA53" s="74"/>
      <c r="BB53" s="75"/>
      <c r="BC53" s="75"/>
      <c r="BD53" s="77"/>
      <c r="BE53" s="6">
        <f t="shared" si="14"/>
        <v>0</v>
      </c>
    </row>
    <row r="54" spans="1:57">
      <c r="A54" s="61"/>
      <c r="B54" s="40"/>
      <c r="C54" s="62">
        <f t="shared" si="9"/>
        <v>0</v>
      </c>
      <c r="D54" s="63">
        <f t="shared" si="10"/>
        <v>0</v>
      </c>
      <c r="E54" s="63">
        <f t="shared" si="11"/>
        <v>0</v>
      </c>
      <c r="F54" s="63">
        <f t="shared" si="12"/>
        <v>0</v>
      </c>
      <c r="G54" s="63">
        <f t="shared" si="6"/>
        <v>0</v>
      </c>
      <c r="H54" s="63">
        <f t="shared" si="13"/>
        <v>0</v>
      </c>
      <c r="I54" s="64">
        <f t="shared" si="7"/>
        <v>0</v>
      </c>
      <c r="J54" s="65"/>
      <c r="K54" s="65"/>
      <c r="L54" s="83"/>
      <c r="M54" s="67"/>
      <c r="N54" s="68"/>
      <c r="O54" s="62"/>
      <c r="P54" s="69"/>
      <c r="Q54" s="70"/>
      <c r="R54" s="50">
        <f t="shared" si="8"/>
        <v>0</v>
      </c>
      <c r="S54" s="71"/>
      <c r="T54" s="69"/>
      <c r="U54" s="72"/>
      <c r="V54" s="73"/>
      <c r="W54" s="74"/>
      <c r="X54" s="75"/>
      <c r="Y54" s="75"/>
      <c r="Z54" s="76"/>
      <c r="AA54" s="77"/>
      <c r="AB54" s="73"/>
      <c r="AC54" s="74"/>
      <c r="AD54" s="75"/>
      <c r="AE54" s="75"/>
      <c r="AF54" s="75"/>
      <c r="AG54" s="75"/>
      <c r="AH54" s="75"/>
      <c r="AI54" s="75"/>
      <c r="AJ54" s="78"/>
      <c r="AK54" s="79"/>
      <c r="AL54" s="75"/>
      <c r="AM54" s="75"/>
      <c r="AN54" s="75"/>
      <c r="AO54" s="75"/>
      <c r="AP54" s="75"/>
      <c r="AQ54" s="75"/>
      <c r="AR54" s="75"/>
      <c r="AS54" s="77"/>
      <c r="AT54" s="74"/>
      <c r="AU54" s="78"/>
      <c r="AV54" s="79"/>
      <c r="AW54" s="75"/>
      <c r="AX54" s="75"/>
      <c r="AY54" s="75"/>
      <c r="AZ54" s="77"/>
      <c r="BA54" s="74"/>
      <c r="BB54" s="75"/>
      <c r="BC54" s="75"/>
      <c r="BD54" s="77"/>
      <c r="BE54" s="6">
        <f t="shared" si="14"/>
        <v>0</v>
      </c>
    </row>
    <row r="55" spans="1:57">
      <c r="A55" s="61"/>
      <c r="B55" s="40"/>
      <c r="C55" s="62">
        <f t="shared" si="9"/>
        <v>0</v>
      </c>
      <c r="D55" s="63">
        <f t="shared" si="10"/>
        <v>0</v>
      </c>
      <c r="E55" s="63">
        <f t="shared" si="11"/>
        <v>0</v>
      </c>
      <c r="F55" s="63">
        <f t="shared" si="12"/>
        <v>0</v>
      </c>
      <c r="G55" s="63">
        <f t="shared" si="6"/>
        <v>0</v>
      </c>
      <c r="H55" s="63">
        <f t="shared" si="13"/>
        <v>0</v>
      </c>
      <c r="I55" s="64">
        <f t="shared" si="7"/>
        <v>0</v>
      </c>
      <c r="J55" s="65"/>
      <c r="K55" s="65"/>
      <c r="L55" s="83"/>
      <c r="M55" s="67"/>
      <c r="N55" s="68"/>
      <c r="O55" s="62"/>
      <c r="P55" s="69"/>
      <c r="Q55" s="70"/>
      <c r="R55" s="50">
        <f t="shared" si="8"/>
        <v>0</v>
      </c>
      <c r="S55" s="71"/>
      <c r="T55" s="69"/>
      <c r="U55" s="72"/>
      <c r="V55" s="73"/>
      <c r="W55" s="74"/>
      <c r="X55" s="75"/>
      <c r="Y55" s="75"/>
      <c r="Z55" s="76"/>
      <c r="AA55" s="77"/>
      <c r="AB55" s="73"/>
      <c r="AC55" s="74"/>
      <c r="AD55" s="75"/>
      <c r="AE55" s="75"/>
      <c r="AF55" s="75"/>
      <c r="AG55" s="75"/>
      <c r="AH55" s="75"/>
      <c r="AI55" s="75"/>
      <c r="AJ55" s="78"/>
      <c r="AK55" s="79"/>
      <c r="AL55" s="75"/>
      <c r="AM55" s="75"/>
      <c r="AN55" s="75"/>
      <c r="AO55" s="75"/>
      <c r="AP55" s="75"/>
      <c r="AQ55" s="75"/>
      <c r="AR55" s="75"/>
      <c r="AS55" s="77"/>
      <c r="AT55" s="74"/>
      <c r="AU55" s="78"/>
      <c r="AV55" s="79"/>
      <c r="AW55" s="75"/>
      <c r="AX55" s="75"/>
      <c r="AY55" s="75"/>
      <c r="AZ55" s="77"/>
      <c r="BA55" s="74"/>
      <c r="BB55" s="75"/>
      <c r="BC55" s="75"/>
      <c r="BD55" s="77"/>
      <c r="BE55" s="6">
        <f t="shared" si="14"/>
        <v>0</v>
      </c>
    </row>
    <row r="56" spans="1:57">
      <c r="A56" s="61"/>
      <c r="B56" s="40"/>
      <c r="C56" s="62">
        <f t="shared" si="9"/>
        <v>0</v>
      </c>
      <c r="D56" s="63">
        <f t="shared" si="10"/>
        <v>0</v>
      </c>
      <c r="E56" s="63">
        <f t="shared" si="11"/>
        <v>0</v>
      </c>
      <c r="F56" s="63">
        <f t="shared" si="12"/>
        <v>0</v>
      </c>
      <c r="G56" s="63">
        <f t="shared" si="6"/>
        <v>0</v>
      </c>
      <c r="H56" s="63">
        <f t="shared" si="13"/>
        <v>0</v>
      </c>
      <c r="I56" s="64">
        <f t="shared" si="7"/>
        <v>0</v>
      </c>
      <c r="J56" s="65"/>
      <c r="K56" s="65"/>
      <c r="L56" s="83"/>
      <c r="M56" s="67"/>
      <c r="N56" s="68"/>
      <c r="O56" s="62"/>
      <c r="P56" s="69"/>
      <c r="Q56" s="70"/>
      <c r="R56" s="50">
        <f t="shared" si="8"/>
        <v>0</v>
      </c>
      <c r="S56" s="71"/>
      <c r="T56" s="69"/>
      <c r="U56" s="72"/>
      <c r="V56" s="73"/>
      <c r="W56" s="74"/>
      <c r="X56" s="75"/>
      <c r="Y56" s="75"/>
      <c r="Z56" s="76"/>
      <c r="AA56" s="77"/>
      <c r="AB56" s="87"/>
      <c r="AC56" s="88"/>
      <c r="AD56" s="89"/>
      <c r="AE56" s="89"/>
      <c r="AF56" s="89"/>
      <c r="AG56" s="89"/>
      <c r="AH56" s="89"/>
      <c r="AI56" s="89"/>
      <c r="AJ56" s="90"/>
      <c r="AK56" s="79"/>
      <c r="AL56" s="75"/>
      <c r="AM56" s="75"/>
      <c r="AN56" s="75"/>
      <c r="AO56" s="75"/>
      <c r="AP56" s="75"/>
      <c r="AQ56" s="75"/>
      <c r="AR56" s="75"/>
      <c r="AS56" s="77"/>
      <c r="AT56" s="74"/>
      <c r="AU56" s="78"/>
      <c r="AV56" s="79"/>
      <c r="AW56" s="75"/>
      <c r="AX56" s="75"/>
      <c r="AY56" s="75"/>
      <c r="AZ56" s="77"/>
      <c r="BA56" s="74"/>
      <c r="BB56" s="75"/>
      <c r="BC56" s="75"/>
      <c r="BD56" s="77"/>
      <c r="BE56" s="6">
        <f t="shared" si="14"/>
        <v>0</v>
      </c>
    </row>
    <row r="57" spans="1:57">
      <c r="A57" s="61"/>
      <c r="B57" s="40"/>
      <c r="C57" s="62">
        <f t="shared" si="9"/>
        <v>0</v>
      </c>
      <c r="D57" s="63">
        <f t="shared" si="10"/>
        <v>0</v>
      </c>
      <c r="E57" s="63">
        <f t="shared" si="11"/>
        <v>0</v>
      </c>
      <c r="F57" s="63">
        <f t="shared" si="12"/>
        <v>0</v>
      </c>
      <c r="G57" s="63">
        <f t="shared" si="6"/>
        <v>0</v>
      </c>
      <c r="H57" s="63">
        <f t="shared" si="13"/>
        <v>0</v>
      </c>
      <c r="I57" s="64">
        <f t="shared" si="7"/>
        <v>0</v>
      </c>
      <c r="J57" s="65"/>
      <c r="K57" s="65"/>
      <c r="L57" s="83"/>
      <c r="M57" s="67"/>
      <c r="N57" s="68"/>
      <c r="O57" s="62"/>
      <c r="P57" s="69"/>
      <c r="Q57" s="70"/>
      <c r="R57" s="50">
        <f t="shared" si="8"/>
        <v>0</v>
      </c>
      <c r="S57" s="71"/>
      <c r="T57" s="94"/>
      <c r="U57" s="72"/>
      <c r="V57" s="73"/>
      <c r="W57" s="74"/>
      <c r="X57" s="75"/>
      <c r="Y57" s="75"/>
      <c r="Z57" s="76"/>
      <c r="AA57" s="77"/>
      <c r="AB57" s="73"/>
      <c r="AC57" s="74"/>
      <c r="AD57" s="75"/>
      <c r="AE57" s="75"/>
      <c r="AF57" s="75"/>
      <c r="AG57" s="75"/>
      <c r="AH57" s="75"/>
      <c r="AI57" s="75"/>
      <c r="AJ57" s="78"/>
      <c r="AK57" s="79"/>
      <c r="AL57" s="75"/>
      <c r="AM57" s="75"/>
      <c r="AN57" s="75"/>
      <c r="AO57" s="75"/>
      <c r="AP57" s="75"/>
      <c r="AQ57" s="75"/>
      <c r="AR57" s="75"/>
      <c r="AS57" s="77"/>
      <c r="AT57" s="74"/>
      <c r="AU57" s="78"/>
      <c r="AV57" s="79"/>
      <c r="AW57" s="75"/>
      <c r="AX57" s="75"/>
      <c r="AY57" s="75"/>
      <c r="AZ57" s="77"/>
      <c r="BA57" s="74"/>
      <c r="BB57" s="75"/>
      <c r="BC57" s="75"/>
      <c r="BD57" s="77"/>
      <c r="BE57" s="6">
        <f t="shared" si="14"/>
        <v>0</v>
      </c>
    </row>
    <row r="58" spans="1:57">
      <c r="A58" s="61"/>
      <c r="B58" s="40"/>
      <c r="C58" s="62">
        <f t="shared" si="9"/>
        <v>0</v>
      </c>
      <c r="D58" s="63">
        <f t="shared" si="10"/>
        <v>0</v>
      </c>
      <c r="E58" s="63">
        <f t="shared" si="11"/>
        <v>0</v>
      </c>
      <c r="F58" s="63">
        <f t="shared" si="12"/>
        <v>0</v>
      </c>
      <c r="G58" s="63">
        <f t="shared" si="6"/>
        <v>0</v>
      </c>
      <c r="H58" s="63">
        <f t="shared" si="13"/>
        <v>0</v>
      </c>
      <c r="I58" s="64">
        <f t="shared" si="7"/>
        <v>0</v>
      </c>
      <c r="J58" s="65"/>
      <c r="K58" s="65"/>
      <c r="L58" s="83"/>
      <c r="M58" s="67"/>
      <c r="N58" s="68"/>
      <c r="O58" s="62"/>
      <c r="P58" s="69"/>
      <c r="Q58" s="70"/>
      <c r="R58" s="50">
        <f t="shared" si="8"/>
        <v>0</v>
      </c>
      <c r="S58" s="71"/>
      <c r="T58" s="85"/>
      <c r="U58" s="72"/>
      <c r="V58" s="73"/>
      <c r="W58" s="74"/>
      <c r="X58" s="75"/>
      <c r="Y58" s="75"/>
      <c r="Z58" s="76"/>
      <c r="AA58" s="77"/>
      <c r="AB58" s="87"/>
      <c r="AC58" s="88"/>
      <c r="AD58" s="89"/>
      <c r="AE58" s="89"/>
      <c r="AF58" s="89"/>
      <c r="AG58" s="89"/>
      <c r="AH58" s="89"/>
      <c r="AI58" s="89"/>
      <c r="AJ58" s="90"/>
      <c r="AK58" s="79"/>
      <c r="AL58" s="75"/>
      <c r="AM58" s="75"/>
      <c r="AN58" s="75"/>
      <c r="AO58" s="75"/>
      <c r="AP58" s="75"/>
      <c r="AQ58" s="75"/>
      <c r="AR58" s="75"/>
      <c r="AS58" s="77"/>
      <c r="AT58" s="74"/>
      <c r="AU58" s="78"/>
      <c r="AV58" s="79"/>
      <c r="AW58" s="75"/>
      <c r="AX58" s="75"/>
      <c r="AY58" s="75"/>
      <c r="AZ58" s="77"/>
      <c r="BA58" s="74"/>
      <c r="BB58" s="75"/>
      <c r="BC58" s="75"/>
      <c r="BD58" s="77"/>
      <c r="BE58" s="6">
        <f t="shared" si="14"/>
        <v>0</v>
      </c>
    </row>
    <row r="59" spans="1:57">
      <c r="A59" s="61"/>
      <c r="B59" s="40"/>
      <c r="C59" s="62">
        <f t="shared" si="9"/>
        <v>0</v>
      </c>
      <c r="D59" s="63">
        <f t="shared" si="10"/>
        <v>0</v>
      </c>
      <c r="E59" s="63">
        <f t="shared" si="11"/>
        <v>0</v>
      </c>
      <c r="F59" s="63">
        <f t="shared" si="12"/>
        <v>0</v>
      </c>
      <c r="G59" s="63">
        <f t="shared" si="6"/>
        <v>0</v>
      </c>
      <c r="H59" s="63">
        <f t="shared" si="13"/>
        <v>0</v>
      </c>
      <c r="I59" s="64">
        <f t="shared" si="7"/>
        <v>0</v>
      </c>
      <c r="J59" s="65"/>
      <c r="K59" s="65"/>
      <c r="L59" s="83"/>
      <c r="M59" s="67"/>
      <c r="N59" s="68"/>
      <c r="O59" s="62"/>
      <c r="P59" s="69"/>
      <c r="Q59" s="70"/>
      <c r="R59" s="50">
        <f t="shared" si="8"/>
        <v>0</v>
      </c>
      <c r="S59" s="71"/>
      <c r="T59" s="94"/>
      <c r="U59" s="72"/>
      <c r="V59" s="73"/>
      <c r="W59" s="74"/>
      <c r="X59" s="75"/>
      <c r="Y59" s="75"/>
      <c r="Z59" s="76"/>
      <c r="AA59" s="77"/>
      <c r="AB59" s="74"/>
      <c r="AC59" s="74"/>
      <c r="AD59" s="75"/>
      <c r="AE59" s="75"/>
      <c r="AF59" s="75"/>
      <c r="AG59" s="75"/>
      <c r="AH59" s="75"/>
      <c r="AI59" s="75"/>
      <c r="AJ59" s="78"/>
      <c r="AK59" s="79"/>
      <c r="AL59" s="75"/>
      <c r="AM59" s="75"/>
      <c r="AN59" s="75"/>
      <c r="AO59" s="75"/>
      <c r="AP59" s="75"/>
      <c r="AQ59" s="75"/>
      <c r="AR59" s="75"/>
      <c r="AS59" s="77"/>
      <c r="AT59" s="74"/>
      <c r="AU59" s="78"/>
      <c r="AV59" s="79"/>
      <c r="AW59" s="75"/>
      <c r="AX59" s="75"/>
      <c r="AY59" s="75"/>
      <c r="AZ59" s="77"/>
      <c r="BA59" s="74"/>
      <c r="BB59" s="75"/>
      <c r="BC59" s="75"/>
      <c r="BD59" s="77"/>
      <c r="BE59" s="6">
        <f t="shared" si="14"/>
        <v>0</v>
      </c>
    </row>
    <row r="60" spans="1:57" ht="15" customHeight="1">
      <c r="A60" s="61"/>
      <c r="B60" s="40"/>
      <c r="C60" s="62">
        <f t="shared" si="9"/>
        <v>0</v>
      </c>
      <c r="D60" s="63">
        <f t="shared" si="10"/>
        <v>0</v>
      </c>
      <c r="E60" s="63">
        <f t="shared" si="11"/>
        <v>0</v>
      </c>
      <c r="F60" s="63">
        <f t="shared" si="12"/>
        <v>0</v>
      </c>
      <c r="G60" s="63">
        <f t="shared" si="6"/>
        <v>0</v>
      </c>
      <c r="H60" s="63">
        <f t="shared" si="13"/>
        <v>0</v>
      </c>
      <c r="I60" s="64">
        <f t="shared" si="7"/>
        <v>0</v>
      </c>
      <c r="J60" s="65"/>
      <c r="K60" s="65"/>
      <c r="L60" s="83"/>
      <c r="M60" s="67"/>
      <c r="N60" s="68"/>
      <c r="O60" s="62"/>
      <c r="P60" s="69"/>
      <c r="Q60" s="70"/>
      <c r="R60" s="50">
        <f t="shared" si="8"/>
        <v>0</v>
      </c>
      <c r="S60" s="71"/>
      <c r="T60" s="94"/>
      <c r="U60" s="72"/>
      <c r="V60" s="73"/>
      <c r="W60" s="74"/>
      <c r="X60" s="75"/>
      <c r="Y60" s="75"/>
      <c r="Z60" s="76"/>
      <c r="AA60" s="77"/>
      <c r="AB60" s="74"/>
      <c r="AC60" s="74"/>
      <c r="AD60" s="75"/>
      <c r="AE60" s="75"/>
      <c r="AF60" s="75"/>
      <c r="AG60" s="75"/>
      <c r="AH60" s="75"/>
      <c r="AI60" s="75"/>
      <c r="AJ60" s="78"/>
      <c r="AK60" s="79"/>
      <c r="AL60" s="75"/>
      <c r="AM60" s="75"/>
      <c r="AN60" s="75"/>
      <c r="AO60" s="75"/>
      <c r="AP60" s="75"/>
      <c r="AQ60" s="75"/>
      <c r="AR60" s="75"/>
      <c r="AS60" s="77"/>
      <c r="AT60" s="74"/>
      <c r="AU60" s="78"/>
      <c r="AV60" s="79"/>
      <c r="AW60" s="75"/>
      <c r="AX60" s="75"/>
      <c r="AY60" s="75"/>
      <c r="AZ60" s="77"/>
      <c r="BA60" s="74"/>
      <c r="BB60" s="75"/>
      <c r="BC60" s="75"/>
      <c r="BD60" s="77"/>
      <c r="BE60" s="6">
        <f t="shared" si="14"/>
        <v>0</v>
      </c>
    </row>
    <row r="61" spans="1:57">
      <c r="A61" s="61"/>
      <c r="B61" s="40"/>
      <c r="C61" s="62">
        <f t="shared" si="9"/>
        <v>0</v>
      </c>
      <c r="D61" s="63">
        <f t="shared" si="10"/>
        <v>0</v>
      </c>
      <c r="E61" s="63">
        <f t="shared" si="11"/>
        <v>0</v>
      </c>
      <c r="F61" s="63">
        <f t="shared" si="12"/>
        <v>0</v>
      </c>
      <c r="G61" s="63">
        <f t="shared" si="6"/>
        <v>0</v>
      </c>
      <c r="H61" s="63">
        <f t="shared" si="13"/>
        <v>0</v>
      </c>
      <c r="I61" s="64">
        <f t="shared" si="7"/>
        <v>0</v>
      </c>
      <c r="J61" s="65"/>
      <c r="K61" s="65"/>
      <c r="L61" s="83"/>
      <c r="M61" s="67"/>
      <c r="N61" s="68"/>
      <c r="O61" s="62"/>
      <c r="P61" s="69"/>
      <c r="Q61" s="70"/>
      <c r="R61" s="50">
        <f t="shared" si="8"/>
        <v>0</v>
      </c>
      <c r="S61" s="71"/>
      <c r="T61" s="94"/>
      <c r="U61" s="72"/>
      <c r="V61" s="73"/>
      <c r="W61" s="74"/>
      <c r="X61" s="75"/>
      <c r="Y61" s="75"/>
      <c r="Z61" s="76"/>
      <c r="AA61" s="77"/>
      <c r="AB61" s="74"/>
      <c r="AC61" s="74"/>
      <c r="AD61" s="75"/>
      <c r="AE61" s="75"/>
      <c r="AF61" s="75"/>
      <c r="AG61" s="75"/>
      <c r="AH61" s="75"/>
      <c r="AI61" s="75"/>
      <c r="AJ61" s="78"/>
      <c r="AK61" s="79"/>
      <c r="AL61" s="75"/>
      <c r="AM61" s="75"/>
      <c r="AN61" s="75"/>
      <c r="AO61" s="75"/>
      <c r="AP61" s="75"/>
      <c r="AQ61" s="75"/>
      <c r="AR61" s="75"/>
      <c r="AS61" s="77"/>
      <c r="AT61" s="74"/>
      <c r="AU61" s="78"/>
      <c r="AV61" s="79"/>
      <c r="AW61" s="75"/>
      <c r="AX61" s="75"/>
      <c r="AY61" s="75"/>
      <c r="AZ61" s="77"/>
      <c r="BA61" s="74"/>
      <c r="BB61" s="75"/>
      <c r="BC61" s="75"/>
      <c r="BD61" s="77"/>
      <c r="BE61" s="6">
        <f t="shared" si="14"/>
        <v>0</v>
      </c>
    </row>
    <row r="62" spans="1:57">
      <c r="A62" s="61"/>
      <c r="B62" s="40"/>
      <c r="C62" s="62">
        <f t="shared" si="9"/>
        <v>0</v>
      </c>
      <c r="D62" s="63">
        <f t="shared" si="10"/>
        <v>0</v>
      </c>
      <c r="E62" s="63">
        <f t="shared" si="11"/>
        <v>0</v>
      </c>
      <c r="F62" s="63">
        <f t="shared" si="12"/>
        <v>0</v>
      </c>
      <c r="G62" s="63">
        <f t="shared" si="6"/>
        <v>0</v>
      </c>
      <c r="H62" s="63">
        <f t="shared" si="13"/>
        <v>0</v>
      </c>
      <c r="I62" s="64">
        <f t="shared" si="7"/>
        <v>0</v>
      </c>
      <c r="J62" s="65"/>
      <c r="K62" s="65"/>
      <c r="L62" s="83"/>
      <c r="M62" s="67"/>
      <c r="N62" s="68"/>
      <c r="O62" s="62"/>
      <c r="P62" s="69"/>
      <c r="Q62" s="70"/>
      <c r="R62" s="50">
        <f t="shared" si="8"/>
        <v>0</v>
      </c>
      <c r="S62" s="71"/>
      <c r="T62" s="69"/>
      <c r="U62" s="72"/>
      <c r="V62" s="73"/>
      <c r="W62" s="74"/>
      <c r="X62" s="75"/>
      <c r="Y62" s="75"/>
      <c r="Z62" s="76"/>
      <c r="AA62" s="77"/>
      <c r="AB62" s="106"/>
      <c r="AC62" s="106"/>
      <c r="AD62" s="89"/>
      <c r="AE62" s="89"/>
      <c r="AF62" s="89"/>
      <c r="AG62" s="89"/>
      <c r="AH62" s="89"/>
      <c r="AI62" s="89"/>
      <c r="AJ62" s="90"/>
      <c r="AK62" s="79"/>
      <c r="AL62" s="75"/>
      <c r="AM62" s="75"/>
      <c r="AN62" s="75"/>
      <c r="AO62" s="75"/>
      <c r="AP62" s="75"/>
      <c r="AQ62" s="75"/>
      <c r="AR62" s="75"/>
      <c r="AS62" s="77"/>
      <c r="AT62" s="74"/>
      <c r="AU62" s="78"/>
      <c r="AV62" s="79"/>
      <c r="AW62" s="75"/>
      <c r="AX62" s="75"/>
      <c r="AY62" s="75"/>
      <c r="AZ62" s="77"/>
      <c r="BA62" s="74"/>
      <c r="BB62" s="75"/>
      <c r="BC62" s="75"/>
      <c r="BD62" s="77"/>
      <c r="BE62" s="6">
        <f t="shared" si="14"/>
        <v>0</v>
      </c>
    </row>
    <row r="63" spans="1:57">
      <c r="A63" s="61"/>
      <c r="B63" s="40"/>
      <c r="C63" s="62">
        <f t="shared" si="9"/>
        <v>0</v>
      </c>
      <c r="D63" s="63">
        <f t="shared" si="10"/>
        <v>0</v>
      </c>
      <c r="E63" s="63">
        <f t="shared" si="11"/>
        <v>0</v>
      </c>
      <c r="F63" s="63">
        <f t="shared" si="12"/>
        <v>0</v>
      </c>
      <c r="G63" s="63">
        <f t="shared" si="6"/>
        <v>0</v>
      </c>
      <c r="H63" s="63">
        <f t="shared" si="13"/>
        <v>0</v>
      </c>
      <c r="I63" s="64">
        <f t="shared" si="7"/>
        <v>0</v>
      </c>
      <c r="J63" s="65"/>
      <c r="K63" s="65"/>
      <c r="L63" s="83"/>
      <c r="M63" s="67"/>
      <c r="N63" s="68"/>
      <c r="O63" s="62"/>
      <c r="P63" s="69"/>
      <c r="Q63" s="70"/>
      <c r="R63" s="50">
        <f t="shared" si="8"/>
        <v>0</v>
      </c>
      <c r="S63" s="71"/>
      <c r="T63" s="69"/>
      <c r="U63" s="72"/>
      <c r="V63" s="73"/>
      <c r="W63" s="74"/>
      <c r="X63" s="75"/>
      <c r="Y63" s="75"/>
      <c r="Z63" s="76"/>
      <c r="AA63" s="77"/>
      <c r="AB63" s="74"/>
      <c r="AC63" s="74"/>
      <c r="AD63" s="75"/>
      <c r="AE63" s="75"/>
      <c r="AF63" s="75"/>
      <c r="AG63" s="75"/>
      <c r="AH63" s="75"/>
      <c r="AI63" s="75"/>
      <c r="AJ63" s="78"/>
      <c r="AK63" s="79"/>
      <c r="AL63" s="75"/>
      <c r="AM63" s="75"/>
      <c r="AN63" s="75"/>
      <c r="AO63" s="75"/>
      <c r="AP63" s="75"/>
      <c r="AQ63" s="75"/>
      <c r="AR63" s="75"/>
      <c r="AS63" s="77"/>
      <c r="AT63" s="74"/>
      <c r="AU63" s="78"/>
      <c r="AV63" s="79"/>
      <c r="AW63" s="75"/>
      <c r="AX63" s="75"/>
      <c r="AY63" s="75"/>
      <c r="AZ63" s="77"/>
      <c r="BA63" s="74"/>
      <c r="BB63" s="75"/>
      <c r="BC63" s="75"/>
      <c r="BD63" s="77"/>
      <c r="BE63" s="6">
        <f t="shared" si="14"/>
        <v>0</v>
      </c>
    </row>
    <row r="64" spans="1:57">
      <c r="A64" s="61"/>
      <c r="B64" s="40"/>
      <c r="C64" s="62">
        <f t="shared" si="9"/>
        <v>0</v>
      </c>
      <c r="D64" s="63">
        <f t="shared" si="10"/>
        <v>0</v>
      </c>
      <c r="E64" s="63">
        <f t="shared" si="11"/>
        <v>0</v>
      </c>
      <c r="F64" s="63">
        <f t="shared" si="12"/>
        <v>0</v>
      </c>
      <c r="G64" s="63">
        <f t="shared" si="6"/>
        <v>0</v>
      </c>
      <c r="H64" s="63">
        <f t="shared" si="13"/>
        <v>0</v>
      </c>
      <c r="I64" s="64">
        <f t="shared" si="7"/>
        <v>0</v>
      </c>
      <c r="J64" s="65"/>
      <c r="K64" s="65"/>
      <c r="L64" s="83"/>
      <c r="M64" s="67"/>
      <c r="N64" s="68"/>
      <c r="O64" s="62"/>
      <c r="P64" s="69"/>
      <c r="Q64" s="70"/>
      <c r="R64" s="50">
        <f t="shared" si="8"/>
        <v>0</v>
      </c>
      <c r="S64" s="71"/>
      <c r="T64" s="69"/>
      <c r="U64" s="72"/>
      <c r="V64" s="73"/>
      <c r="W64" s="74"/>
      <c r="X64" s="75"/>
      <c r="Y64" s="75"/>
      <c r="Z64" s="76"/>
      <c r="AA64" s="77"/>
      <c r="AB64" s="106"/>
      <c r="AC64" s="106"/>
      <c r="AD64" s="89"/>
      <c r="AE64" s="89"/>
      <c r="AF64" s="89"/>
      <c r="AG64" s="89"/>
      <c r="AH64" s="89"/>
      <c r="AI64" s="89"/>
      <c r="AJ64" s="90"/>
      <c r="AK64" s="79"/>
      <c r="AL64" s="75"/>
      <c r="AM64" s="75"/>
      <c r="AN64" s="75"/>
      <c r="AO64" s="75"/>
      <c r="AP64" s="75"/>
      <c r="AQ64" s="75"/>
      <c r="AR64" s="75"/>
      <c r="AS64" s="77"/>
      <c r="AT64" s="74"/>
      <c r="AU64" s="78"/>
      <c r="AV64" s="79"/>
      <c r="AW64" s="75"/>
      <c r="AX64" s="75"/>
      <c r="AY64" s="75"/>
      <c r="AZ64" s="77"/>
      <c r="BA64" s="74"/>
      <c r="BB64" s="75"/>
      <c r="BC64" s="75"/>
      <c r="BD64" s="77"/>
      <c r="BE64" s="6">
        <f t="shared" si="14"/>
        <v>0</v>
      </c>
    </row>
    <row r="65" spans="1:57">
      <c r="A65" s="61"/>
      <c r="B65" s="40"/>
      <c r="C65" s="62">
        <f t="shared" si="9"/>
        <v>0</v>
      </c>
      <c r="D65" s="63">
        <f t="shared" si="10"/>
        <v>0</v>
      </c>
      <c r="E65" s="63">
        <f t="shared" si="11"/>
        <v>0</v>
      </c>
      <c r="F65" s="63">
        <f t="shared" si="12"/>
        <v>0</v>
      </c>
      <c r="G65" s="63">
        <f t="shared" si="6"/>
        <v>0</v>
      </c>
      <c r="H65" s="63">
        <f t="shared" si="13"/>
        <v>0</v>
      </c>
      <c r="I65" s="64">
        <f t="shared" si="7"/>
        <v>0</v>
      </c>
      <c r="J65" s="65"/>
      <c r="K65" s="65"/>
      <c r="L65" s="83"/>
      <c r="M65" s="67"/>
      <c r="N65" s="68"/>
      <c r="O65" s="62"/>
      <c r="P65" s="69"/>
      <c r="Q65" s="70"/>
      <c r="R65" s="50">
        <f t="shared" si="8"/>
        <v>0</v>
      </c>
      <c r="S65" s="71"/>
      <c r="T65" s="69"/>
      <c r="U65" s="72"/>
      <c r="V65" s="73"/>
      <c r="W65" s="74"/>
      <c r="X65" s="75"/>
      <c r="Y65" s="75"/>
      <c r="Z65" s="76"/>
      <c r="AA65" s="77"/>
      <c r="AB65" s="74"/>
      <c r="AC65" s="74"/>
      <c r="AD65" s="75"/>
      <c r="AE65" s="75"/>
      <c r="AF65" s="75"/>
      <c r="AG65" s="75"/>
      <c r="AH65" s="75"/>
      <c r="AI65" s="75"/>
      <c r="AJ65" s="78"/>
      <c r="AK65" s="79"/>
      <c r="AL65" s="75"/>
      <c r="AM65" s="75"/>
      <c r="AN65" s="75"/>
      <c r="AO65" s="75"/>
      <c r="AP65" s="75"/>
      <c r="AQ65" s="75"/>
      <c r="AR65" s="75"/>
      <c r="AS65" s="77"/>
      <c r="AT65" s="74"/>
      <c r="AU65" s="78"/>
      <c r="AV65" s="79"/>
      <c r="AW65" s="75"/>
      <c r="AX65" s="75"/>
      <c r="AY65" s="75"/>
      <c r="AZ65" s="77"/>
      <c r="BA65" s="74"/>
      <c r="BB65" s="75"/>
      <c r="BC65" s="75"/>
      <c r="BD65" s="77"/>
      <c r="BE65" s="6">
        <f t="shared" si="14"/>
        <v>0</v>
      </c>
    </row>
    <row r="66" spans="1:57">
      <c r="A66" s="61"/>
      <c r="B66" s="40"/>
      <c r="C66" s="62">
        <f t="shared" si="9"/>
        <v>0</v>
      </c>
      <c r="D66" s="63">
        <f t="shared" si="10"/>
        <v>0</v>
      </c>
      <c r="E66" s="63">
        <f t="shared" si="11"/>
        <v>0</v>
      </c>
      <c r="F66" s="63">
        <f t="shared" si="12"/>
        <v>0</v>
      </c>
      <c r="G66" s="63">
        <f t="shared" si="6"/>
        <v>0</v>
      </c>
      <c r="H66" s="63">
        <f t="shared" si="13"/>
        <v>0</v>
      </c>
      <c r="I66" s="64">
        <f t="shared" si="7"/>
        <v>0</v>
      </c>
      <c r="J66" s="65"/>
      <c r="K66" s="65"/>
      <c r="L66" s="83"/>
      <c r="M66" s="67"/>
      <c r="N66" s="68"/>
      <c r="O66" s="62"/>
      <c r="P66" s="69"/>
      <c r="Q66" s="70"/>
      <c r="R66" s="50">
        <f t="shared" si="8"/>
        <v>0</v>
      </c>
      <c r="S66" s="71"/>
      <c r="T66" s="69"/>
      <c r="U66" s="72"/>
      <c r="V66" s="73"/>
      <c r="W66" s="74"/>
      <c r="X66" s="75"/>
      <c r="Y66" s="75"/>
      <c r="Z66" s="76"/>
      <c r="AA66" s="77"/>
      <c r="AB66" s="106"/>
      <c r="AC66" s="106"/>
      <c r="AD66" s="75"/>
      <c r="AE66" s="75"/>
      <c r="AF66" s="75"/>
      <c r="AG66" s="75"/>
      <c r="AH66" s="75"/>
      <c r="AI66" s="75"/>
      <c r="AJ66" s="78"/>
      <c r="AK66" s="79"/>
      <c r="AL66" s="75"/>
      <c r="AM66" s="75"/>
      <c r="AN66" s="75"/>
      <c r="AO66" s="75"/>
      <c r="AP66" s="75"/>
      <c r="AQ66" s="75"/>
      <c r="AR66" s="75"/>
      <c r="AS66" s="77"/>
      <c r="AT66" s="74"/>
      <c r="AU66" s="78"/>
      <c r="AV66" s="79"/>
      <c r="AW66" s="75"/>
      <c r="AX66" s="75"/>
      <c r="AY66" s="75"/>
      <c r="AZ66" s="77"/>
      <c r="BA66" s="74"/>
      <c r="BB66" s="75"/>
      <c r="BC66" s="75"/>
      <c r="BD66" s="77"/>
      <c r="BE66" s="6">
        <f t="shared" si="14"/>
        <v>0</v>
      </c>
    </row>
    <row r="67" spans="1:57">
      <c r="A67" s="61"/>
      <c r="B67" s="40"/>
      <c r="C67" s="62">
        <f t="shared" si="9"/>
        <v>0</v>
      </c>
      <c r="D67" s="63">
        <f t="shared" si="10"/>
        <v>0</v>
      </c>
      <c r="E67" s="63">
        <f t="shared" si="11"/>
        <v>0</v>
      </c>
      <c r="F67" s="63">
        <f t="shared" si="12"/>
        <v>0</v>
      </c>
      <c r="G67" s="63">
        <f t="shared" si="6"/>
        <v>0</v>
      </c>
      <c r="H67" s="63">
        <f t="shared" si="13"/>
        <v>0</v>
      </c>
      <c r="I67" s="64">
        <f t="shared" si="7"/>
        <v>0</v>
      </c>
      <c r="J67" s="65"/>
      <c r="K67" s="65"/>
      <c r="L67" s="83"/>
      <c r="M67" s="67"/>
      <c r="N67" s="68"/>
      <c r="O67" s="62"/>
      <c r="P67" s="69"/>
      <c r="Q67" s="70"/>
      <c r="R67" s="50">
        <f t="shared" si="8"/>
        <v>0</v>
      </c>
      <c r="S67" s="71"/>
      <c r="T67" s="69"/>
      <c r="U67" s="72"/>
      <c r="V67" s="73"/>
      <c r="W67" s="74"/>
      <c r="X67" s="75"/>
      <c r="Y67" s="75"/>
      <c r="Z67" s="76"/>
      <c r="AA67" s="77"/>
      <c r="AB67" s="74"/>
      <c r="AC67" s="74"/>
      <c r="AD67" s="75"/>
      <c r="AE67" s="75"/>
      <c r="AF67" s="75"/>
      <c r="AG67" s="75"/>
      <c r="AH67" s="75"/>
      <c r="AI67" s="75"/>
      <c r="AJ67" s="78"/>
      <c r="AK67" s="79"/>
      <c r="AL67" s="75"/>
      <c r="AM67" s="75"/>
      <c r="AN67" s="75"/>
      <c r="AO67" s="75"/>
      <c r="AP67" s="75"/>
      <c r="AQ67" s="75"/>
      <c r="AR67" s="75"/>
      <c r="AS67" s="77"/>
      <c r="AT67" s="74"/>
      <c r="AU67" s="78"/>
      <c r="AV67" s="79"/>
      <c r="AW67" s="75"/>
      <c r="AX67" s="75"/>
      <c r="AY67" s="75"/>
      <c r="AZ67" s="77"/>
      <c r="BA67" s="74"/>
      <c r="BB67" s="75"/>
      <c r="BC67" s="75"/>
      <c r="BD67" s="77"/>
      <c r="BE67" s="6">
        <f t="shared" si="14"/>
        <v>0</v>
      </c>
    </row>
    <row r="68" spans="1:57">
      <c r="A68" s="61"/>
      <c r="B68" s="40"/>
      <c r="C68" s="62">
        <f t="shared" si="9"/>
        <v>0</v>
      </c>
      <c r="D68" s="63">
        <f t="shared" si="10"/>
        <v>0</v>
      </c>
      <c r="E68" s="63">
        <f t="shared" si="11"/>
        <v>0</v>
      </c>
      <c r="F68" s="63">
        <f t="shared" si="12"/>
        <v>0</v>
      </c>
      <c r="G68" s="63">
        <f t="shared" si="6"/>
        <v>0</v>
      </c>
      <c r="H68" s="63">
        <f t="shared" si="13"/>
        <v>0</v>
      </c>
      <c r="I68" s="64">
        <f t="shared" si="7"/>
        <v>0</v>
      </c>
      <c r="J68" s="65"/>
      <c r="K68" s="65"/>
      <c r="L68" s="83"/>
      <c r="M68" s="67"/>
      <c r="N68" s="68"/>
      <c r="O68" s="62"/>
      <c r="P68" s="69"/>
      <c r="Q68" s="70"/>
      <c r="R68" s="50">
        <f t="shared" si="8"/>
        <v>0</v>
      </c>
      <c r="S68" s="71"/>
      <c r="T68" s="69"/>
      <c r="U68" s="72"/>
      <c r="V68" s="73"/>
      <c r="W68" s="74"/>
      <c r="X68" s="75"/>
      <c r="Y68" s="75"/>
      <c r="Z68" s="76"/>
      <c r="AA68" s="77"/>
      <c r="AB68" s="106"/>
      <c r="AC68" s="106"/>
      <c r="AD68" s="75"/>
      <c r="AE68" s="75"/>
      <c r="AF68" s="75"/>
      <c r="AG68" s="75"/>
      <c r="AH68" s="75"/>
      <c r="AI68" s="75"/>
      <c r="AJ68" s="78"/>
      <c r="AK68" s="79"/>
      <c r="AL68" s="75"/>
      <c r="AM68" s="75"/>
      <c r="AN68" s="75"/>
      <c r="AO68" s="75"/>
      <c r="AP68" s="75"/>
      <c r="AQ68" s="75"/>
      <c r="AR68" s="75"/>
      <c r="AS68" s="77"/>
      <c r="AT68" s="74"/>
      <c r="AU68" s="78"/>
      <c r="AV68" s="79"/>
      <c r="AW68" s="75"/>
      <c r="AX68" s="75"/>
      <c r="AY68" s="75"/>
      <c r="AZ68" s="77"/>
      <c r="BA68" s="74"/>
      <c r="BB68" s="75"/>
      <c r="BC68" s="75"/>
      <c r="BD68" s="77"/>
      <c r="BE68" s="6">
        <f t="shared" si="14"/>
        <v>0</v>
      </c>
    </row>
    <row r="69" spans="1:57">
      <c r="A69" s="61"/>
      <c r="B69" s="40"/>
      <c r="C69" s="62">
        <f t="shared" ref="C69:C100" si="15">SUM(AB69:AJ69)</f>
        <v>0</v>
      </c>
      <c r="D69" s="63">
        <f t="shared" ref="D69:D100" si="16">SUM(AK69:AS69)</f>
        <v>0</v>
      </c>
      <c r="E69" s="63">
        <f t="shared" ref="E69:E100" si="17">SUM(AT69:AU69)</f>
        <v>0</v>
      </c>
      <c r="F69" s="63">
        <f t="shared" ref="F69:F100" si="18">SUM(AV69:AZ69)</f>
        <v>0</v>
      </c>
      <c r="G69" s="63">
        <f t="shared" si="6"/>
        <v>0</v>
      </c>
      <c r="H69" s="63">
        <f t="shared" ref="H69:H100" si="19">SUM(V69:AA69)</f>
        <v>0</v>
      </c>
      <c r="I69" s="64">
        <f t="shared" si="7"/>
        <v>0</v>
      </c>
      <c r="J69" s="65"/>
      <c r="K69" s="65"/>
      <c r="L69" s="83"/>
      <c r="M69" s="67"/>
      <c r="N69" s="68"/>
      <c r="O69" s="62"/>
      <c r="P69" s="69"/>
      <c r="Q69" s="70"/>
      <c r="R69" s="50">
        <f t="shared" si="8"/>
        <v>0</v>
      </c>
      <c r="S69" s="71"/>
      <c r="T69" s="69"/>
      <c r="U69" s="72"/>
      <c r="V69" s="73"/>
      <c r="W69" s="74"/>
      <c r="X69" s="75"/>
      <c r="Y69" s="75"/>
      <c r="Z69" s="76"/>
      <c r="AA69" s="77"/>
      <c r="AB69" s="74"/>
      <c r="AC69" s="74"/>
      <c r="AD69" s="75"/>
      <c r="AE69" s="75"/>
      <c r="AF69" s="75"/>
      <c r="AG69" s="75"/>
      <c r="AH69" s="75"/>
      <c r="AI69" s="75"/>
      <c r="AJ69" s="78"/>
      <c r="AK69" s="79"/>
      <c r="AL69" s="75"/>
      <c r="AM69" s="75"/>
      <c r="AN69" s="75"/>
      <c r="AO69" s="75"/>
      <c r="AP69" s="75"/>
      <c r="AQ69" s="75"/>
      <c r="AR69" s="75"/>
      <c r="AS69" s="77"/>
      <c r="AT69" s="74"/>
      <c r="AU69" s="78"/>
      <c r="AV69" s="79"/>
      <c r="AW69" s="75"/>
      <c r="AX69" s="75"/>
      <c r="AY69" s="75"/>
      <c r="AZ69" s="77"/>
      <c r="BA69" s="74"/>
      <c r="BB69" s="75"/>
      <c r="BC69" s="75"/>
      <c r="BD69" s="77"/>
      <c r="BE69" s="6">
        <f t="shared" si="14"/>
        <v>0</v>
      </c>
    </row>
    <row r="70" spans="1:57">
      <c r="A70" s="61"/>
      <c r="B70" s="40"/>
      <c r="C70" s="62">
        <f t="shared" si="15"/>
        <v>0</v>
      </c>
      <c r="D70" s="63">
        <f t="shared" si="16"/>
        <v>0</v>
      </c>
      <c r="E70" s="63">
        <f t="shared" si="17"/>
        <v>0</v>
      </c>
      <c r="F70" s="63">
        <f t="shared" si="18"/>
        <v>0</v>
      </c>
      <c r="G70" s="63">
        <f t="shared" ref="G70:G113" si="20">SUM(BA70:BD70)</f>
        <v>0</v>
      </c>
      <c r="H70" s="63">
        <f t="shared" si="19"/>
        <v>0</v>
      </c>
      <c r="I70" s="64">
        <f t="shared" ref="I70:I113" si="21">SUM(C70:H70)</f>
        <v>0</v>
      </c>
      <c r="J70" s="65"/>
      <c r="K70" s="65"/>
      <c r="L70" s="91"/>
      <c r="M70" s="67"/>
      <c r="N70" s="68"/>
      <c r="O70" s="62"/>
      <c r="P70" s="69"/>
      <c r="Q70" s="70"/>
      <c r="R70" s="50">
        <f t="shared" ref="R70:R113" si="22">R69+SUM(N70:Q70)-SUM(I70:M70)</f>
        <v>0</v>
      </c>
      <c r="S70" s="71"/>
      <c r="T70" s="69"/>
      <c r="U70" s="72"/>
      <c r="V70" s="73"/>
      <c r="W70" s="74"/>
      <c r="X70" s="75"/>
      <c r="Y70" s="75"/>
      <c r="Z70" s="76"/>
      <c r="AA70" s="77"/>
      <c r="AB70" s="73"/>
      <c r="AC70" s="74"/>
      <c r="AD70" s="75"/>
      <c r="AE70" s="75"/>
      <c r="AF70" s="75"/>
      <c r="AG70" s="75"/>
      <c r="AH70" s="75"/>
      <c r="AI70" s="75"/>
      <c r="AJ70" s="78"/>
      <c r="AK70" s="79"/>
      <c r="AL70" s="75"/>
      <c r="AM70" s="75"/>
      <c r="AN70" s="75"/>
      <c r="AO70" s="75"/>
      <c r="AP70" s="75"/>
      <c r="AQ70" s="75"/>
      <c r="AR70" s="75"/>
      <c r="AS70" s="77"/>
      <c r="AT70" s="74"/>
      <c r="AU70" s="78"/>
      <c r="AV70" s="79"/>
      <c r="AW70" s="75"/>
      <c r="AX70" s="75"/>
      <c r="AY70" s="75"/>
      <c r="AZ70" s="77"/>
      <c r="BA70" s="74"/>
      <c r="BB70" s="75"/>
      <c r="BC70" s="75"/>
      <c r="BD70" s="77"/>
      <c r="BE70" s="6">
        <f t="shared" si="14"/>
        <v>0</v>
      </c>
    </row>
    <row r="71" spans="1:57">
      <c r="A71" s="61"/>
      <c r="B71" s="40"/>
      <c r="C71" s="62">
        <f t="shared" si="15"/>
        <v>0</v>
      </c>
      <c r="D71" s="63">
        <f t="shared" si="16"/>
        <v>0</v>
      </c>
      <c r="E71" s="63">
        <f t="shared" si="17"/>
        <v>0</v>
      </c>
      <c r="F71" s="63">
        <f t="shared" si="18"/>
        <v>0</v>
      </c>
      <c r="G71" s="63">
        <f t="shared" si="20"/>
        <v>0</v>
      </c>
      <c r="H71" s="63">
        <f t="shared" si="19"/>
        <v>0</v>
      </c>
      <c r="I71" s="64">
        <f t="shared" si="21"/>
        <v>0</v>
      </c>
      <c r="J71" s="65"/>
      <c r="K71" s="65"/>
      <c r="L71" s="83"/>
      <c r="M71" s="67"/>
      <c r="N71" s="68"/>
      <c r="O71" s="62"/>
      <c r="P71" s="69"/>
      <c r="Q71" s="70"/>
      <c r="R71" s="50">
        <f t="shared" si="22"/>
        <v>0</v>
      </c>
      <c r="S71" s="71"/>
      <c r="T71" s="69"/>
      <c r="U71" s="72"/>
      <c r="V71" s="73"/>
      <c r="W71" s="74"/>
      <c r="X71" s="75"/>
      <c r="Y71" s="75"/>
      <c r="Z71" s="76"/>
      <c r="AA71" s="77"/>
      <c r="AB71" s="73"/>
      <c r="AC71" s="74"/>
      <c r="AD71" s="75"/>
      <c r="AE71" s="75"/>
      <c r="AF71" s="75"/>
      <c r="AG71" s="75"/>
      <c r="AH71" s="75"/>
      <c r="AI71" s="75"/>
      <c r="AJ71" s="78"/>
      <c r="AK71" s="79"/>
      <c r="AL71" s="75"/>
      <c r="AM71" s="75"/>
      <c r="AN71" s="75"/>
      <c r="AO71" s="75"/>
      <c r="AP71" s="75"/>
      <c r="AQ71" s="75"/>
      <c r="AR71" s="75"/>
      <c r="AS71" s="77"/>
      <c r="AT71" s="74"/>
      <c r="AU71" s="78"/>
      <c r="AV71" s="79"/>
      <c r="AW71" s="75"/>
      <c r="AX71" s="75"/>
      <c r="AY71" s="75"/>
      <c r="AZ71" s="77"/>
      <c r="BA71" s="74"/>
      <c r="BB71" s="75"/>
      <c r="BC71" s="75"/>
      <c r="BD71" s="77"/>
      <c r="BE71" s="6">
        <f t="shared" si="14"/>
        <v>0</v>
      </c>
    </row>
    <row r="72" spans="1:57">
      <c r="A72" s="61"/>
      <c r="B72" s="40"/>
      <c r="C72" s="62">
        <f t="shared" si="15"/>
        <v>0</v>
      </c>
      <c r="D72" s="63">
        <f t="shared" si="16"/>
        <v>0</v>
      </c>
      <c r="E72" s="63">
        <f t="shared" si="17"/>
        <v>0</v>
      </c>
      <c r="F72" s="63">
        <f t="shared" si="18"/>
        <v>0</v>
      </c>
      <c r="G72" s="63">
        <f t="shared" si="20"/>
        <v>0</v>
      </c>
      <c r="H72" s="63">
        <f t="shared" si="19"/>
        <v>0</v>
      </c>
      <c r="I72" s="64">
        <f t="shared" si="21"/>
        <v>0</v>
      </c>
      <c r="J72" s="65"/>
      <c r="K72" s="65"/>
      <c r="L72" s="83"/>
      <c r="M72" s="67"/>
      <c r="N72" s="68"/>
      <c r="O72" s="62"/>
      <c r="P72" s="69"/>
      <c r="Q72" s="70"/>
      <c r="R72" s="50">
        <f t="shared" si="22"/>
        <v>0</v>
      </c>
      <c r="S72" s="71"/>
      <c r="T72" s="69"/>
      <c r="U72" s="72"/>
      <c r="V72" s="73"/>
      <c r="W72" s="74"/>
      <c r="X72" s="75"/>
      <c r="Y72" s="75"/>
      <c r="Z72" s="76"/>
      <c r="AA72" s="77"/>
      <c r="AB72" s="73"/>
      <c r="AC72" s="74"/>
      <c r="AD72" s="75"/>
      <c r="AE72" s="75"/>
      <c r="AF72" s="75"/>
      <c r="AG72" s="75"/>
      <c r="AH72" s="75"/>
      <c r="AI72" s="75"/>
      <c r="AJ72" s="78"/>
      <c r="AK72" s="79"/>
      <c r="AL72" s="75"/>
      <c r="AM72" s="75"/>
      <c r="AN72" s="75"/>
      <c r="AO72" s="75"/>
      <c r="AP72" s="75"/>
      <c r="AQ72" s="75"/>
      <c r="AR72" s="75"/>
      <c r="AS72" s="77"/>
      <c r="AT72" s="74"/>
      <c r="AU72" s="78"/>
      <c r="AV72" s="79"/>
      <c r="AW72" s="75"/>
      <c r="AX72" s="75"/>
      <c r="AY72" s="75"/>
      <c r="AZ72" s="77"/>
      <c r="BA72" s="74"/>
      <c r="BB72" s="75"/>
      <c r="BC72" s="75"/>
      <c r="BD72" s="77"/>
      <c r="BE72" s="6">
        <f t="shared" si="14"/>
        <v>0</v>
      </c>
    </row>
    <row r="73" spans="1:57">
      <c r="A73" s="61"/>
      <c r="B73" s="40"/>
      <c r="C73" s="62">
        <f t="shared" si="15"/>
        <v>0</v>
      </c>
      <c r="D73" s="63">
        <f t="shared" si="16"/>
        <v>0</v>
      </c>
      <c r="E73" s="63">
        <f t="shared" si="17"/>
        <v>0</v>
      </c>
      <c r="F73" s="63">
        <f t="shared" si="18"/>
        <v>0</v>
      </c>
      <c r="G73" s="63">
        <f t="shared" si="20"/>
        <v>0</v>
      </c>
      <c r="H73" s="63">
        <f t="shared" si="19"/>
        <v>0</v>
      </c>
      <c r="I73" s="64">
        <f t="shared" si="21"/>
        <v>0</v>
      </c>
      <c r="J73" s="65"/>
      <c r="K73" s="65"/>
      <c r="L73" s="83"/>
      <c r="M73" s="67"/>
      <c r="N73" s="68"/>
      <c r="O73" s="62"/>
      <c r="P73" s="69"/>
      <c r="Q73" s="70"/>
      <c r="R73" s="50">
        <f t="shared" si="22"/>
        <v>0</v>
      </c>
      <c r="S73" s="71"/>
      <c r="T73" s="69"/>
      <c r="U73" s="72"/>
      <c r="V73" s="73"/>
      <c r="W73" s="74"/>
      <c r="X73" s="75"/>
      <c r="Y73" s="75"/>
      <c r="Z73" s="76"/>
      <c r="AA73" s="77"/>
      <c r="AB73" s="73"/>
      <c r="AC73" s="74"/>
      <c r="AD73" s="75"/>
      <c r="AE73" s="75"/>
      <c r="AF73" s="75"/>
      <c r="AG73" s="75"/>
      <c r="AH73" s="75"/>
      <c r="AI73" s="75"/>
      <c r="AJ73" s="78"/>
      <c r="AK73" s="79"/>
      <c r="AL73" s="75"/>
      <c r="AM73" s="75"/>
      <c r="AN73" s="75"/>
      <c r="AO73" s="75"/>
      <c r="AP73" s="75"/>
      <c r="AQ73" s="75"/>
      <c r="AR73" s="75"/>
      <c r="AS73" s="77"/>
      <c r="AT73" s="74"/>
      <c r="AU73" s="78"/>
      <c r="AV73" s="79"/>
      <c r="AW73" s="75"/>
      <c r="AX73" s="75"/>
      <c r="AY73" s="75"/>
      <c r="AZ73" s="77"/>
      <c r="BA73" s="74"/>
      <c r="BB73" s="75"/>
      <c r="BC73" s="75"/>
      <c r="BD73" s="77"/>
      <c r="BE73" s="6">
        <f t="shared" si="14"/>
        <v>0</v>
      </c>
    </row>
    <row r="74" spans="1:57">
      <c r="A74" s="61"/>
      <c r="B74" s="40"/>
      <c r="C74" s="62">
        <f t="shared" si="15"/>
        <v>0</v>
      </c>
      <c r="D74" s="63">
        <f t="shared" si="16"/>
        <v>0</v>
      </c>
      <c r="E74" s="63">
        <f t="shared" si="17"/>
        <v>0</v>
      </c>
      <c r="F74" s="63">
        <f t="shared" si="18"/>
        <v>0</v>
      </c>
      <c r="G74" s="63">
        <f t="shared" si="20"/>
        <v>0</v>
      </c>
      <c r="H74" s="63">
        <f t="shared" si="19"/>
        <v>0</v>
      </c>
      <c r="I74" s="64">
        <f t="shared" si="21"/>
        <v>0</v>
      </c>
      <c r="J74" s="65"/>
      <c r="K74" s="65"/>
      <c r="L74" s="100"/>
      <c r="M74" s="67"/>
      <c r="N74" s="68"/>
      <c r="O74" s="62"/>
      <c r="P74" s="69"/>
      <c r="Q74" s="70"/>
      <c r="R74" s="50">
        <f t="shared" si="22"/>
        <v>0</v>
      </c>
      <c r="S74" s="71"/>
      <c r="T74" s="69"/>
      <c r="U74" s="72"/>
      <c r="V74" s="73"/>
      <c r="W74" s="74"/>
      <c r="X74" s="75"/>
      <c r="Y74" s="75"/>
      <c r="Z74" s="76"/>
      <c r="AA74" s="77"/>
      <c r="AB74" s="73"/>
      <c r="AC74" s="74"/>
      <c r="AD74" s="75"/>
      <c r="AE74" s="75"/>
      <c r="AF74" s="75"/>
      <c r="AG74" s="75"/>
      <c r="AH74" s="75"/>
      <c r="AI74" s="75"/>
      <c r="AJ74" s="78"/>
      <c r="AK74" s="79"/>
      <c r="AL74" s="75"/>
      <c r="AM74" s="75"/>
      <c r="AN74" s="75"/>
      <c r="AO74" s="75"/>
      <c r="AP74" s="75"/>
      <c r="AQ74" s="75"/>
      <c r="AR74" s="75"/>
      <c r="AS74" s="77"/>
      <c r="AT74" s="74"/>
      <c r="AU74" s="78"/>
      <c r="AV74" s="79"/>
      <c r="AW74" s="75"/>
      <c r="AX74" s="75"/>
      <c r="AY74" s="75"/>
      <c r="AZ74" s="77"/>
      <c r="BA74" s="74"/>
      <c r="BB74" s="75"/>
      <c r="BC74" s="75"/>
      <c r="BD74" s="77"/>
      <c r="BE74" s="6">
        <f t="shared" si="14"/>
        <v>0</v>
      </c>
    </row>
    <row r="75" spans="1:57">
      <c r="A75" s="61"/>
      <c r="B75" s="40"/>
      <c r="C75" s="62">
        <f t="shared" si="15"/>
        <v>0</v>
      </c>
      <c r="D75" s="63">
        <f t="shared" si="16"/>
        <v>0</v>
      </c>
      <c r="E75" s="63">
        <f t="shared" si="17"/>
        <v>0</v>
      </c>
      <c r="F75" s="63">
        <f t="shared" si="18"/>
        <v>0</v>
      </c>
      <c r="G75" s="63">
        <f t="shared" si="20"/>
        <v>0</v>
      </c>
      <c r="H75" s="63">
        <f t="shared" si="19"/>
        <v>0</v>
      </c>
      <c r="I75" s="64">
        <f t="shared" si="21"/>
        <v>0</v>
      </c>
      <c r="J75" s="65"/>
      <c r="K75" s="65"/>
      <c r="L75" s="83"/>
      <c r="M75" s="67"/>
      <c r="N75" s="68"/>
      <c r="O75" s="62"/>
      <c r="P75" s="69"/>
      <c r="Q75" s="70"/>
      <c r="R75" s="50">
        <f t="shared" si="22"/>
        <v>0</v>
      </c>
      <c r="S75" s="71"/>
      <c r="T75" s="69"/>
      <c r="U75" s="72"/>
      <c r="V75" s="73"/>
      <c r="W75" s="74"/>
      <c r="X75" s="75"/>
      <c r="Y75" s="75"/>
      <c r="Z75" s="76"/>
      <c r="AA75" s="77"/>
      <c r="AB75" s="73"/>
      <c r="AC75" s="74"/>
      <c r="AD75" s="75"/>
      <c r="AE75" s="75"/>
      <c r="AF75" s="75"/>
      <c r="AG75" s="75"/>
      <c r="AH75" s="75"/>
      <c r="AI75" s="75"/>
      <c r="AJ75" s="78"/>
      <c r="AK75" s="79"/>
      <c r="AL75" s="75"/>
      <c r="AM75" s="75"/>
      <c r="AN75" s="75"/>
      <c r="AO75" s="75"/>
      <c r="AP75" s="75"/>
      <c r="AQ75" s="75"/>
      <c r="AR75" s="75"/>
      <c r="AS75" s="77"/>
      <c r="AT75" s="74"/>
      <c r="AU75" s="78"/>
      <c r="AV75" s="79"/>
      <c r="AW75" s="75"/>
      <c r="AX75" s="75"/>
      <c r="AY75" s="75"/>
      <c r="AZ75" s="77"/>
      <c r="BA75" s="74"/>
      <c r="BB75" s="75"/>
      <c r="BC75" s="75"/>
      <c r="BD75" s="77"/>
      <c r="BE75" s="6">
        <f t="shared" si="14"/>
        <v>0</v>
      </c>
    </row>
    <row r="76" spans="1:57">
      <c r="A76" s="61"/>
      <c r="B76" s="40"/>
      <c r="C76" s="62">
        <f t="shared" si="15"/>
        <v>0</v>
      </c>
      <c r="D76" s="63">
        <f t="shared" si="16"/>
        <v>0</v>
      </c>
      <c r="E76" s="63">
        <f t="shared" si="17"/>
        <v>0</v>
      </c>
      <c r="F76" s="63">
        <f t="shared" si="18"/>
        <v>0</v>
      </c>
      <c r="G76" s="63">
        <f t="shared" si="20"/>
        <v>0</v>
      </c>
      <c r="H76" s="63">
        <f t="shared" si="19"/>
        <v>0</v>
      </c>
      <c r="I76" s="64">
        <f t="shared" si="21"/>
        <v>0</v>
      </c>
      <c r="J76" s="65"/>
      <c r="K76" s="65"/>
      <c r="L76" s="83"/>
      <c r="M76" s="67"/>
      <c r="N76" s="68"/>
      <c r="O76" s="62"/>
      <c r="P76" s="69"/>
      <c r="Q76" s="70"/>
      <c r="R76" s="50">
        <f t="shared" si="22"/>
        <v>0</v>
      </c>
      <c r="S76" s="71"/>
      <c r="T76" s="85"/>
      <c r="U76" s="72"/>
      <c r="V76" s="73"/>
      <c r="W76" s="74"/>
      <c r="X76" s="75"/>
      <c r="Y76" s="75"/>
      <c r="Z76" s="76"/>
      <c r="AA76" s="77"/>
      <c r="AB76" s="73"/>
      <c r="AC76" s="74"/>
      <c r="AD76" s="75"/>
      <c r="AE76" s="75"/>
      <c r="AF76" s="75"/>
      <c r="AG76" s="75"/>
      <c r="AH76" s="75"/>
      <c r="AI76" s="75"/>
      <c r="AJ76" s="78"/>
      <c r="AK76" s="79"/>
      <c r="AL76" s="75"/>
      <c r="AM76" s="75"/>
      <c r="AN76" s="75"/>
      <c r="AO76" s="75"/>
      <c r="AP76" s="75"/>
      <c r="AQ76" s="75"/>
      <c r="AR76" s="75"/>
      <c r="AS76" s="77"/>
      <c r="AT76" s="74"/>
      <c r="AU76" s="78"/>
      <c r="AV76" s="79"/>
      <c r="AW76" s="75"/>
      <c r="AX76" s="75"/>
      <c r="AY76" s="75"/>
      <c r="AZ76" s="77"/>
      <c r="BA76" s="74"/>
      <c r="BB76" s="75"/>
      <c r="BC76" s="75"/>
      <c r="BD76" s="77"/>
      <c r="BE76" s="6">
        <f t="shared" si="14"/>
        <v>0</v>
      </c>
    </row>
    <row r="77" spans="1:57">
      <c r="A77" s="61"/>
      <c r="B77" s="40"/>
      <c r="C77" s="62">
        <f t="shared" si="15"/>
        <v>0</v>
      </c>
      <c r="D77" s="63">
        <f t="shared" si="16"/>
        <v>0</v>
      </c>
      <c r="E77" s="63">
        <f t="shared" si="17"/>
        <v>0</v>
      </c>
      <c r="F77" s="63">
        <f t="shared" si="18"/>
        <v>0</v>
      </c>
      <c r="G77" s="63">
        <f t="shared" si="20"/>
        <v>0</v>
      </c>
      <c r="H77" s="63">
        <f t="shared" si="19"/>
        <v>0</v>
      </c>
      <c r="I77" s="64">
        <f t="shared" si="21"/>
        <v>0</v>
      </c>
      <c r="J77" s="65"/>
      <c r="K77" s="65"/>
      <c r="L77" s="83"/>
      <c r="M77" s="67"/>
      <c r="N77" s="68"/>
      <c r="O77" s="62"/>
      <c r="P77" s="69"/>
      <c r="Q77" s="70"/>
      <c r="R77" s="50">
        <f t="shared" si="22"/>
        <v>0</v>
      </c>
      <c r="S77" s="71"/>
      <c r="T77" s="94"/>
      <c r="U77" s="72"/>
      <c r="V77" s="73"/>
      <c r="W77" s="74"/>
      <c r="X77" s="75"/>
      <c r="Y77" s="75"/>
      <c r="Z77" s="76"/>
      <c r="AA77" s="77"/>
      <c r="AB77" s="73"/>
      <c r="AC77" s="74"/>
      <c r="AD77" s="75"/>
      <c r="AE77" s="75"/>
      <c r="AF77" s="75"/>
      <c r="AG77" s="75"/>
      <c r="AH77" s="75"/>
      <c r="AI77" s="75"/>
      <c r="AJ77" s="78"/>
      <c r="AK77" s="79"/>
      <c r="AL77" s="75"/>
      <c r="AM77" s="75"/>
      <c r="AN77" s="75"/>
      <c r="AO77" s="75"/>
      <c r="AP77" s="75"/>
      <c r="AQ77" s="75"/>
      <c r="AR77" s="75"/>
      <c r="AS77" s="77"/>
      <c r="AT77" s="74"/>
      <c r="AU77" s="78"/>
      <c r="AV77" s="79"/>
      <c r="AW77" s="75"/>
      <c r="AX77" s="75"/>
      <c r="AY77" s="75"/>
      <c r="AZ77" s="77"/>
      <c r="BA77" s="74"/>
      <c r="BB77" s="75"/>
      <c r="BC77" s="75"/>
      <c r="BD77" s="77"/>
      <c r="BE77" s="6">
        <f t="shared" si="14"/>
        <v>0</v>
      </c>
    </row>
    <row r="78" spans="1:57">
      <c r="A78" s="61"/>
      <c r="B78" s="40"/>
      <c r="C78" s="62">
        <f t="shared" si="15"/>
        <v>0</v>
      </c>
      <c r="D78" s="63">
        <f t="shared" si="16"/>
        <v>0</v>
      </c>
      <c r="E78" s="63">
        <f t="shared" si="17"/>
        <v>0</v>
      </c>
      <c r="F78" s="63">
        <f t="shared" si="18"/>
        <v>0</v>
      </c>
      <c r="G78" s="63">
        <f t="shared" si="20"/>
        <v>0</v>
      </c>
      <c r="H78" s="63">
        <f t="shared" si="19"/>
        <v>0</v>
      </c>
      <c r="I78" s="64">
        <f t="shared" si="21"/>
        <v>0</v>
      </c>
      <c r="J78" s="65"/>
      <c r="K78" s="91"/>
      <c r="L78" s="83"/>
      <c r="M78" s="67"/>
      <c r="N78" s="68"/>
      <c r="O78" s="62"/>
      <c r="P78" s="69"/>
      <c r="Q78" s="70"/>
      <c r="R78" s="50">
        <f t="shared" si="22"/>
        <v>0</v>
      </c>
      <c r="S78" s="71"/>
      <c r="T78" s="94"/>
      <c r="U78" s="72"/>
      <c r="V78" s="73"/>
      <c r="W78" s="74"/>
      <c r="X78" s="75"/>
      <c r="Y78" s="75"/>
      <c r="Z78" s="76"/>
      <c r="AA78" s="77"/>
      <c r="AB78" s="73"/>
      <c r="AC78" s="74"/>
      <c r="AD78" s="75"/>
      <c r="AE78" s="75"/>
      <c r="AF78" s="75"/>
      <c r="AG78" s="75"/>
      <c r="AH78" s="75"/>
      <c r="AI78" s="75"/>
      <c r="AJ78" s="78"/>
      <c r="AK78" s="79"/>
      <c r="AL78" s="75"/>
      <c r="AM78" s="75"/>
      <c r="AN78" s="75"/>
      <c r="AO78" s="75"/>
      <c r="AP78" s="75"/>
      <c r="AQ78" s="75"/>
      <c r="AR78" s="75"/>
      <c r="AS78" s="77"/>
      <c r="AT78" s="74"/>
      <c r="AU78" s="78"/>
      <c r="AV78" s="79"/>
      <c r="AW78" s="75"/>
      <c r="AX78" s="75"/>
      <c r="AY78" s="75"/>
      <c r="AZ78" s="77"/>
      <c r="BA78" s="74"/>
      <c r="BB78" s="75"/>
      <c r="BC78" s="75"/>
      <c r="BD78" s="77"/>
      <c r="BE78" s="6">
        <f t="shared" si="14"/>
        <v>0</v>
      </c>
    </row>
    <row r="79" spans="1:57">
      <c r="A79" s="61"/>
      <c r="B79" s="40"/>
      <c r="C79" s="62">
        <f t="shared" si="15"/>
        <v>0</v>
      </c>
      <c r="D79" s="63">
        <f t="shared" si="16"/>
        <v>0</v>
      </c>
      <c r="E79" s="63">
        <f t="shared" si="17"/>
        <v>0</v>
      </c>
      <c r="F79" s="63">
        <f t="shared" si="18"/>
        <v>0</v>
      </c>
      <c r="G79" s="63">
        <f t="shared" si="20"/>
        <v>0</v>
      </c>
      <c r="H79" s="63">
        <f t="shared" si="19"/>
        <v>0</v>
      </c>
      <c r="I79" s="64">
        <f t="shared" si="21"/>
        <v>0</v>
      </c>
      <c r="J79" s="65"/>
      <c r="K79" s="65"/>
      <c r="L79" s="83"/>
      <c r="M79" s="67"/>
      <c r="N79" s="68"/>
      <c r="O79" s="62"/>
      <c r="P79" s="69"/>
      <c r="Q79" s="70"/>
      <c r="R79" s="50">
        <f t="shared" si="22"/>
        <v>0</v>
      </c>
      <c r="S79" s="92"/>
      <c r="T79" s="69"/>
      <c r="U79" s="72"/>
      <c r="V79" s="73"/>
      <c r="W79" s="74"/>
      <c r="X79" s="75"/>
      <c r="Y79" s="75"/>
      <c r="Z79" s="76"/>
      <c r="AA79" s="77"/>
      <c r="AB79" s="73"/>
      <c r="AC79" s="74"/>
      <c r="AD79" s="75"/>
      <c r="AE79" s="75"/>
      <c r="AF79" s="75"/>
      <c r="AG79" s="75"/>
      <c r="AH79" s="75"/>
      <c r="AI79" s="75"/>
      <c r="AJ79" s="78"/>
      <c r="AK79" s="79"/>
      <c r="AL79" s="75"/>
      <c r="AM79" s="75"/>
      <c r="AN79" s="75"/>
      <c r="AO79" s="75"/>
      <c r="AP79" s="75"/>
      <c r="AQ79" s="75"/>
      <c r="AR79" s="75"/>
      <c r="AS79" s="77"/>
      <c r="AT79" s="74"/>
      <c r="AU79" s="78"/>
      <c r="AV79" s="79"/>
      <c r="AW79" s="75"/>
      <c r="AX79" s="75"/>
      <c r="AY79" s="75"/>
      <c r="AZ79" s="77"/>
      <c r="BA79" s="74"/>
      <c r="BB79" s="75"/>
      <c r="BC79" s="75"/>
      <c r="BD79" s="77"/>
      <c r="BE79" s="6">
        <f t="shared" ref="BE79:BE110" si="23">I79-SUM(AB79:BD79)</f>
        <v>0</v>
      </c>
    </row>
    <row r="80" spans="1:57">
      <c r="A80" s="61"/>
      <c r="B80" s="40"/>
      <c r="C80" s="62">
        <f t="shared" si="15"/>
        <v>0</v>
      </c>
      <c r="D80" s="63">
        <f t="shared" si="16"/>
        <v>0</v>
      </c>
      <c r="E80" s="63">
        <f t="shared" si="17"/>
        <v>0</v>
      </c>
      <c r="F80" s="63">
        <f t="shared" si="18"/>
        <v>0</v>
      </c>
      <c r="G80" s="63">
        <f t="shared" si="20"/>
        <v>0</v>
      </c>
      <c r="H80" s="63">
        <f t="shared" si="19"/>
        <v>0</v>
      </c>
      <c r="I80" s="64">
        <f t="shared" si="21"/>
        <v>0</v>
      </c>
      <c r="J80" s="65"/>
      <c r="K80" s="65"/>
      <c r="L80" s="83"/>
      <c r="M80" s="67"/>
      <c r="N80" s="68"/>
      <c r="O80" s="62"/>
      <c r="P80" s="69"/>
      <c r="Q80" s="70"/>
      <c r="R80" s="50">
        <f t="shared" si="22"/>
        <v>0</v>
      </c>
      <c r="S80" s="71"/>
      <c r="T80" s="69"/>
      <c r="U80" s="72"/>
      <c r="V80" s="73"/>
      <c r="W80" s="74"/>
      <c r="X80" s="75"/>
      <c r="Y80" s="75"/>
      <c r="Z80" s="76"/>
      <c r="AA80" s="77"/>
      <c r="AB80" s="73"/>
      <c r="AC80" s="74"/>
      <c r="AD80" s="75"/>
      <c r="AE80" s="75"/>
      <c r="AF80" s="75"/>
      <c r="AG80" s="75"/>
      <c r="AH80" s="75"/>
      <c r="AI80" s="75"/>
      <c r="AJ80" s="78"/>
      <c r="AK80" s="79"/>
      <c r="AL80" s="75"/>
      <c r="AM80" s="75"/>
      <c r="AN80" s="75"/>
      <c r="AO80" s="75"/>
      <c r="AP80" s="75"/>
      <c r="AQ80" s="75"/>
      <c r="AR80" s="75"/>
      <c r="AS80" s="77"/>
      <c r="AT80" s="74"/>
      <c r="AU80" s="78"/>
      <c r="AV80" s="79"/>
      <c r="AW80" s="75"/>
      <c r="AX80" s="75"/>
      <c r="AY80" s="75"/>
      <c r="AZ80" s="77"/>
      <c r="BA80" s="74"/>
      <c r="BB80" s="75"/>
      <c r="BC80" s="75"/>
      <c r="BD80" s="77"/>
      <c r="BE80" s="6">
        <f t="shared" si="23"/>
        <v>0</v>
      </c>
    </row>
    <row r="81" spans="1:57">
      <c r="A81" s="61"/>
      <c r="B81" s="40"/>
      <c r="C81" s="62">
        <f t="shared" si="15"/>
        <v>0</v>
      </c>
      <c r="D81" s="63">
        <f t="shared" si="16"/>
        <v>0</v>
      </c>
      <c r="E81" s="63">
        <f t="shared" si="17"/>
        <v>0</v>
      </c>
      <c r="F81" s="63">
        <f t="shared" si="18"/>
        <v>0</v>
      </c>
      <c r="G81" s="63">
        <f t="shared" si="20"/>
        <v>0</v>
      </c>
      <c r="H81" s="63">
        <f t="shared" si="19"/>
        <v>0</v>
      </c>
      <c r="I81" s="64">
        <f t="shared" si="21"/>
        <v>0</v>
      </c>
      <c r="J81" s="65"/>
      <c r="K81" s="65"/>
      <c r="L81" s="83"/>
      <c r="M81" s="67"/>
      <c r="N81" s="68"/>
      <c r="O81" s="62"/>
      <c r="P81" s="69"/>
      <c r="Q81" s="70"/>
      <c r="R81" s="50">
        <f t="shared" si="22"/>
        <v>0</v>
      </c>
      <c r="S81" s="71"/>
      <c r="T81" s="94"/>
      <c r="U81" s="72"/>
      <c r="V81" s="73"/>
      <c r="W81" s="74"/>
      <c r="X81" s="75"/>
      <c r="Y81" s="75"/>
      <c r="Z81" s="76"/>
      <c r="AA81" s="77"/>
      <c r="AB81" s="73"/>
      <c r="AC81" s="74"/>
      <c r="AD81" s="75"/>
      <c r="AE81" s="75"/>
      <c r="AF81" s="75"/>
      <c r="AG81" s="75"/>
      <c r="AH81" s="75"/>
      <c r="AI81" s="75"/>
      <c r="AJ81" s="78"/>
      <c r="AK81" s="79"/>
      <c r="AL81" s="75"/>
      <c r="AM81" s="75"/>
      <c r="AN81" s="75"/>
      <c r="AO81" s="75"/>
      <c r="AP81" s="75"/>
      <c r="AQ81" s="75"/>
      <c r="AR81" s="75"/>
      <c r="AS81" s="77"/>
      <c r="AT81" s="74"/>
      <c r="AU81" s="78"/>
      <c r="AV81" s="79"/>
      <c r="AW81" s="75"/>
      <c r="AX81" s="75"/>
      <c r="AY81" s="75"/>
      <c r="AZ81" s="77"/>
      <c r="BA81" s="74"/>
      <c r="BB81" s="75"/>
      <c r="BC81" s="75"/>
      <c r="BD81" s="77"/>
      <c r="BE81" s="6">
        <f t="shared" si="23"/>
        <v>0</v>
      </c>
    </row>
    <row r="82" spans="1:57">
      <c r="A82" s="61"/>
      <c r="B82" s="40"/>
      <c r="C82" s="62">
        <f t="shared" si="15"/>
        <v>0</v>
      </c>
      <c r="D82" s="63">
        <f t="shared" si="16"/>
        <v>0</v>
      </c>
      <c r="E82" s="63">
        <f t="shared" si="17"/>
        <v>0</v>
      </c>
      <c r="F82" s="63">
        <f t="shared" si="18"/>
        <v>0</v>
      </c>
      <c r="G82" s="63">
        <f t="shared" si="20"/>
        <v>0</v>
      </c>
      <c r="H82" s="63">
        <f t="shared" si="19"/>
        <v>0</v>
      </c>
      <c r="I82" s="64">
        <f t="shared" si="21"/>
        <v>0</v>
      </c>
      <c r="J82" s="65"/>
      <c r="K82" s="91"/>
      <c r="L82" s="83"/>
      <c r="M82" s="67"/>
      <c r="N82" s="68"/>
      <c r="O82" s="62"/>
      <c r="P82" s="69"/>
      <c r="Q82" s="70"/>
      <c r="R82" s="50">
        <f t="shared" si="22"/>
        <v>0</v>
      </c>
      <c r="S82" s="71"/>
      <c r="T82" s="94"/>
      <c r="U82" s="72"/>
      <c r="V82" s="73"/>
      <c r="W82" s="74"/>
      <c r="X82" s="75"/>
      <c r="Y82" s="75"/>
      <c r="Z82" s="76"/>
      <c r="AA82" s="77"/>
      <c r="AB82" s="73"/>
      <c r="AC82" s="74"/>
      <c r="AD82" s="75"/>
      <c r="AE82" s="75"/>
      <c r="AF82" s="75"/>
      <c r="AG82" s="75"/>
      <c r="AH82" s="75"/>
      <c r="AI82" s="75"/>
      <c r="AJ82" s="78"/>
      <c r="AK82" s="79"/>
      <c r="AL82" s="75"/>
      <c r="AM82" s="75"/>
      <c r="AN82" s="75"/>
      <c r="AO82" s="75"/>
      <c r="AP82" s="75"/>
      <c r="AQ82" s="75"/>
      <c r="AR82" s="75"/>
      <c r="AS82" s="77"/>
      <c r="AT82" s="74"/>
      <c r="AU82" s="78"/>
      <c r="AV82" s="79"/>
      <c r="AW82" s="75"/>
      <c r="AX82" s="75"/>
      <c r="AY82" s="75"/>
      <c r="AZ82" s="77"/>
      <c r="BA82" s="74"/>
      <c r="BB82" s="75"/>
      <c r="BC82" s="75"/>
      <c r="BD82" s="77"/>
      <c r="BE82" s="6">
        <f t="shared" si="23"/>
        <v>0</v>
      </c>
    </row>
    <row r="83" spans="1:57">
      <c r="A83" s="61"/>
      <c r="B83" s="40"/>
      <c r="C83" s="62">
        <f t="shared" si="15"/>
        <v>0</v>
      </c>
      <c r="D83" s="63">
        <f t="shared" si="16"/>
        <v>0</v>
      </c>
      <c r="E83" s="63">
        <f t="shared" si="17"/>
        <v>0</v>
      </c>
      <c r="F83" s="63">
        <f t="shared" si="18"/>
        <v>0</v>
      </c>
      <c r="G83" s="63">
        <f t="shared" si="20"/>
        <v>0</v>
      </c>
      <c r="H83" s="63">
        <f t="shared" si="19"/>
        <v>0</v>
      </c>
      <c r="I83" s="64">
        <f t="shared" si="21"/>
        <v>0</v>
      </c>
      <c r="J83" s="65"/>
      <c r="K83" s="91"/>
      <c r="L83" s="83"/>
      <c r="M83" s="67"/>
      <c r="N83" s="68"/>
      <c r="O83" s="62"/>
      <c r="P83" s="69"/>
      <c r="Q83" s="70"/>
      <c r="R83" s="50">
        <f t="shared" si="22"/>
        <v>0</v>
      </c>
      <c r="S83" s="71"/>
      <c r="T83" s="69"/>
      <c r="U83" s="72"/>
      <c r="V83" s="73"/>
      <c r="W83" s="74"/>
      <c r="X83" s="75"/>
      <c r="Y83" s="75"/>
      <c r="Z83" s="76"/>
      <c r="AA83" s="77"/>
      <c r="AB83" s="73"/>
      <c r="AC83" s="74"/>
      <c r="AD83" s="75"/>
      <c r="AE83" s="75"/>
      <c r="AF83" s="75"/>
      <c r="AG83" s="75"/>
      <c r="AH83" s="75"/>
      <c r="AI83" s="75"/>
      <c r="AJ83" s="78"/>
      <c r="AK83" s="79"/>
      <c r="AL83" s="75"/>
      <c r="AM83" s="75"/>
      <c r="AN83" s="75"/>
      <c r="AO83" s="75"/>
      <c r="AP83" s="75"/>
      <c r="AQ83" s="75"/>
      <c r="AR83" s="75"/>
      <c r="AS83" s="77"/>
      <c r="AT83" s="74"/>
      <c r="AU83" s="78"/>
      <c r="AV83" s="79"/>
      <c r="AW83" s="75"/>
      <c r="AX83" s="75"/>
      <c r="AY83" s="75"/>
      <c r="AZ83" s="77"/>
      <c r="BA83" s="74"/>
      <c r="BB83" s="75"/>
      <c r="BC83" s="75"/>
      <c r="BD83" s="77"/>
      <c r="BE83" s="6">
        <f t="shared" si="23"/>
        <v>0</v>
      </c>
    </row>
    <row r="84" spans="1:57">
      <c r="A84" s="61"/>
      <c r="B84" s="40"/>
      <c r="C84" s="62">
        <f t="shared" si="15"/>
        <v>0</v>
      </c>
      <c r="D84" s="63">
        <f t="shared" si="16"/>
        <v>0</v>
      </c>
      <c r="E84" s="63">
        <f t="shared" si="17"/>
        <v>0</v>
      </c>
      <c r="F84" s="63">
        <f t="shared" si="18"/>
        <v>0</v>
      </c>
      <c r="G84" s="63">
        <f t="shared" si="20"/>
        <v>0</v>
      </c>
      <c r="H84" s="63">
        <f t="shared" si="19"/>
        <v>0</v>
      </c>
      <c r="I84" s="64">
        <f t="shared" si="21"/>
        <v>0</v>
      </c>
      <c r="J84" s="65"/>
      <c r="K84" s="65"/>
      <c r="L84" s="83"/>
      <c r="M84" s="67"/>
      <c r="N84" s="68"/>
      <c r="O84" s="62"/>
      <c r="P84" s="69"/>
      <c r="Q84" s="70"/>
      <c r="R84" s="50">
        <f t="shared" si="22"/>
        <v>0</v>
      </c>
      <c r="S84" s="71"/>
      <c r="T84" s="94"/>
      <c r="U84" s="72"/>
      <c r="V84" s="73"/>
      <c r="W84" s="74"/>
      <c r="X84" s="75"/>
      <c r="Y84" s="75"/>
      <c r="Z84" s="76"/>
      <c r="AA84" s="77"/>
      <c r="AB84" s="73"/>
      <c r="AC84" s="74"/>
      <c r="AD84" s="75"/>
      <c r="AE84" s="75"/>
      <c r="AF84" s="75"/>
      <c r="AG84" s="75"/>
      <c r="AH84" s="75"/>
      <c r="AI84" s="75"/>
      <c r="AJ84" s="78"/>
      <c r="AK84" s="79"/>
      <c r="AL84" s="75"/>
      <c r="AM84" s="75"/>
      <c r="AN84" s="75"/>
      <c r="AO84" s="75"/>
      <c r="AP84" s="75"/>
      <c r="AQ84" s="75"/>
      <c r="AR84" s="75"/>
      <c r="AS84" s="77"/>
      <c r="AT84" s="74"/>
      <c r="AU84" s="78"/>
      <c r="AV84" s="79"/>
      <c r="AW84" s="75"/>
      <c r="AX84" s="75"/>
      <c r="AY84" s="75"/>
      <c r="AZ84" s="77"/>
      <c r="BA84" s="74"/>
      <c r="BB84" s="75"/>
      <c r="BC84" s="75"/>
      <c r="BD84" s="77"/>
      <c r="BE84" s="6">
        <f t="shared" si="23"/>
        <v>0</v>
      </c>
    </row>
    <row r="85" spans="1:57">
      <c r="A85" s="61"/>
      <c r="B85" s="40"/>
      <c r="C85" s="62">
        <f t="shared" si="15"/>
        <v>0</v>
      </c>
      <c r="D85" s="63">
        <f t="shared" si="16"/>
        <v>0</v>
      </c>
      <c r="E85" s="63">
        <f t="shared" si="17"/>
        <v>0</v>
      </c>
      <c r="F85" s="63">
        <f t="shared" si="18"/>
        <v>0</v>
      </c>
      <c r="G85" s="63">
        <f t="shared" si="20"/>
        <v>0</v>
      </c>
      <c r="H85" s="63">
        <f t="shared" si="19"/>
        <v>0</v>
      </c>
      <c r="I85" s="64">
        <f t="shared" si="21"/>
        <v>0</v>
      </c>
      <c r="J85" s="65"/>
      <c r="K85" s="65"/>
      <c r="L85" s="83"/>
      <c r="M85" s="67"/>
      <c r="N85" s="68"/>
      <c r="O85" s="62"/>
      <c r="P85" s="69"/>
      <c r="Q85" s="70"/>
      <c r="R85" s="50">
        <f t="shared" si="22"/>
        <v>0</v>
      </c>
      <c r="S85" s="71"/>
      <c r="T85" s="94"/>
      <c r="U85" s="72"/>
      <c r="V85" s="73"/>
      <c r="W85" s="74"/>
      <c r="X85" s="75"/>
      <c r="Y85" s="75"/>
      <c r="Z85" s="76"/>
      <c r="AA85" s="77"/>
      <c r="AB85" s="73"/>
      <c r="AC85" s="74"/>
      <c r="AD85" s="75"/>
      <c r="AE85" s="75"/>
      <c r="AF85" s="75"/>
      <c r="AG85" s="75"/>
      <c r="AH85" s="75"/>
      <c r="AI85" s="75"/>
      <c r="AJ85" s="78"/>
      <c r="AK85" s="79"/>
      <c r="AL85" s="75"/>
      <c r="AM85" s="75"/>
      <c r="AN85" s="75"/>
      <c r="AO85" s="75"/>
      <c r="AP85" s="75"/>
      <c r="AQ85" s="75"/>
      <c r="AR85" s="75"/>
      <c r="AS85" s="77"/>
      <c r="AT85" s="74"/>
      <c r="AU85" s="78"/>
      <c r="AV85" s="79"/>
      <c r="AW85" s="75"/>
      <c r="AX85" s="75"/>
      <c r="AY85" s="75"/>
      <c r="AZ85" s="77"/>
      <c r="BA85" s="74"/>
      <c r="BB85" s="75"/>
      <c r="BC85" s="75"/>
      <c r="BD85" s="77"/>
      <c r="BE85" s="6">
        <f t="shared" si="23"/>
        <v>0</v>
      </c>
    </row>
    <row r="86" spans="1:57">
      <c r="A86" s="61"/>
      <c r="B86" s="40"/>
      <c r="C86" s="62">
        <f t="shared" si="15"/>
        <v>0</v>
      </c>
      <c r="D86" s="63">
        <f t="shared" si="16"/>
        <v>0</v>
      </c>
      <c r="E86" s="63">
        <f t="shared" si="17"/>
        <v>0</v>
      </c>
      <c r="F86" s="63">
        <f t="shared" si="18"/>
        <v>0</v>
      </c>
      <c r="G86" s="63">
        <f t="shared" si="20"/>
        <v>0</v>
      </c>
      <c r="H86" s="63">
        <f t="shared" si="19"/>
        <v>0</v>
      </c>
      <c r="I86" s="64">
        <f t="shared" si="21"/>
        <v>0</v>
      </c>
      <c r="J86" s="65"/>
      <c r="K86" s="65"/>
      <c r="L86" s="83"/>
      <c r="M86" s="67"/>
      <c r="N86" s="68"/>
      <c r="O86" s="62"/>
      <c r="P86" s="69"/>
      <c r="Q86" s="70"/>
      <c r="R86" s="50">
        <f t="shared" si="22"/>
        <v>0</v>
      </c>
      <c r="S86" s="71"/>
      <c r="T86" s="94"/>
      <c r="U86" s="72"/>
      <c r="V86" s="73"/>
      <c r="W86" s="74"/>
      <c r="X86" s="75"/>
      <c r="Y86" s="75"/>
      <c r="Z86" s="76"/>
      <c r="AA86" s="77"/>
      <c r="AB86" s="73"/>
      <c r="AC86" s="74"/>
      <c r="AD86" s="75"/>
      <c r="AE86" s="75"/>
      <c r="AF86" s="75"/>
      <c r="AG86" s="75"/>
      <c r="AH86" s="75"/>
      <c r="AI86" s="75"/>
      <c r="AJ86" s="78"/>
      <c r="AK86" s="79"/>
      <c r="AL86" s="75"/>
      <c r="AM86" s="75"/>
      <c r="AN86" s="75"/>
      <c r="AO86" s="75"/>
      <c r="AP86" s="75"/>
      <c r="AQ86" s="75"/>
      <c r="AR86" s="75"/>
      <c r="AS86" s="77"/>
      <c r="AT86" s="74"/>
      <c r="AU86" s="78"/>
      <c r="AV86" s="79"/>
      <c r="AW86" s="75"/>
      <c r="AX86" s="75"/>
      <c r="AY86" s="75"/>
      <c r="AZ86" s="77"/>
      <c r="BA86" s="74"/>
      <c r="BB86" s="75"/>
      <c r="BC86" s="75"/>
      <c r="BD86" s="77"/>
      <c r="BE86" s="6">
        <f t="shared" si="23"/>
        <v>0</v>
      </c>
    </row>
    <row r="87" spans="1:57">
      <c r="A87" s="61"/>
      <c r="B87" s="40"/>
      <c r="C87" s="62">
        <f t="shared" si="15"/>
        <v>0</v>
      </c>
      <c r="D87" s="63">
        <f t="shared" si="16"/>
        <v>0</v>
      </c>
      <c r="E87" s="63">
        <f t="shared" si="17"/>
        <v>0</v>
      </c>
      <c r="F87" s="63">
        <f t="shared" si="18"/>
        <v>0</v>
      </c>
      <c r="G87" s="63">
        <f t="shared" si="20"/>
        <v>0</v>
      </c>
      <c r="H87" s="63">
        <f t="shared" si="19"/>
        <v>0</v>
      </c>
      <c r="I87" s="64">
        <f t="shared" si="21"/>
        <v>0</v>
      </c>
      <c r="J87" s="65"/>
      <c r="K87" s="65"/>
      <c r="L87" s="83"/>
      <c r="M87" s="67"/>
      <c r="N87" s="68"/>
      <c r="O87" s="62"/>
      <c r="P87" s="69"/>
      <c r="Q87" s="70"/>
      <c r="R87" s="50">
        <f t="shared" si="22"/>
        <v>0</v>
      </c>
      <c r="S87" s="71"/>
      <c r="T87" s="69"/>
      <c r="U87" s="72"/>
      <c r="V87" s="73"/>
      <c r="W87" s="74"/>
      <c r="X87" s="75"/>
      <c r="Y87" s="75"/>
      <c r="Z87" s="76"/>
      <c r="AA87" s="77"/>
      <c r="AB87" s="73"/>
      <c r="AC87" s="74"/>
      <c r="AD87" s="75"/>
      <c r="AE87" s="75"/>
      <c r="AF87" s="75"/>
      <c r="AG87" s="75"/>
      <c r="AH87" s="75"/>
      <c r="AI87" s="75"/>
      <c r="AJ87" s="78"/>
      <c r="AK87" s="79"/>
      <c r="AL87" s="75"/>
      <c r="AM87" s="75"/>
      <c r="AN87" s="75"/>
      <c r="AO87" s="75"/>
      <c r="AP87" s="75"/>
      <c r="AQ87" s="75"/>
      <c r="AR87" s="75"/>
      <c r="AS87" s="77"/>
      <c r="AT87" s="74"/>
      <c r="AU87" s="78"/>
      <c r="AV87" s="79"/>
      <c r="AW87" s="75"/>
      <c r="AX87" s="75"/>
      <c r="AY87" s="75"/>
      <c r="AZ87" s="77"/>
      <c r="BA87" s="74"/>
      <c r="BB87" s="75"/>
      <c r="BC87" s="75"/>
      <c r="BD87" s="77"/>
      <c r="BE87" s="6">
        <f t="shared" si="23"/>
        <v>0</v>
      </c>
    </row>
    <row r="88" spans="1:57">
      <c r="A88" s="61"/>
      <c r="B88" s="40"/>
      <c r="C88" s="62">
        <f t="shared" si="15"/>
        <v>0</v>
      </c>
      <c r="D88" s="63">
        <f t="shared" si="16"/>
        <v>0</v>
      </c>
      <c r="E88" s="63">
        <f t="shared" si="17"/>
        <v>0</v>
      </c>
      <c r="F88" s="63">
        <f t="shared" si="18"/>
        <v>0</v>
      </c>
      <c r="G88" s="63">
        <f t="shared" si="20"/>
        <v>0</v>
      </c>
      <c r="H88" s="63">
        <f t="shared" si="19"/>
        <v>0</v>
      </c>
      <c r="I88" s="64">
        <f t="shared" si="21"/>
        <v>0</v>
      </c>
      <c r="J88" s="65"/>
      <c r="K88" s="65"/>
      <c r="L88" s="83"/>
      <c r="M88" s="67"/>
      <c r="N88" s="68"/>
      <c r="O88" s="62"/>
      <c r="P88" s="69"/>
      <c r="Q88" s="70"/>
      <c r="R88" s="50">
        <f t="shared" si="22"/>
        <v>0</v>
      </c>
      <c r="S88" s="71"/>
      <c r="T88" s="69"/>
      <c r="U88" s="72"/>
      <c r="V88" s="73"/>
      <c r="W88" s="74"/>
      <c r="X88" s="75"/>
      <c r="Y88" s="75"/>
      <c r="Z88" s="107"/>
      <c r="AA88" s="77"/>
      <c r="AB88" s="73"/>
      <c r="AC88" s="74"/>
      <c r="AD88" s="75"/>
      <c r="AE88" s="75"/>
      <c r="AF88" s="75"/>
      <c r="AG88" s="75"/>
      <c r="AH88" s="75"/>
      <c r="AI88" s="75"/>
      <c r="AJ88" s="78"/>
      <c r="AK88" s="79"/>
      <c r="AL88" s="75"/>
      <c r="AM88" s="75"/>
      <c r="AN88" s="75"/>
      <c r="AO88" s="75"/>
      <c r="AP88" s="75"/>
      <c r="AQ88" s="75"/>
      <c r="AR88" s="75"/>
      <c r="AS88" s="77"/>
      <c r="AT88" s="74"/>
      <c r="AU88" s="78"/>
      <c r="AV88" s="79"/>
      <c r="AW88" s="75"/>
      <c r="AX88" s="75"/>
      <c r="AY88" s="75"/>
      <c r="AZ88" s="77"/>
      <c r="BA88" s="74"/>
      <c r="BB88" s="75"/>
      <c r="BC88" s="75"/>
      <c r="BD88" s="77"/>
      <c r="BE88" s="6">
        <f t="shared" si="23"/>
        <v>0</v>
      </c>
    </row>
    <row r="89" spans="1:57">
      <c r="A89" s="61"/>
      <c r="B89" s="40"/>
      <c r="C89" s="62">
        <f t="shared" si="15"/>
        <v>0</v>
      </c>
      <c r="D89" s="63">
        <f t="shared" si="16"/>
        <v>0</v>
      </c>
      <c r="E89" s="63">
        <f t="shared" si="17"/>
        <v>0</v>
      </c>
      <c r="F89" s="63">
        <f t="shared" si="18"/>
        <v>0</v>
      </c>
      <c r="G89" s="63">
        <f t="shared" si="20"/>
        <v>0</v>
      </c>
      <c r="H89" s="63">
        <f t="shared" si="19"/>
        <v>0</v>
      </c>
      <c r="I89" s="64">
        <f t="shared" si="21"/>
        <v>0</v>
      </c>
      <c r="J89" s="65"/>
      <c r="K89" s="65"/>
      <c r="L89" s="83"/>
      <c r="M89" s="67"/>
      <c r="N89" s="68"/>
      <c r="O89" s="62"/>
      <c r="P89" s="69"/>
      <c r="Q89" s="70"/>
      <c r="R89" s="50">
        <f t="shared" si="22"/>
        <v>0</v>
      </c>
      <c r="S89" s="71"/>
      <c r="T89" s="94"/>
      <c r="U89" s="72"/>
      <c r="V89" s="73"/>
      <c r="W89" s="74"/>
      <c r="X89" s="75"/>
      <c r="Y89" s="75"/>
      <c r="Z89" s="76"/>
      <c r="AA89" s="77"/>
      <c r="AB89" s="73"/>
      <c r="AC89" s="74"/>
      <c r="AD89" s="75"/>
      <c r="AE89" s="75"/>
      <c r="AF89" s="75"/>
      <c r="AG89" s="75"/>
      <c r="AH89" s="75"/>
      <c r="AI89" s="75"/>
      <c r="AJ89" s="78"/>
      <c r="AK89" s="79"/>
      <c r="AL89" s="75"/>
      <c r="AM89" s="75"/>
      <c r="AN89" s="75"/>
      <c r="AO89" s="75"/>
      <c r="AP89" s="75"/>
      <c r="AQ89" s="75"/>
      <c r="AR89" s="75"/>
      <c r="AS89" s="77"/>
      <c r="AT89" s="74"/>
      <c r="AU89" s="78"/>
      <c r="AV89" s="79"/>
      <c r="AW89" s="75"/>
      <c r="AX89" s="75"/>
      <c r="AY89" s="75"/>
      <c r="AZ89" s="77"/>
      <c r="BA89" s="74"/>
      <c r="BB89" s="75"/>
      <c r="BC89" s="75"/>
      <c r="BD89" s="77"/>
      <c r="BE89" s="6">
        <f t="shared" si="23"/>
        <v>0</v>
      </c>
    </row>
    <row r="90" spans="1:57">
      <c r="A90" s="61"/>
      <c r="B90" s="40"/>
      <c r="C90" s="62">
        <f t="shared" si="15"/>
        <v>0</v>
      </c>
      <c r="D90" s="63">
        <f t="shared" si="16"/>
        <v>0</v>
      </c>
      <c r="E90" s="63">
        <f t="shared" si="17"/>
        <v>0</v>
      </c>
      <c r="F90" s="63">
        <f t="shared" si="18"/>
        <v>0</v>
      </c>
      <c r="G90" s="63">
        <f t="shared" si="20"/>
        <v>0</v>
      </c>
      <c r="H90" s="63">
        <f t="shared" si="19"/>
        <v>0</v>
      </c>
      <c r="I90" s="64">
        <f t="shared" si="21"/>
        <v>0</v>
      </c>
      <c r="J90" s="65"/>
      <c r="K90" s="65"/>
      <c r="L90" s="83"/>
      <c r="M90" s="67"/>
      <c r="N90" s="68"/>
      <c r="O90" s="62"/>
      <c r="P90" s="69"/>
      <c r="Q90" s="70"/>
      <c r="R90" s="50">
        <f t="shared" si="22"/>
        <v>0</v>
      </c>
      <c r="S90" s="71"/>
      <c r="T90" s="94"/>
      <c r="U90" s="72"/>
      <c r="V90" s="73"/>
      <c r="W90" s="74"/>
      <c r="X90" s="75"/>
      <c r="Y90" s="75"/>
      <c r="Z90" s="76"/>
      <c r="AA90" s="77"/>
      <c r="AB90" s="73"/>
      <c r="AC90" s="74"/>
      <c r="AD90" s="75"/>
      <c r="AE90" s="75"/>
      <c r="AF90" s="75"/>
      <c r="AG90" s="75"/>
      <c r="AH90" s="75"/>
      <c r="AI90" s="75"/>
      <c r="AJ90" s="78"/>
      <c r="AK90" s="79"/>
      <c r="AL90" s="75"/>
      <c r="AM90" s="75"/>
      <c r="AN90" s="75"/>
      <c r="AO90" s="75"/>
      <c r="AP90" s="75"/>
      <c r="AQ90" s="75"/>
      <c r="AR90" s="75"/>
      <c r="AS90" s="77"/>
      <c r="AT90" s="74"/>
      <c r="AU90" s="78"/>
      <c r="AV90" s="79"/>
      <c r="AW90" s="75"/>
      <c r="AX90" s="75"/>
      <c r="AY90" s="75"/>
      <c r="AZ90" s="77"/>
      <c r="BA90" s="74"/>
      <c r="BB90" s="75"/>
      <c r="BC90" s="75"/>
      <c r="BD90" s="77"/>
      <c r="BE90" s="6">
        <f t="shared" si="23"/>
        <v>0</v>
      </c>
    </row>
    <row r="91" spans="1:57">
      <c r="A91" s="61"/>
      <c r="B91" s="40"/>
      <c r="C91" s="62">
        <f t="shared" si="15"/>
        <v>0</v>
      </c>
      <c r="D91" s="63">
        <f t="shared" si="16"/>
        <v>0</v>
      </c>
      <c r="E91" s="63">
        <f t="shared" si="17"/>
        <v>0</v>
      </c>
      <c r="F91" s="63">
        <f t="shared" si="18"/>
        <v>0</v>
      </c>
      <c r="G91" s="63">
        <f t="shared" si="20"/>
        <v>0</v>
      </c>
      <c r="H91" s="63">
        <f t="shared" si="19"/>
        <v>0</v>
      </c>
      <c r="I91" s="64">
        <f t="shared" si="21"/>
        <v>0</v>
      </c>
      <c r="J91" s="65"/>
      <c r="K91" s="65"/>
      <c r="L91" s="83"/>
      <c r="M91" s="67"/>
      <c r="N91" s="68"/>
      <c r="O91" s="62"/>
      <c r="P91" s="69"/>
      <c r="Q91" s="70"/>
      <c r="R91" s="50">
        <f t="shared" si="22"/>
        <v>0</v>
      </c>
      <c r="S91" s="71"/>
      <c r="T91" s="85"/>
      <c r="U91" s="72"/>
      <c r="V91" s="73"/>
      <c r="W91" s="74"/>
      <c r="X91" s="75"/>
      <c r="Y91" s="75"/>
      <c r="Z91" s="76"/>
      <c r="AA91" s="77"/>
      <c r="AB91" s="73"/>
      <c r="AC91" s="74"/>
      <c r="AD91" s="75"/>
      <c r="AE91" s="75"/>
      <c r="AF91" s="75"/>
      <c r="AG91" s="75"/>
      <c r="AH91" s="75"/>
      <c r="AI91" s="75"/>
      <c r="AJ91" s="78"/>
      <c r="AK91" s="79"/>
      <c r="AL91" s="75"/>
      <c r="AM91" s="75"/>
      <c r="AN91" s="75"/>
      <c r="AO91" s="75"/>
      <c r="AP91" s="75"/>
      <c r="AQ91" s="75"/>
      <c r="AR91" s="75"/>
      <c r="AS91" s="77"/>
      <c r="AT91" s="74"/>
      <c r="AU91" s="78"/>
      <c r="AV91" s="79"/>
      <c r="AW91" s="75"/>
      <c r="AX91" s="75"/>
      <c r="AY91" s="75"/>
      <c r="AZ91" s="77"/>
      <c r="BA91" s="74"/>
      <c r="BB91" s="75"/>
      <c r="BC91" s="75"/>
      <c r="BD91" s="77"/>
      <c r="BE91" s="6">
        <f t="shared" si="23"/>
        <v>0</v>
      </c>
    </row>
    <row r="92" spans="1:57" ht="15" customHeight="1">
      <c r="A92" s="61"/>
      <c r="B92" s="40"/>
      <c r="C92" s="62">
        <f t="shared" si="15"/>
        <v>0</v>
      </c>
      <c r="D92" s="63">
        <f t="shared" si="16"/>
        <v>0</v>
      </c>
      <c r="E92" s="63">
        <f t="shared" si="17"/>
        <v>0</v>
      </c>
      <c r="F92" s="63">
        <f t="shared" si="18"/>
        <v>0</v>
      </c>
      <c r="G92" s="63">
        <f t="shared" si="20"/>
        <v>0</v>
      </c>
      <c r="H92" s="63">
        <f t="shared" si="19"/>
        <v>0</v>
      </c>
      <c r="I92" s="64">
        <f t="shared" si="21"/>
        <v>0</v>
      </c>
      <c r="J92" s="91"/>
      <c r="K92" s="65"/>
      <c r="L92" s="83"/>
      <c r="M92" s="67"/>
      <c r="N92" s="68"/>
      <c r="O92" s="62"/>
      <c r="P92" s="69"/>
      <c r="Q92" s="70"/>
      <c r="R92" s="50">
        <f t="shared" si="22"/>
        <v>0</v>
      </c>
      <c r="S92" s="71"/>
      <c r="T92" s="94"/>
      <c r="U92" s="72"/>
      <c r="V92" s="73"/>
      <c r="W92" s="74"/>
      <c r="X92" s="75"/>
      <c r="Y92" s="75"/>
      <c r="Z92" s="76"/>
      <c r="AA92" s="77"/>
      <c r="AB92" s="73"/>
      <c r="AC92" s="74"/>
      <c r="AD92" s="75"/>
      <c r="AE92" s="75"/>
      <c r="AF92" s="75"/>
      <c r="AG92" s="75"/>
      <c r="AH92" s="75"/>
      <c r="AI92" s="75"/>
      <c r="AJ92" s="78"/>
      <c r="AK92" s="79"/>
      <c r="AL92" s="75"/>
      <c r="AM92" s="75"/>
      <c r="AN92" s="75"/>
      <c r="AO92" s="75"/>
      <c r="AP92" s="75"/>
      <c r="AQ92" s="75"/>
      <c r="AR92" s="75"/>
      <c r="AS92" s="77"/>
      <c r="AT92" s="74"/>
      <c r="AU92" s="78"/>
      <c r="AV92" s="79"/>
      <c r="AW92" s="75"/>
      <c r="AX92" s="75"/>
      <c r="AY92" s="75"/>
      <c r="AZ92" s="77"/>
      <c r="BA92" s="74"/>
      <c r="BB92" s="75"/>
      <c r="BC92" s="75"/>
      <c r="BD92" s="77"/>
      <c r="BE92" s="6">
        <f t="shared" si="23"/>
        <v>0</v>
      </c>
    </row>
    <row r="93" spans="1:57">
      <c r="A93" s="61"/>
      <c r="B93" s="40"/>
      <c r="C93" s="62">
        <f t="shared" si="15"/>
        <v>0</v>
      </c>
      <c r="D93" s="63">
        <f t="shared" si="16"/>
        <v>0</v>
      </c>
      <c r="E93" s="63">
        <f t="shared" si="17"/>
        <v>0</v>
      </c>
      <c r="F93" s="63">
        <f t="shared" si="18"/>
        <v>0</v>
      </c>
      <c r="G93" s="63">
        <f t="shared" si="20"/>
        <v>0</v>
      </c>
      <c r="H93" s="63">
        <f t="shared" si="19"/>
        <v>0</v>
      </c>
      <c r="I93" s="64">
        <f t="shared" si="21"/>
        <v>0</v>
      </c>
      <c r="J93" s="65"/>
      <c r="K93" s="65"/>
      <c r="L93" s="83"/>
      <c r="M93" s="67"/>
      <c r="N93" s="68"/>
      <c r="O93" s="62"/>
      <c r="P93" s="69"/>
      <c r="Q93" s="70"/>
      <c r="R93" s="50">
        <f t="shared" si="22"/>
        <v>0</v>
      </c>
      <c r="S93" s="71"/>
      <c r="T93" s="94"/>
      <c r="U93" s="72"/>
      <c r="V93" s="73"/>
      <c r="W93" s="74"/>
      <c r="X93" s="75"/>
      <c r="Y93" s="75"/>
      <c r="Z93" s="76"/>
      <c r="AA93" s="77"/>
      <c r="AB93" s="73"/>
      <c r="AC93" s="74"/>
      <c r="AD93" s="75"/>
      <c r="AE93" s="75"/>
      <c r="AF93" s="75"/>
      <c r="AG93" s="75"/>
      <c r="AH93" s="75"/>
      <c r="AI93" s="75"/>
      <c r="AJ93" s="78"/>
      <c r="AK93" s="79"/>
      <c r="AL93" s="75"/>
      <c r="AM93" s="75"/>
      <c r="AN93" s="75"/>
      <c r="AO93" s="75"/>
      <c r="AP93" s="75"/>
      <c r="AQ93" s="75"/>
      <c r="AR93" s="75"/>
      <c r="AS93" s="77"/>
      <c r="AT93" s="74"/>
      <c r="AU93" s="78"/>
      <c r="AV93" s="79"/>
      <c r="AW93" s="75"/>
      <c r="AX93" s="75"/>
      <c r="AY93" s="75"/>
      <c r="AZ93" s="77"/>
      <c r="BA93" s="74"/>
      <c r="BB93" s="75"/>
      <c r="BC93" s="75"/>
      <c r="BD93" s="77"/>
      <c r="BE93" s="6">
        <f t="shared" si="23"/>
        <v>0</v>
      </c>
    </row>
    <row r="94" spans="1:57">
      <c r="A94" s="61"/>
      <c r="B94" s="40"/>
      <c r="C94" s="62">
        <f t="shared" si="15"/>
        <v>0</v>
      </c>
      <c r="D94" s="63">
        <f t="shared" si="16"/>
        <v>0</v>
      </c>
      <c r="E94" s="63">
        <f t="shared" si="17"/>
        <v>0</v>
      </c>
      <c r="F94" s="63">
        <f t="shared" si="18"/>
        <v>0</v>
      </c>
      <c r="G94" s="63">
        <f t="shared" si="20"/>
        <v>0</v>
      </c>
      <c r="H94" s="63">
        <f t="shared" si="19"/>
        <v>0</v>
      </c>
      <c r="I94" s="64">
        <f t="shared" si="21"/>
        <v>0</v>
      </c>
      <c r="J94" s="65"/>
      <c r="K94" s="65"/>
      <c r="L94" s="83"/>
      <c r="M94" s="67"/>
      <c r="N94" s="68"/>
      <c r="O94" s="62"/>
      <c r="P94" s="69"/>
      <c r="Q94" s="70"/>
      <c r="R94" s="50">
        <f t="shared" si="22"/>
        <v>0</v>
      </c>
      <c r="S94" s="71"/>
      <c r="T94" s="94"/>
      <c r="U94" s="72"/>
      <c r="V94" s="73"/>
      <c r="W94" s="74"/>
      <c r="X94" s="75"/>
      <c r="Y94" s="75"/>
      <c r="Z94" s="76"/>
      <c r="AA94" s="77"/>
      <c r="AB94" s="73"/>
      <c r="AC94" s="74"/>
      <c r="AD94" s="75"/>
      <c r="AE94" s="75"/>
      <c r="AF94" s="75"/>
      <c r="AG94" s="75"/>
      <c r="AH94" s="75"/>
      <c r="AI94" s="75"/>
      <c r="AJ94" s="78"/>
      <c r="AK94" s="79"/>
      <c r="AL94" s="75"/>
      <c r="AM94" s="75"/>
      <c r="AN94" s="75"/>
      <c r="AO94" s="75"/>
      <c r="AP94" s="75"/>
      <c r="AQ94" s="75"/>
      <c r="AR94" s="75"/>
      <c r="AS94" s="77"/>
      <c r="AT94" s="74"/>
      <c r="AU94" s="78"/>
      <c r="AV94" s="79"/>
      <c r="AW94" s="75"/>
      <c r="AX94" s="75"/>
      <c r="AY94" s="75"/>
      <c r="AZ94" s="77"/>
      <c r="BA94" s="74"/>
      <c r="BB94" s="75"/>
      <c r="BC94" s="75"/>
      <c r="BD94" s="77"/>
      <c r="BE94" s="6">
        <f t="shared" si="23"/>
        <v>0</v>
      </c>
    </row>
    <row r="95" spans="1:57">
      <c r="A95" s="61"/>
      <c r="B95" s="40"/>
      <c r="C95" s="62">
        <f t="shared" si="15"/>
        <v>0</v>
      </c>
      <c r="D95" s="63">
        <f t="shared" si="16"/>
        <v>0</v>
      </c>
      <c r="E95" s="63">
        <f t="shared" si="17"/>
        <v>0</v>
      </c>
      <c r="F95" s="63">
        <f t="shared" si="18"/>
        <v>0</v>
      </c>
      <c r="G95" s="63">
        <f t="shared" si="20"/>
        <v>0</v>
      </c>
      <c r="H95" s="63">
        <f t="shared" si="19"/>
        <v>0</v>
      </c>
      <c r="I95" s="64">
        <f t="shared" si="21"/>
        <v>0</v>
      </c>
      <c r="J95" s="65"/>
      <c r="K95" s="65"/>
      <c r="L95" s="83"/>
      <c r="M95" s="67"/>
      <c r="N95" s="68"/>
      <c r="O95" s="62"/>
      <c r="P95" s="69"/>
      <c r="Q95" s="70"/>
      <c r="R95" s="50">
        <f t="shared" si="22"/>
        <v>0</v>
      </c>
      <c r="S95" s="71"/>
      <c r="T95" s="94"/>
      <c r="U95" s="72"/>
      <c r="V95" s="73"/>
      <c r="W95" s="74"/>
      <c r="X95" s="75"/>
      <c r="Y95" s="75"/>
      <c r="Z95" s="76"/>
      <c r="AA95" s="77"/>
      <c r="AB95" s="73"/>
      <c r="AC95" s="74"/>
      <c r="AD95" s="75"/>
      <c r="AE95" s="75"/>
      <c r="AF95" s="75"/>
      <c r="AG95" s="75"/>
      <c r="AH95" s="75"/>
      <c r="AI95" s="75"/>
      <c r="AJ95" s="78"/>
      <c r="AK95" s="79"/>
      <c r="AL95" s="75"/>
      <c r="AM95" s="75"/>
      <c r="AN95" s="75"/>
      <c r="AO95" s="75"/>
      <c r="AP95" s="75"/>
      <c r="AQ95" s="75"/>
      <c r="AR95" s="75"/>
      <c r="AS95" s="77"/>
      <c r="AT95" s="74"/>
      <c r="AU95" s="78"/>
      <c r="AV95" s="79"/>
      <c r="AW95" s="75"/>
      <c r="AX95" s="75"/>
      <c r="AY95" s="75"/>
      <c r="AZ95" s="77"/>
      <c r="BA95" s="74"/>
      <c r="BB95" s="75"/>
      <c r="BC95" s="75"/>
      <c r="BD95" s="77"/>
      <c r="BE95" s="6">
        <f t="shared" si="23"/>
        <v>0</v>
      </c>
    </row>
    <row r="96" spans="1:57">
      <c r="A96" s="61"/>
      <c r="B96" s="40"/>
      <c r="C96" s="62">
        <f t="shared" si="15"/>
        <v>0</v>
      </c>
      <c r="D96" s="63">
        <f t="shared" si="16"/>
        <v>0</v>
      </c>
      <c r="E96" s="63">
        <f t="shared" si="17"/>
        <v>0</v>
      </c>
      <c r="F96" s="63">
        <f t="shared" si="18"/>
        <v>0</v>
      </c>
      <c r="G96" s="63">
        <f t="shared" si="20"/>
        <v>0</v>
      </c>
      <c r="H96" s="63">
        <f t="shared" si="19"/>
        <v>0</v>
      </c>
      <c r="I96" s="64">
        <f t="shared" si="21"/>
        <v>0</v>
      </c>
      <c r="J96" s="65"/>
      <c r="K96" s="65"/>
      <c r="L96" s="83"/>
      <c r="M96" s="67"/>
      <c r="N96" s="68"/>
      <c r="O96" s="62"/>
      <c r="P96" s="69"/>
      <c r="Q96" s="70"/>
      <c r="R96" s="50">
        <f t="shared" si="22"/>
        <v>0</v>
      </c>
      <c r="S96" s="71"/>
      <c r="T96" s="94"/>
      <c r="U96" s="72"/>
      <c r="V96" s="73"/>
      <c r="W96" s="74"/>
      <c r="X96" s="75"/>
      <c r="Y96" s="75"/>
      <c r="Z96" s="76"/>
      <c r="AA96" s="77"/>
      <c r="AB96" s="73"/>
      <c r="AC96" s="74"/>
      <c r="AD96" s="75"/>
      <c r="AE96" s="75"/>
      <c r="AF96" s="75"/>
      <c r="AG96" s="75"/>
      <c r="AH96" s="75"/>
      <c r="AI96" s="75"/>
      <c r="AJ96" s="78"/>
      <c r="AK96" s="79"/>
      <c r="AL96" s="75"/>
      <c r="AM96" s="75"/>
      <c r="AN96" s="75"/>
      <c r="AO96" s="75"/>
      <c r="AP96" s="75"/>
      <c r="AQ96" s="75"/>
      <c r="AR96" s="75"/>
      <c r="AS96" s="77"/>
      <c r="AT96" s="74"/>
      <c r="AU96" s="78"/>
      <c r="AV96" s="79"/>
      <c r="AW96" s="75"/>
      <c r="AX96" s="75"/>
      <c r="AY96" s="75"/>
      <c r="AZ96" s="77"/>
      <c r="BA96" s="74"/>
      <c r="BB96" s="75"/>
      <c r="BC96" s="75"/>
      <c r="BD96" s="77"/>
      <c r="BE96" s="6">
        <f t="shared" si="23"/>
        <v>0</v>
      </c>
    </row>
    <row r="97" spans="1:57">
      <c r="A97" s="61"/>
      <c r="B97" s="40"/>
      <c r="C97" s="62">
        <f t="shared" si="15"/>
        <v>0</v>
      </c>
      <c r="D97" s="63">
        <f t="shared" si="16"/>
        <v>0</v>
      </c>
      <c r="E97" s="63">
        <f t="shared" si="17"/>
        <v>0</v>
      </c>
      <c r="F97" s="63">
        <f t="shared" si="18"/>
        <v>0</v>
      </c>
      <c r="G97" s="63">
        <f t="shared" si="20"/>
        <v>0</v>
      </c>
      <c r="H97" s="63">
        <f t="shared" si="19"/>
        <v>0</v>
      </c>
      <c r="I97" s="64">
        <f t="shared" si="21"/>
        <v>0</v>
      </c>
      <c r="J97" s="65"/>
      <c r="K97" s="65"/>
      <c r="L97" s="83"/>
      <c r="M97" s="67"/>
      <c r="N97" s="68"/>
      <c r="O97" s="62"/>
      <c r="P97" s="69"/>
      <c r="Q97" s="70"/>
      <c r="R97" s="50">
        <f t="shared" si="22"/>
        <v>0</v>
      </c>
      <c r="S97" s="71"/>
      <c r="T97" s="94"/>
      <c r="U97" s="72"/>
      <c r="V97" s="73"/>
      <c r="W97" s="74"/>
      <c r="X97" s="75"/>
      <c r="Y97" s="75"/>
      <c r="Z97" s="76"/>
      <c r="AA97" s="77"/>
      <c r="AB97" s="73"/>
      <c r="AC97" s="74"/>
      <c r="AD97" s="75"/>
      <c r="AE97" s="75"/>
      <c r="AF97" s="75"/>
      <c r="AG97" s="75"/>
      <c r="AH97" s="75"/>
      <c r="AI97" s="75"/>
      <c r="AJ97" s="78"/>
      <c r="AK97" s="79"/>
      <c r="AL97" s="75"/>
      <c r="AM97" s="75"/>
      <c r="AN97" s="75"/>
      <c r="AO97" s="75"/>
      <c r="AP97" s="75"/>
      <c r="AQ97" s="75"/>
      <c r="AR97" s="75"/>
      <c r="AS97" s="77"/>
      <c r="AT97" s="74"/>
      <c r="AU97" s="78"/>
      <c r="AV97" s="79"/>
      <c r="AW97" s="75"/>
      <c r="AX97" s="75"/>
      <c r="AY97" s="75"/>
      <c r="AZ97" s="77"/>
      <c r="BA97" s="74"/>
      <c r="BB97" s="75"/>
      <c r="BC97" s="75"/>
      <c r="BD97" s="77"/>
      <c r="BE97" s="6">
        <f t="shared" si="23"/>
        <v>0</v>
      </c>
    </row>
    <row r="98" spans="1:57">
      <c r="A98" s="61"/>
      <c r="B98" s="40"/>
      <c r="C98" s="62">
        <f t="shared" si="15"/>
        <v>0</v>
      </c>
      <c r="D98" s="63">
        <f t="shared" si="16"/>
        <v>0</v>
      </c>
      <c r="E98" s="63">
        <f t="shared" si="17"/>
        <v>0</v>
      </c>
      <c r="F98" s="63">
        <f t="shared" si="18"/>
        <v>0</v>
      </c>
      <c r="G98" s="63">
        <f t="shared" si="20"/>
        <v>0</v>
      </c>
      <c r="H98" s="63">
        <f t="shared" si="19"/>
        <v>0</v>
      </c>
      <c r="I98" s="64">
        <f t="shared" si="21"/>
        <v>0</v>
      </c>
      <c r="J98" s="65"/>
      <c r="K98" s="65"/>
      <c r="L98" s="83"/>
      <c r="M98" s="67"/>
      <c r="N98" s="68"/>
      <c r="O98" s="62"/>
      <c r="P98" s="69"/>
      <c r="Q98" s="70"/>
      <c r="R98" s="50">
        <f t="shared" si="22"/>
        <v>0</v>
      </c>
      <c r="S98" s="71"/>
      <c r="T98" s="94"/>
      <c r="U98" s="72"/>
      <c r="V98" s="73"/>
      <c r="W98" s="74"/>
      <c r="X98" s="75"/>
      <c r="Y98" s="75"/>
      <c r="Z98" s="76"/>
      <c r="AA98" s="77"/>
      <c r="AB98" s="73"/>
      <c r="AC98" s="74"/>
      <c r="AD98" s="75"/>
      <c r="AE98" s="75"/>
      <c r="AF98" s="75"/>
      <c r="AG98" s="75"/>
      <c r="AH98" s="75"/>
      <c r="AI98" s="75"/>
      <c r="AJ98" s="78"/>
      <c r="AK98" s="79"/>
      <c r="AL98" s="75"/>
      <c r="AM98" s="75"/>
      <c r="AN98" s="75"/>
      <c r="AO98" s="75"/>
      <c r="AP98" s="75"/>
      <c r="AQ98" s="75"/>
      <c r="AR98" s="75"/>
      <c r="AS98" s="77"/>
      <c r="AT98" s="74"/>
      <c r="AU98" s="78"/>
      <c r="AV98" s="79"/>
      <c r="AW98" s="75"/>
      <c r="AX98" s="75"/>
      <c r="AY98" s="75"/>
      <c r="AZ98" s="77"/>
      <c r="BA98" s="74"/>
      <c r="BB98" s="75"/>
      <c r="BC98" s="75"/>
      <c r="BD98" s="77"/>
      <c r="BE98" s="6">
        <f t="shared" si="23"/>
        <v>0</v>
      </c>
    </row>
    <row r="99" spans="1:57">
      <c r="A99" s="61"/>
      <c r="B99" s="40"/>
      <c r="C99" s="62">
        <f t="shared" si="15"/>
        <v>0</v>
      </c>
      <c r="D99" s="63">
        <f t="shared" si="16"/>
        <v>0</v>
      </c>
      <c r="E99" s="63">
        <f t="shared" si="17"/>
        <v>0</v>
      </c>
      <c r="F99" s="63">
        <f t="shared" si="18"/>
        <v>0</v>
      </c>
      <c r="G99" s="63">
        <f t="shared" si="20"/>
        <v>0</v>
      </c>
      <c r="H99" s="63">
        <f t="shared" si="19"/>
        <v>0</v>
      </c>
      <c r="I99" s="64">
        <f t="shared" si="21"/>
        <v>0</v>
      </c>
      <c r="J99" s="65"/>
      <c r="K99" s="65"/>
      <c r="L99" s="83"/>
      <c r="M99" s="108"/>
      <c r="N99" s="68"/>
      <c r="O99" s="62"/>
      <c r="P99" s="69"/>
      <c r="Q99" s="70"/>
      <c r="R99" s="50">
        <f t="shared" si="22"/>
        <v>0</v>
      </c>
      <c r="S99" s="71"/>
      <c r="T99" s="94"/>
      <c r="U99" s="72"/>
      <c r="V99" s="73"/>
      <c r="W99" s="74"/>
      <c r="X99" s="75"/>
      <c r="Y99" s="75"/>
      <c r="Z99" s="76"/>
      <c r="AA99" s="77"/>
      <c r="AB99" s="73"/>
      <c r="AC99" s="74"/>
      <c r="AD99" s="75"/>
      <c r="AE99" s="75"/>
      <c r="AF99" s="75"/>
      <c r="AG99" s="75"/>
      <c r="AH99" s="75"/>
      <c r="AI99" s="75"/>
      <c r="AJ99" s="78"/>
      <c r="AK99" s="79"/>
      <c r="AL99" s="75"/>
      <c r="AM99" s="75"/>
      <c r="AN99" s="75"/>
      <c r="AO99" s="75"/>
      <c r="AP99" s="75"/>
      <c r="AQ99" s="75"/>
      <c r="AR99" s="75"/>
      <c r="AS99" s="77"/>
      <c r="AT99" s="74"/>
      <c r="AU99" s="78"/>
      <c r="AV99" s="79"/>
      <c r="AW99" s="75"/>
      <c r="AX99" s="75"/>
      <c r="AY99" s="75"/>
      <c r="AZ99" s="77"/>
      <c r="BA99" s="74"/>
      <c r="BB99" s="75"/>
      <c r="BC99" s="75"/>
      <c r="BD99" s="77"/>
      <c r="BE99" s="6">
        <f t="shared" si="23"/>
        <v>0</v>
      </c>
    </row>
    <row r="100" spans="1:57">
      <c r="A100" s="61"/>
      <c r="B100" s="40"/>
      <c r="C100" s="62">
        <f t="shared" si="15"/>
        <v>0</v>
      </c>
      <c r="D100" s="63">
        <f t="shared" si="16"/>
        <v>0</v>
      </c>
      <c r="E100" s="63">
        <f t="shared" si="17"/>
        <v>0</v>
      </c>
      <c r="F100" s="63">
        <f t="shared" si="18"/>
        <v>0</v>
      </c>
      <c r="G100" s="63">
        <f t="shared" si="20"/>
        <v>0</v>
      </c>
      <c r="H100" s="63">
        <f t="shared" si="19"/>
        <v>0</v>
      </c>
      <c r="I100" s="64">
        <f t="shared" si="21"/>
        <v>0</v>
      </c>
      <c r="J100" s="65"/>
      <c r="K100" s="65"/>
      <c r="L100" s="83"/>
      <c r="M100" s="67"/>
      <c r="N100" s="68"/>
      <c r="O100" s="62"/>
      <c r="P100" s="69"/>
      <c r="Q100" s="70"/>
      <c r="R100" s="50">
        <f t="shared" si="22"/>
        <v>0</v>
      </c>
      <c r="S100" s="71"/>
      <c r="T100" s="94"/>
      <c r="U100" s="72"/>
      <c r="V100" s="73"/>
      <c r="W100" s="74"/>
      <c r="X100" s="75"/>
      <c r="Y100" s="75"/>
      <c r="Z100" s="76"/>
      <c r="AA100" s="77"/>
      <c r="AB100" s="73"/>
      <c r="AC100" s="74"/>
      <c r="AD100" s="75"/>
      <c r="AE100" s="75"/>
      <c r="AF100" s="75"/>
      <c r="AG100" s="75"/>
      <c r="AH100" s="75"/>
      <c r="AI100" s="75"/>
      <c r="AJ100" s="78"/>
      <c r="AK100" s="79"/>
      <c r="AL100" s="75"/>
      <c r="AM100" s="75"/>
      <c r="AN100" s="75"/>
      <c r="AO100" s="75"/>
      <c r="AP100" s="75"/>
      <c r="AQ100" s="75"/>
      <c r="AR100" s="75"/>
      <c r="AS100" s="77"/>
      <c r="AT100" s="74"/>
      <c r="AU100" s="78"/>
      <c r="AV100" s="79"/>
      <c r="AW100" s="75"/>
      <c r="AX100" s="75"/>
      <c r="AY100" s="75"/>
      <c r="AZ100" s="77"/>
      <c r="BA100" s="74"/>
      <c r="BB100" s="75"/>
      <c r="BC100" s="75"/>
      <c r="BD100" s="77"/>
      <c r="BE100" s="6">
        <f t="shared" si="23"/>
        <v>0</v>
      </c>
    </row>
    <row r="101" spans="1:57">
      <c r="A101" s="61"/>
      <c r="B101" s="40"/>
      <c r="C101" s="62">
        <f t="shared" ref="C101:C113" si="24">SUM(AB101:AJ101)</f>
        <v>0</v>
      </c>
      <c r="D101" s="63">
        <f t="shared" ref="D101:D113" si="25">SUM(AK101:AS101)</f>
        <v>0</v>
      </c>
      <c r="E101" s="63">
        <f t="shared" ref="E101:E113" si="26">SUM(AT101:AU101)</f>
        <v>0</v>
      </c>
      <c r="F101" s="63">
        <f t="shared" ref="F101:F113" si="27">SUM(AV101:AZ101)</f>
        <v>0</v>
      </c>
      <c r="G101" s="63">
        <f t="shared" si="20"/>
        <v>0</v>
      </c>
      <c r="H101" s="63">
        <f t="shared" ref="H101:H113" si="28">SUM(V101:AA101)</f>
        <v>0</v>
      </c>
      <c r="I101" s="64">
        <f t="shared" si="21"/>
        <v>0</v>
      </c>
      <c r="J101" s="65"/>
      <c r="K101" s="65"/>
      <c r="L101" s="83"/>
      <c r="M101" s="67"/>
      <c r="N101" s="68"/>
      <c r="O101" s="62"/>
      <c r="P101" s="69"/>
      <c r="Q101" s="70"/>
      <c r="R101" s="50">
        <f t="shared" si="22"/>
        <v>0</v>
      </c>
      <c r="S101" s="71"/>
      <c r="T101" s="94"/>
      <c r="U101" s="72"/>
      <c r="V101" s="73"/>
      <c r="W101" s="74"/>
      <c r="X101" s="75"/>
      <c r="Y101" s="75"/>
      <c r="Z101" s="76"/>
      <c r="AA101" s="77"/>
      <c r="AB101" s="73"/>
      <c r="AC101" s="74"/>
      <c r="AD101" s="75"/>
      <c r="AE101" s="75"/>
      <c r="AF101" s="75"/>
      <c r="AG101" s="75"/>
      <c r="AH101" s="75"/>
      <c r="AI101" s="75"/>
      <c r="AJ101" s="78"/>
      <c r="AK101" s="79"/>
      <c r="AL101" s="75"/>
      <c r="AM101" s="75"/>
      <c r="AN101" s="75"/>
      <c r="AO101" s="75"/>
      <c r="AP101" s="75"/>
      <c r="AQ101" s="75"/>
      <c r="AR101" s="75"/>
      <c r="AS101" s="77"/>
      <c r="AT101" s="74"/>
      <c r="AU101" s="78"/>
      <c r="AV101" s="79"/>
      <c r="AW101" s="75"/>
      <c r="AX101" s="75"/>
      <c r="AY101" s="75"/>
      <c r="AZ101" s="77"/>
      <c r="BA101" s="74"/>
      <c r="BB101" s="75"/>
      <c r="BC101" s="75"/>
      <c r="BD101" s="77"/>
      <c r="BE101" s="6">
        <f t="shared" si="23"/>
        <v>0</v>
      </c>
    </row>
    <row r="102" spans="1:57">
      <c r="A102" s="61"/>
      <c r="B102" s="40"/>
      <c r="C102" s="62">
        <f t="shared" si="24"/>
        <v>0</v>
      </c>
      <c r="D102" s="63">
        <f t="shared" si="25"/>
        <v>0</v>
      </c>
      <c r="E102" s="63">
        <f t="shared" si="26"/>
        <v>0</v>
      </c>
      <c r="F102" s="63">
        <f t="shared" si="27"/>
        <v>0</v>
      </c>
      <c r="G102" s="63">
        <f t="shared" si="20"/>
        <v>0</v>
      </c>
      <c r="H102" s="63">
        <f t="shared" si="28"/>
        <v>0</v>
      </c>
      <c r="I102" s="64">
        <f t="shared" si="21"/>
        <v>0</v>
      </c>
      <c r="J102" s="65"/>
      <c r="K102" s="65"/>
      <c r="L102" s="83"/>
      <c r="M102" s="67"/>
      <c r="N102" s="68"/>
      <c r="O102" s="62"/>
      <c r="P102" s="69"/>
      <c r="Q102" s="70"/>
      <c r="R102" s="50">
        <f t="shared" si="22"/>
        <v>0</v>
      </c>
      <c r="S102" s="71"/>
      <c r="T102" s="94"/>
      <c r="U102" s="72"/>
      <c r="V102" s="73"/>
      <c r="W102" s="74"/>
      <c r="X102" s="75"/>
      <c r="Y102" s="75"/>
      <c r="Z102" s="76"/>
      <c r="AA102" s="77"/>
      <c r="AB102" s="73"/>
      <c r="AC102" s="74"/>
      <c r="AD102" s="75"/>
      <c r="AE102" s="75"/>
      <c r="AF102" s="75"/>
      <c r="AG102" s="75"/>
      <c r="AH102" s="75"/>
      <c r="AI102" s="75"/>
      <c r="AJ102" s="78"/>
      <c r="AK102" s="79"/>
      <c r="AL102" s="75"/>
      <c r="AM102" s="75"/>
      <c r="AN102" s="75"/>
      <c r="AO102" s="75"/>
      <c r="AP102" s="75"/>
      <c r="AQ102" s="75"/>
      <c r="AR102" s="75"/>
      <c r="AS102" s="77"/>
      <c r="AT102" s="74"/>
      <c r="AU102" s="78"/>
      <c r="AV102" s="79"/>
      <c r="AW102" s="75"/>
      <c r="AX102" s="75"/>
      <c r="AY102" s="75"/>
      <c r="AZ102" s="77"/>
      <c r="BA102" s="74"/>
      <c r="BB102" s="75"/>
      <c r="BC102" s="75"/>
      <c r="BD102" s="77"/>
      <c r="BE102" s="6">
        <f t="shared" si="23"/>
        <v>0</v>
      </c>
    </row>
    <row r="103" spans="1:57">
      <c r="A103" s="61"/>
      <c r="B103" s="40"/>
      <c r="C103" s="62">
        <f t="shared" si="24"/>
        <v>0</v>
      </c>
      <c r="D103" s="63">
        <f t="shared" si="25"/>
        <v>0</v>
      </c>
      <c r="E103" s="63">
        <f t="shared" si="26"/>
        <v>0</v>
      </c>
      <c r="F103" s="63">
        <f t="shared" si="27"/>
        <v>0</v>
      </c>
      <c r="G103" s="63">
        <f t="shared" si="20"/>
        <v>0</v>
      </c>
      <c r="H103" s="63">
        <f t="shared" si="28"/>
        <v>0</v>
      </c>
      <c r="I103" s="64">
        <f t="shared" si="21"/>
        <v>0</v>
      </c>
      <c r="J103" s="65"/>
      <c r="K103" s="65"/>
      <c r="L103" s="83"/>
      <c r="M103" s="67"/>
      <c r="N103" s="68"/>
      <c r="O103" s="62"/>
      <c r="P103" s="69"/>
      <c r="Q103" s="70"/>
      <c r="R103" s="50">
        <f t="shared" si="22"/>
        <v>0</v>
      </c>
      <c r="S103" s="71"/>
      <c r="T103" s="94"/>
      <c r="U103" s="72"/>
      <c r="V103" s="73"/>
      <c r="W103" s="74"/>
      <c r="X103" s="75"/>
      <c r="Y103" s="74"/>
      <c r="Z103" s="73"/>
      <c r="AA103" s="77"/>
      <c r="AB103" s="73"/>
      <c r="AC103" s="74"/>
      <c r="AD103" s="75"/>
      <c r="AE103" s="75"/>
      <c r="AF103" s="75"/>
      <c r="AG103" s="75"/>
      <c r="AH103" s="75"/>
      <c r="AI103" s="75"/>
      <c r="AJ103" s="78"/>
      <c r="AK103" s="79"/>
      <c r="AL103" s="75"/>
      <c r="AM103" s="75"/>
      <c r="AN103" s="75"/>
      <c r="AO103" s="75"/>
      <c r="AP103" s="75"/>
      <c r="AQ103" s="75"/>
      <c r="AR103" s="75"/>
      <c r="AS103" s="77"/>
      <c r="AT103" s="74"/>
      <c r="AU103" s="78"/>
      <c r="AV103" s="79"/>
      <c r="AW103" s="75"/>
      <c r="AX103" s="75"/>
      <c r="AY103" s="75"/>
      <c r="AZ103" s="77"/>
      <c r="BA103" s="74"/>
      <c r="BB103" s="75"/>
      <c r="BC103" s="75"/>
      <c r="BD103" s="77"/>
      <c r="BE103" s="6">
        <f t="shared" si="23"/>
        <v>0</v>
      </c>
    </row>
    <row r="104" spans="1:57">
      <c r="A104" s="61"/>
      <c r="B104" s="40"/>
      <c r="C104" s="62">
        <f t="shared" si="24"/>
        <v>0</v>
      </c>
      <c r="D104" s="63">
        <f t="shared" si="25"/>
        <v>0</v>
      </c>
      <c r="E104" s="63">
        <f t="shared" si="26"/>
        <v>0</v>
      </c>
      <c r="F104" s="63">
        <f t="shared" si="27"/>
        <v>0</v>
      </c>
      <c r="G104" s="63">
        <f t="shared" si="20"/>
        <v>0</v>
      </c>
      <c r="H104" s="63">
        <f t="shared" si="28"/>
        <v>0</v>
      </c>
      <c r="I104" s="64">
        <f t="shared" si="21"/>
        <v>0</v>
      </c>
      <c r="J104" s="65"/>
      <c r="K104" s="65"/>
      <c r="L104" s="83"/>
      <c r="M104" s="67"/>
      <c r="N104" s="68"/>
      <c r="O104" s="62"/>
      <c r="P104" s="69"/>
      <c r="Q104" s="70"/>
      <c r="R104" s="50">
        <f t="shared" si="22"/>
        <v>0</v>
      </c>
      <c r="S104" s="71"/>
      <c r="T104" s="94"/>
      <c r="U104" s="72"/>
      <c r="V104" s="73"/>
      <c r="W104" s="74"/>
      <c r="X104" s="75"/>
      <c r="Y104" s="74"/>
      <c r="Z104" s="73"/>
      <c r="AA104" s="77"/>
      <c r="AB104" s="73"/>
      <c r="AC104" s="74"/>
      <c r="AD104" s="75"/>
      <c r="AE104" s="75"/>
      <c r="AF104" s="75"/>
      <c r="AG104" s="75"/>
      <c r="AH104" s="75"/>
      <c r="AI104" s="75"/>
      <c r="AJ104" s="78"/>
      <c r="AK104" s="79"/>
      <c r="AL104" s="75"/>
      <c r="AM104" s="75"/>
      <c r="AN104" s="75"/>
      <c r="AO104" s="75"/>
      <c r="AP104" s="75"/>
      <c r="AQ104" s="75"/>
      <c r="AR104" s="75"/>
      <c r="AS104" s="77"/>
      <c r="AT104" s="74"/>
      <c r="AU104" s="78"/>
      <c r="AV104" s="79"/>
      <c r="AW104" s="75"/>
      <c r="AX104" s="75"/>
      <c r="AY104" s="75"/>
      <c r="AZ104" s="77"/>
      <c r="BA104" s="74"/>
      <c r="BB104" s="75"/>
      <c r="BC104" s="75"/>
      <c r="BD104" s="77"/>
      <c r="BE104" s="6">
        <f t="shared" si="23"/>
        <v>0</v>
      </c>
    </row>
    <row r="105" spans="1:57">
      <c r="A105" s="61"/>
      <c r="B105" s="40"/>
      <c r="C105" s="62">
        <f t="shared" si="24"/>
        <v>0</v>
      </c>
      <c r="D105" s="63">
        <f t="shared" si="25"/>
        <v>0</v>
      </c>
      <c r="E105" s="63">
        <f t="shared" si="26"/>
        <v>0</v>
      </c>
      <c r="F105" s="63">
        <f t="shared" si="27"/>
        <v>0</v>
      </c>
      <c r="G105" s="63">
        <f t="shared" si="20"/>
        <v>0</v>
      </c>
      <c r="H105" s="63">
        <f t="shared" si="28"/>
        <v>0</v>
      </c>
      <c r="I105" s="64">
        <f t="shared" si="21"/>
        <v>0</v>
      </c>
      <c r="J105" s="65"/>
      <c r="K105" s="65"/>
      <c r="L105" s="83"/>
      <c r="M105" s="67"/>
      <c r="N105" s="68"/>
      <c r="O105" s="62"/>
      <c r="P105" s="69"/>
      <c r="Q105" s="70"/>
      <c r="R105" s="50">
        <f t="shared" si="22"/>
        <v>0</v>
      </c>
      <c r="S105" s="71"/>
      <c r="T105" s="94"/>
      <c r="U105" s="72"/>
      <c r="V105" s="73"/>
      <c r="W105" s="74"/>
      <c r="X105" s="75"/>
      <c r="Y105" s="74"/>
      <c r="Z105" s="73"/>
      <c r="AA105" s="77"/>
      <c r="AB105" s="73"/>
      <c r="AC105" s="74"/>
      <c r="AD105" s="75"/>
      <c r="AE105" s="75"/>
      <c r="AF105" s="75"/>
      <c r="AG105" s="75"/>
      <c r="AH105" s="75"/>
      <c r="AI105" s="75"/>
      <c r="AJ105" s="78"/>
      <c r="AK105" s="79"/>
      <c r="AL105" s="75"/>
      <c r="AM105" s="75"/>
      <c r="AN105" s="75"/>
      <c r="AO105" s="75"/>
      <c r="AP105" s="75"/>
      <c r="AQ105" s="75"/>
      <c r="AR105" s="75"/>
      <c r="AS105" s="77"/>
      <c r="AT105" s="74"/>
      <c r="AU105" s="78"/>
      <c r="AV105" s="79"/>
      <c r="AW105" s="75"/>
      <c r="AX105" s="75"/>
      <c r="AY105" s="75"/>
      <c r="AZ105" s="77"/>
      <c r="BA105" s="74"/>
      <c r="BB105" s="75"/>
      <c r="BC105" s="75"/>
      <c r="BD105" s="77"/>
      <c r="BE105" s="6">
        <f t="shared" si="23"/>
        <v>0</v>
      </c>
    </row>
    <row r="106" spans="1:57" ht="16.2" customHeight="1">
      <c r="A106" s="61"/>
      <c r="B106" s="40"/>
      <c r="C106" s="62">
        <f t="shared" si="24"/>
        <v>0</v>
      </c>
      <c r="D106" s="63">
        <f t="shared" si="25"/>
        <v>0</v>
      </c>
      <c r="E106" s="63">
        <f t="shared" si="26"/>
        <v>0</v>
      </c>
      <c r="F106" s="63">
        <f t="shared" si="27"/>
        <v>0</v>
      </c>
      <c r="G106" s="63">
        <f t="shared" si="20"/>
        <v>0</v>
      </c>
      <c r="H106" s="63">
        <f t="shared" si="28"/>
        <v>0</v>
      </c>
      <c r="I106" s="64">
        <f t="shared" si="21"/>
        <v>0</v>
      </c>
      <c r="J106" s="65"/>
      <c r="K106" s="65"/>
      <c r="L106" s="83"/>
      <c r="M106" s="67"/>
      <c r="N106" s="68"/>
      <c r="O106" s="62"/>
      <c r="P106" s="69"/>
      <c r="Q106" s="70"/>
      <c r="R106" s="50">
        <f t="shared" si="22"/>
        <v>0</v>
      </c>
      <c r="S106" s="71"/>
      <c r="T106" s="94"/>
      <c r="U106" s="72"/>
      <c r="V106" s="73"/>
      <c r="W106" s="74"/>
      <c r="X106" s="75"/>
      <c r="Y106" s="74"/>
      <c r="Z106" s="73"/>
      <c r="AA106" s="77"/>
      <c r="AB106" s="73"/>
      <c r="AC106" s="74"/>
      <c r="AD106" s="75"/>
      <c r="AE106" s="75"/>
      <c r="AF106" s="75"/>
      <c r="AG106" s="75"/>
      <c r="AH106" s="75"/>
      <c r="AI106" s="75"/>
      <c r="AJ106" s="78"/>
      <c r="AK106" s="79"/>
      <c r="AL106" s="75"/>
      <c r="AM106" s="75"/>
      <c r="AN106" s="75"/>
      <c r="AO106" s="75"/>
      <c r="AP106" s="75"/>
      <c r="AQ106" s="75"/>
      <c r="AR106" s="75"/>
      <c r="AS106" s="77"/>
      <c r="AT106" s="74"/>
      <c r="AU106" s="78"/>
      <c r="AV106" s="79"/>
      <c r="AW106" s="75"/>
      <c r="AX106" s="75"/>
      <c r="AY106" s="75"/>
      <c r="AZ106" s="77"/>
      <c r="BA106" s="74"/>
      <c r="BB106" s="75"/>
      <c r="BC106" s="75"/>
      <c r="BD106" s="77"/>
      <c r="BE106" s="6">
        <f t="shared" si="23"/>
        <v>0</v>
      </c>
    </row>
    <row r="107" spans="1:57">
      <c r="A107" s="61"/>
      <c r="B107" s="40"/>
      <c r="C107" s="62">
        <f t="shared" si="24"/>
        <v>0</v>
      </c>
      <c r="D107" s="63">
        <f t="shared" si="25"/>
        <v>0</v>
      </c>
      <c r="E107" s="63">
        <f t="shared" si="26"/>
        <v>0</v>
      </c>
      <c r="F107" s="63">
        <f t="shared" si="27"/>
        <v>0</v>
      </c>
      <c r="G107" s="63">
        <f t="shared" si="20"/>
        <v>0</v>
      </c>
      <c r="H107" s="63">
        <f t="shared" si="28"/>
        <v>0</v>
      </c>
      <c r="I107" s="64">
        <f t="shared" si="21"/>
        <v>0</v>
      </c>
      <c r="J107" s="65"/>
      <c r="K107" s="65"/>
      <c r="L107" s="83"/>
      <c r="M107" s="67"/>
      <c r="N107" s="68"/>
      <c r="O107" s="62"/>
      <c r="P107" s="69"/>
      <c r="Q107" s="70"/>
      <c r="R107" s="50">
        <f t="shared" si="22"/>
        <v>0</v>
      </c>
      <c r="S107" s="109"/>
      <c r="T107" s="94"/>
      <c r="U107" s="72"/>
      <c r="V107" s="73"/>
      <c r="W107" s="74"/>
      <c r="X107" s="75"/>
      <c r="Y107" s="75"/>
      <c r="Z107" s="76"/>
      <c r="AA107" s="77"/>
      <c r="AB107" s="73"/>
      <c r="AC107" s="74"/>
      <c r="AD107" s="75"/>
      <c r="AE107" s="75"/>
      <c r="AF107" s="75"/>
      <c r="AG107" s="75"/>
      <c r="AH107" s="75"/>
      <c r="AI107" s="75"/>
      <c r="AJ107" s="78"/>
      <c r="AK107" s="79"/>
      <c r="AL107" s="75"/>
      <c r="AM107" s="75"/>
      <c r="AN107" s="75"/>
      <c r="AO107" s="75"/>
      <c r="AP107" s="75"/>
      <c r="AQ107" s="75"/>
      <c r="AR107" s="75"/>
      <c r="AS107" s="77"/>
      <c r="AT107" s="74"/>
      <c r="AU107" s="78"/>
      <c r="AV107" s="79"/>
      <c r="AW107" s="75"/>
      <c r="AX107" s="75"/>
      <c r="AY107" s="75"/>
      <c r="AZ107" s="77"/>
      <c r="BA107" s="74"/>
      <c r="BB107" s="75"/>
      <c r="BC107" s="75"/>
      <c r="BD107" s="77"/>
      <c r="BE107" s="6">
        <f t="shared" si="23"/>
        <v>0</v>
      </c>
    </row>
    <row r="108" spans="1:57">
      <c r="A108" s="61"/>
      <c r="B108" s="40"/>
      <c r="C108" s="62">
        <f t="shared" si="24"/>
        <v>0</v>
      </c>
      <c r="D108" s="63">
        <f t="shared" si="25"/>
        <v>0</v>
      </c>
      <c r="E108" s="63">
        <f t="shared" si="26"/>
        <v>0</v>
      </c>
      <c r="F108" s="63">
        <f t="shared" si="27"/>
        <v>0</v>
      </c>
      <c r="G108" s="63">
        <f t="shared" si="20"/>
        <v>0</v>
      </c>
      <c r="H108" s="63">
        <f t="shared" si="28"/>
        <v>0</v>
      </c>
      <c r="I108" s="64">
        <f t="shared" si="21"/>
        <v>0</v>
      </c>
      <c r="J108" s="65"/>
      <c r="K108" s="65"/>
      <c r="L108" s="83"/>
      <c r="M108" s="67"/>
      <c r="N108" s="68"/>
      <c r="O108" s="62"/>
      <c r="P108" s="69"/>
      <c r="Q108" s="70"/>
      <c r="R108" s="50">
        <f t="shared" si="22"/>
        <v>0</v>
      </c>
      <c r="S108" s="71"/>
      <c r="T108" s="94"/>
      <c r="U108" s="72"/>
      <c r="V108" s="73"/>
      <c r="W108" s="74"/>
      <c r="X108" s="75"/>
      <c r="Y108" s="75"/>
      <c r="Z108" s="76"/>
      <c r="AA108" s="77"/>
      <c r="AB108" s="73"/>
      <c r="AC108" s="74"/>
      <c r="AD108" s="75"/>
      <c r="AE108" s="75"/>
      <c r="AF108" s="75"/>
      <c r="AG108" s="75"/>
      <c r="AH108" s="75"/>
      <c r="AI108" s="75"/>
      <c r="AJ108" s="78"/>
      <c r="AK108" s="79"/>
      <c r="AL108" s="75"/>
      <c r="AM108" s="75"/>
      <c r="AN108" s="75"/>
      <c r="AO108" s="75"/>
      <c r="AP108" s="75"/>
      <c r="AQ108" s="75"/>
      <c r="AR108" s="75"/>
      <c r="AS108" s="77"/>
      <c r="AT108" s="74"/>
      <c r="AU108" s="78"/>
      <c r="AV108" s="79"/>
      <c r="AW108" s="75"/>
      <c r="AX108" s="75"/>
      <c r="AY108" s="75"/>
      <c r="AZ108" s="77"/>
      <c r="BA108" s="74"/>
      <c r="BB108" s="75"/>
      <c r="BC108" s="75"/>
      <c r="BD108" s="77"/>
      <c r="BE108" s="6">
        <f t="shared" si="23"/>
        <v>0</v>
      </c>
    </row>
    <row r="109" spans="1:57">
      <c r="A109" s="61"/>
      <c r="B109" s="40"/>
      <c r="C109" s="62">
        <f t="shared" si="24"/>
        <v>0</v>
      </c>
      <c r="D109" s="63">
        <f t="shared" si="25"/>
        <v>0</v>
      </c>
      <c r="E109" s="63">
        <f t="shared" si="26"/>
        <v>0</v>
      </c>
      <c r="F109" s="63">
        <f t="shared" si="27"/>
        <v>0</v>
      </c>
      <c r="G109" s="63">
        <f t="shared" si="20"/>
        <v>0</v>
      </c>
      <c r="H109" s="63">
        <f t="shared" si="28"/>
        <v>0</v>
      </c>
      <c r="I109" s="64">
        <f t="shared" si="21"/>
        <v>0</v>
      </c>
      <c r="J109" s="65"/>
      <c r="K109" s="65"/>
      <c r="L109" s="83"/>
      <c r="M109" s="67"/>
      <c r="N109" s="68"/>
      <c r="O109" s="62"/>
      <c r="P109" s="69"/>
      <c r="Q109" s="70"/>
      <c r="R109" s="50">
        <f t="shared" si="22"/>
        <v>0</v>
      </c>
      <c r="S109" s="71"/>
      <c r="T109" s="94"/>
      <c r="U109" s="72"/>
      <c r="V109" s="73"/>
      <c r="W109" s="74"/>
      <c r="X109" s="75"/>
      <c r="Y109" s="75"/>
      <c r="Z109" s="76"/>
      <c r="AA109" s="77"/>
      <c r="AB109" s="73"/>
      <c r="AC109" s="74"/>
      <c r="AD109" s="75"/>
      <c r="AE109" s="75"/>
      <c r="AF109" s="75"/>
      <c r="AG109" s="75"/>
      <c r="AH109" s="75"/>
      <c r="AI109" s="75"/>
      <c r="AJ109" s="78"/>
      <c r="AK109" s="79"/>
      <c r="AL109" s="75"/>
      <c r="AM109" s="75"/>
      <c r="AN109" s="75"/>
      <c r="AO109" s="75"/>
      <c r="AP109" s="75"/>
      <c r="AQ109" s="75"/>
      <c r="AR109" s="75"/>
      <c r="AS109" s="77"/>
      <c r="AT109" s="74"/>
      <c r="AU109" s="78"/>
      <c r="AV109" s="79"/>
      <c r="AW109" s="75"/>
      <c r="AX109" s="75"/>
      <c r="AY109" s="75"/>
      <c r="AZ109" s="77"/>
      <c r="BA109" s="74"/>
      <c r="BB109" s="75"/>
      <c r="BC109" s="75"/>
      <c r="BD109" s="77"/>
      <c r="BE109" s="6">
        <f t="shared" si="23"/>
        <v>0</v>
      </c>
    </row>
    <row r="110" spans="1:57">
      <c r="A110" s="61"/>
      <c r="B110" s="40"/>
      <c r="C110" s="62">
        <f t="shared" si="24"/>
        <v>0</v>
      </c>
      <c r="D110" s="63">
        <f t="shared" si="25"/>
        <v>0</v>
      </c>
      <c r="E110" s="63">
        <f t="shared" si="26"/>
        <v>0</v>
      </c>
      <c r="F110" s="63">
        <f t="shared" si="27"/>
        <v>0</v>
      </c>
      <c r="G110" s="63">
        <f t="shared" si="20"/>
        <v>0</v>
      </c>
      <c r="H110" s="63">
        <f t="shared" si="28"/>
        <v>0</v>
      </c>
      <c r="I110" s="64">
        <f t="shared" si="21"/>
        <v>0</v>
      </c>
      <c r="J110" s="65"/>
      <c r="K110" s="65"/>
      <c r="L110" s="83"/>
      <c r="M110" s="67"/>
      <c r="N110" s="68"/>
      <c r="O110" s="62"/>
      <c r="P110" s="69"/>
      <c r="Q110" s="70"/>
      <c r="R110" s="50">
        <f t="shared" si="22"/>
        <v>0</v>
      </c>
      <c r="S110" s="71"/>
      <c r="T110" s="94"/>
      <c r="U110" s="72"/>
      <c r="V110" s="73"/>
      <c r="W110" s="74"/>
      <c r="X110" s="75"/>
      <c r="Y110" s="75"/>
      <c r="Z110" s="76"/>
      <c r="AA110" s="77"/>
      <c r="AB110" s="73"/>
      <c r="AC110" s="74"/>
      <c r="AD110" s="75"/>
      <c r="AE110" s="75"/>
      <c r="AF110" s="75"/>
      <c r="AG110" s="75"/>
      <c r="AH110" s="75"/>
      <c r="AI110" s="75"/>
      <c r="AJ110" s="78"/>
      <c r="AK110" s="79"/>
      <c r="AL110" s="75"/>
      <c r="AM110" s="75"/>
      <c r="AN110" s="75"/>
      <c r="AO110" s="75"/>
      <c r="AP110" s="75"/>
      <c r="AQ110" s="75"/>
      <c r="AR110" s="75"/>
      <c r="AS110" s="77"/>
      <c r="AT110" s="74"/>
      <c r="AU110" s="78"/>
      <c r="AV110" s="79"/>
      <c r="AW110" s="75"/>
      <c r="AX110" s="75"/>
      <c r="AY110" s="75"/>
      <c r="AZ110" s="77"/>
      <c r="BA110" s="74"/>
      <c r="BB110" s="75"/>
      <c r="BC110" s="75"/>
      <c r="BD110" s="77"/>
      <c r="BE110" s="6">
        <f t="shared" si="23"/>
        <v>0</v>
      </c>
    </row>
    <row r="111" spans="1:57">
      <c r="A111" s="61"/>
      <c r="B111" s="40"/>
      <c r="C111" s="62">
        <f t="shared" si="24"/>
        <v>0</v>
      </c>
      <c r="D111" s="63">
        <f t="shared" si="25"/>
        <v>0</v>
      </c>
      <c r="E111" s="63">
        <f t="shared" si="26"/>
        <v>0</v>
      </c>
      <c r="F111" s="63">
        <f t="shared" si="27"/>
        <v>0</v>
      </c>
      <c r="G111" s="63">
        <f t="shared" si="20"/>
        <v>0</v>
      </c>
      <c r="H111" s="63">
        <f t="shared" si="28"/>
        <v>0</v>
      </c>
      <c r="I111" s="64">
        <f t="shared" si="21"/>
        <v>0</v>
      </c>
      <c r="J111" s="65"/>
      <c r="K111" s="65"/>
      <c r="L111" s="83"/>
      <c r="M111" s="67"/>
      <c r="N111" s="68"/>
      <c r="O111" s="62"/>
      <c r="P111" s="69"/>
      <c r="Q111" s="70"/>
      <c r="R111" s="50">
        <f t="shared" si="22"/>
        <v>0</v>
      </c>
      <c r="S111" s="71"/>
      <c r="T111" s="94"/>
      <c r="U111" s="72"/>
      <c r="V111" s="73"/>
      <c r="W111" s="74"/>
      <c r="X111" s="75"/>
      <c r="Y111" s="75"/>
      <c r="Z111" s="76"/>
      <c r="AA111" s="77"/>
      <c r="AB111" s="106"/>
      <c r="AC111" s="106"/>
      <c r="AD111" s="75"/>
      <c r="AE111" s="75"/>
      <c r="AF111" s="75"/>
      <c r="AG111" s="75"/>
      <c r="AH111" s="75"/>
      <c r="AI111" s="75"/>
      <c r="AJ111" s="78"/>
      <c r="AK111" s="79"/>
      <c r="AL111" s="75"/>
      <c r="AM111" s="75"/>
      <c r="AN111" s="75"/>
      <c r="AO111" s="75"/>
      <c r="AP111" s="75"/>
      <c r="AQ111" s="75"/>
      <c r="AR111" s="75"/>
      <c r="AS111" s="77"/>
      <c r="AT111" s="74"/>
      <c r="AU111" s="78"/>
      <c r="AV111" s="79"/>
      <c r="AW111" s="75"/>
      <c r="AX111" s="75"/>
      <c r="AY111" s="75"/>
      <c r="AZ111" s="77"/>
      <c r="BA111" s="74"/>
      <c r="BB111" s="75"/>
      <c r="BC111" s="75"/>
      <c r="BD111" s="77"/>
      <c r="BE111" s="6">
        <f t="shared" ref="BE111:BE114" si="29">I111-SUM(AB111:BD111)</f>
        <v>0</v>
      </c>
    </row>
    <row r="112" spans="1:57" ht="16.2" customHeight="1">
      <c r="A112" s="61"/>
      <c r="B112" s="40"/>
      <c r="C112" s="62">
        <f t="shared" si="24"/>
        <v>0</v>
      </c>
      <c r="D112" s="63">
        <f t="shared" si="25"/>
        <v>0</v>
      </c>
      <c r="E112" s="63">
        <f t="shared" si="26"/>
        <v>0</v>
      </c>
      <c r="F112" s="63">
        <f t="shared" si="27"/>
        <v>0</v>
      </c>
      <c r="G112" s="63">
        <f t="shared" si="20"/>
        <v>0</v>
      </c>
      <c r="H112" s="63">
        <f t="shared" si="28"/>
        <v>0</v>
      </c>
      <c r="I112" s="64">
        <f t="shared" si="21"/>
        <v>0</v>
      </c>
      <c r="J112" s="65"/>
      <c r="K112" s="65"/>
      <c r="L112" s="83"/>
      <c r="M112" s="67"/>
      <c r="N112" s="68"/>
      <c r="O112" s="62"/>
      <c r="P112" s="69"/>
      <c r="Q112" s="70"/>
      <c r="R112" s="50">
        <f t="shared" si="22"/>
        <v>0</v>
      </c>
      <c r="S112" s="71"/>
      <c r="T112" s="94"/>
      <c r="U112" s="72"/>
      <c r="V112" s="73"/>
      <c r="W112" s="74"/>
      <c r="X112" s="75"/>
      <c r="Y112" s="75"/>
      <c r="Z112" s="76"/>
      <c r="AA112" s="77"/>
      <c r="AB112" s="73"/>
      <c r="AC112" s="74"/>
      <c r="AD112" s="75"/>
      <c r="AE112" s="75"/>
      <c r="AF112" s="75"/>
      <c r="AG112" s="75"/>
      <c r="AH112" s="75"/>
      <c r="AI112" s="75"/>
      <c r="AJ112" s="78"/>
      <c r="AK112" s="79"/>
      <c r="AL112" s="75"/>
      <c r="AM112" s="75"/>
      <c r="AN112" s="75"/>
      <c r="AO112" s="75"/>
      <c r="AP112" s="75"/>
      <c r="AQ112" s="75"/>
      <c r="AR112" s="75"/>
      <c r="AS112" s="77"/>
      <c r="AT112" s="74"/>
      <c r="AU112" s="78"/>
      <c r="AV112" s="79"/>
      <c r="AW112" s="75"/>
      <c r="AX112" s="75"/>
      <c r="AY112" s="75"/>
      <c r="AZ112" s="77"/>
      <c r="BA112" s="74"/>
      <c r="BB112" s="75"/>
      <c r="BC112" s="75"/>
      <c r="BD112" s="77"/>
      <c r="BE112" s="6">
        <f t="shared" si="29"/>
        <v>0</v>
      </c>
    </row>
    <row r="113" spans="1:57">
      <c r="A113" s="61"/>
      <c r="B113" s="40"/>
      <c r="C113" s="62">
        <f t="shared" si="24"/>
        <v>0</v>
      </c>
      <c r="D113" s="63">
        <f t="shared" si="25"/>
        <v>0</v>
      </c>
      <c r="E113" s="63">
        <f t="shared" si="26"/>
        <v>0</v>
      </c>
      <c r="F113" s="63">
        <f t="shared" si="27"/>
        <v>0</v>
      </c>
      <c r="G113" s="63">
        <f t="shared" si="20"/>
        <v>0</v>
      </c>
      <c r="H113" s="63">
        <f t="shared" si="28"/>
        <v>0</v>
      </c>
      <c r="I113" s="64">
        <f t="shared" si="21"/>
        <v>0</v>
      </c>
      <c r="J113" s="65"/>
      <c r="K113" s="65"/>
      <c r="L113" s="83"/>
      <c r="M113" s="67"/>
      <c r="N113" s="68"/>
      <c r="O113" s="62"/>
      <c r="P113" s="69"/>
      <c r="Q113" s="70"/>
      <c r="R113" s="50">
        <f t="shared" si="22"/>
        <v>0</v>
      </c>
      <c r="S113" s="71"/>
      <c r="T113" s="94"/>
      <c r="U113" s="72"/>
      <c r="V113" s="73"/>
      <c r="W113" s="74"/>
      <c r="X113" s="75"/>
      <c r="Y113" s="75"/>
      <c r="Z113" s="76"/>
      <c r="AA113" s="77"/>
      <c r="AB113" s="73"/>
      <c r="AC113" s="74"/>
      <c r="AD113" s="75"/>
      <c r="AE113" s="75"/>
      <c r="AF113" s="75"/>
      <c r="AG113" s="75"/>
      <c r="AH113" s="75"/>
      <c r="AI113" s="75"/>
      <c r="AJ113" s="78"/>
      <c r="AK113" s="79"/>
      <c r="AL113" s="75"/>
      <c r="AM113" s="75"/>
      <c r="AN113" s="75"/>
      <c r="AO113" s="75"/>
      <c r="AP113" s="75"/>
      <c r="AQ113" s="75"/>
      <c r="AR113" s="75"/>
      <c r="AS113" s="77"/>
      <c r="AT113" s="74"/>
      <c r="AU113" s="78"/>
      <c r="AV113" s="79"/>
      <c r="AW113" s="75"/>
      <c r="AX113" s="75"/>
      <c r="AY113" s="75"/>
      <c r="AZ113" s="77"/>
      <c r="BA113" s="74"/>
      <c r="BB113" s="75"/>
      <c r="BC113" s="75"/>
      <c r="BD113" s="77"/>
      <c r="BE113" s="6">
        <f t="shared" si="29"/>
        <v>0</v>
      </c>
    </row>
    <row r="114" spans="1:57" s="3" customFormat="1" ht="31.2" customHeight="1">
      <c r="A114" s="554" t="s">
        <v>97</v>
      </c>
      <c r="B114" s="555"/>
      <c r="C114" s="110">
        <f>SUM(C5:C113)</f>
        <v>0</v>
      </c>
      <c r="D114" s="110">
        <f t="shared" ref="D114:J114" si="30">SUM(D5:D113)</f>
        <v>0</v>
      </c>
      <c r="E114" s="110">
        <f t="shared" si="30"/>
        <v>0</v>
      </c>
      <c r="F114" s="110">
        <f t="shared" si="30"/>
        <v>0</v>
      </c>
      <c r="G114" s="110">
        <f t="shared" si="30"/>
        <v>0</v>
      </c>
      <c r="H114" s="110">
        <f t="shared" si="30"/>
        <v>0</v>
      </c>
      <c r="I114" s="110">
        <f t="shared" si="30"/>
        <v>0</v>
      </c>
      <c r="J114" s="110">
        <f t="shared" si="30"/>
        <v>0</v>
      </c>
      <c r="K114" s="110">
        <f t="shared" ref="K114:N114" si="31">SUM(K5:K113)</f>
        <v>0</v>
      </c>
      <c r="L114" s="110">
        <f t="shared" si="31"/>
        <v>0</v>
      </c>
      <c r="M114" s="110">
        <f t="shared" si="31"/>
        <v>0</v>
      </c>
      <c r="N114" s="110">
        <f t="shared" si="31"/>
        <v>0</v>
      </c>
      <c r="O114" s="110"/>
      <c r="P114" s="111">
        <f>SUM(P5:P113)</f>
        <v>0</v>
      </c>
      <c r="Q114" s="110">
        <f>SUM(Q5:Q113)</f>
        <v>0</v>
      </c>
      <c r="R114" s="112">
        <f>R4+N114+P114+Q114-M114-L114-K114-J114-I114</f>
        <v>0</v>
      </c>
      <c r="S114" s="110"/>
      <c r="T114" s="111"/>
      <c r="U114" s="111"/>
      <c r="V114" s="113">
        <f>SUM(V5:V113)</f>
        <v>0</v>
      </c>
      <c r="W114" s="113">
        <f>SUM(W5:W113)</f>
        <v>0</v>
      </c>
      <c r="X114" s="113">
        <f>SUM(X5:X113)</f>
        <v>0</v>
      </c>
      <c r="Y114" s="113">
        <f t="shared" ref="Y114:AD114" si="32">SUM(Y5:Y113)</f>
        <v>0</v>
      </c>
      <c r="Z114" s="113">
        <f t="shared" si="32"/>
        <v>0</v>
      </c>
      <c r="AA114" s="113">
        <f t="shared" si="32"/>
        <v>0</v>
      </c>
      <c r="AB114" s="114">
        <f t="shared" si="32"/>
        <v>0</v>
      </c>
      <c r="AC114" s="114">
        <f t="shared" si="32"/>
        <v>0</v>
      </c>
      <c r="AD114" s="114">
        <f t="shared" si="32"/>
        <v>0</v>
      </c>
      <c r="AE114" s="114">
        <f t="shared" ref="AE114:BD114" si="33">SUM(AE5:AE113)</f>
        <v>0</v>
      </c>
      <c r="AF114" s="114">
        <f t="shared" si="33"/>
        <v>0</v>
      </c>
      <c r="AG114" s="114">
        <f t="shared" si="33"/>
        <v>0</v>
      </c>
      <c r="AH114" s="114">
        <f t="shared" si="33"/>
        <v>0</v>
      </c>
      <c r="AI114" s="114">
        <f t="shared" si="33"/>
        <v>0</v>
      </c>
      <c r="AJ114" s="114">
        <f t="shared" si="33"/>
        <v>0</v>
      </c>
      <c r="AK114" s="114">
        <f t="shared" si="33"/>
        <v>0</v>
      </c>
      <c r="AL114" s="114">
        <f t="shared" si="33"/>
        <v>0</v>
      </c>
      <c r="AM114" s="114">
        <f t="shared" si="33"/>
        <v>0</v>
      </c>
      <c r="AN114" s="114">
        <f t="shared" si="33"/>
        <v>0</v>
      </c>
      <c r="AO114" s="114">
        <f t="shared" si="33"/>
        <v>0</v>
      </c>
      <c r="AP114" s="114">
        <f t="shared" si="33"/>
        <v>0</v>
      </c>
      <c r="AQ114" s="114">
        <f t="shared" si="33"/>
        <v>0</v>
      </c>
      <c r="AR114" s="114">
        <f t="shared" si="33"/>
        <v>0</v>
      </c>
      <c r="AS114" s="114">
        <f t="shared" si="33"/>
        <v>0</v>
      </c>
      <c r="AT114" s="114">
        <f t="shared" si="33"/>
        <v>0</v>
      </c>
      <c r="AU114" s="114">
        <f t="shared" si="33"/>
        <v>0</v>
      </c>
      <c r="AV114" s="114">
        <f t="shared" si="33"/>
        <v>0</v>
      </c>
      <c r="AW114" s="114">
        <f t="shared" si="33"/>
        <v>0</v>
      </c>
      <c r="AX114" s="114">
        <f t="shared" si="33"/>
        <v>0</v>
      </c>
      <c r="AY114" s="114">
        <f t="shared" si="33"/>
        <v>0</v>
      </c>
      <c r="AZ114" s="114">
        <f t="shared" si="33"/>
        <v>0</v>
      </c>
      <c r="BA114" s="114">
        <f t="shared" si="33"/>
        <v>0</v>
      </c>
      <c r="BB114" s="114">
        <f t="shared" si="33"/>
        <v>0</v>
      </c>
      <c r="BC114" s="114">
        <f t="shared" si="33"/>
        <v>0</v>
      </c>
      <c r="BD114" s="115">
        <f t="shared" si="33"/>
        <v>0</v>
      </c>
      <c r="BE114" s="6">
        <f t="shared" si="29"/>
        <v>0</v>
      </c>
    </row>
    <row r="115" spans="1:57" s="3" customFormat="1" ht="22.95" customHeight="1">
      <c r="A115" s="116" t="s">
        <v>118</v>
      </c>
      <c r="B115" s="117"/>
      <c r="C115" s="118"/>
      <c r="D115" s="119"/>
      <c r="E115" s="119"/>
      <c r="F115" s="119"/>
      <c r="G115" s="119"/>
      <c r="H115" s="119"/>
      <c r="I115" s="120">
        <f t="shared" ref="I115:I120" si="34">SUM(C115:H115)</f>
        <v>0</v>
      </c>
      <c r="J115" s="121"/>
      <c r="K115" s="121"/>
      <c r="L115" s="122"/>
      <c r="M115" s="123"/>
      <c r="N115" s="124"/>
      <c r="O115" s="118"/>
      <c r="P115" s="125"/>
      <c r="Q115" s="126"/>
      <c r="R115" s="50">
        <f t="shared" ref="R115:R122" si="35">R114+SUM(N115:Q115)-SUM(I115:M115)</f>
        <v>0</v>
      </c>
      <c r="S115" s="127"/>
      <c r="T115" s="128"/>
      <c r="U115" s="129"/>
      <c r="V115" s="130"/>
      <c r="W115" s="131"/>
      <c r="X115" s="132"/>
      <c r="Y115" s="132"/>
      <c r="Z115" s="133"/>
      <c r="AA115" s="134"/>
      <c r="AB115" s="130"/>
      <c r="AC115" s="131"/>
      <c r="AD115" s="132"/>
      <c r="AE115" s="132"/>
      <c r="AF115" s="132"/>
      <c r="AG115" s="132"/>
      <c r="AH115" s="132"/>
      <c r="AI115" s="132"/>
      <c r="AJ115" s="135"/>
      <c r="AK115" s="130"/>
      <c r="AL115" s="132"/>
      <c r="AM115" s="132"/>
      <c r="AN115" s="132"/>
      <c r="AO115" s="132"/>
      <c r="AP115" s="132"/>
      <c r="AQ115" s="132"/>
      <c r="AR115" s="132"/>
      <c r="AS115" s="135"/>
      <c r="AT115" s="130"/>
      <c r="AU115" s="135"/>
      <c r="AV115" s="130"/>
      <c r="AW115" s="132"/>
      <c r="AX115" s="132"/>
      <c r="AY115" s="132"/>
      <c r="AZ115" s="135"/>
      <c r="BA115" s="130"/>
      <c r="BB115" s="132"/>
      <c r="BC115" s="132"/>
      <c r="BD115" s="134"/>
      <c r="BE115" s="6"/>
    </row>
    <row r="116" spans="1:57" ht="15" customHeight="1">
      <c r="A116" s="136"/>
      <c r="B116" s="40"/>
      <c r="C116" s="62">
        <f>SUM(AB116:AJ116)</f>
        <v>0</v>
      </c>
      <c r="D116" s="63">
        <f>SUM(AK116:AS116)</f>
        <v>0</v>
      </c>
      <c r="E116" s="63">
        <f>SUM(AT116:AU116)</f>
        <v>0</v>
      </c>
      <c r="F116" s="63">
        <f>SUM(AV116:AZ116)</f>
        <v>0</v>
      </c>
      <c r="G116" s="63">
        <f t="shared" ref="G116:G118" si="36">SUM(BA116:BD116)</f>
        <v>0</v>
      </c>
      <c r="H116" s="63">
        <f>SUM(V116:AA116)</f>
        <v>0</v>
      </c>
      <c r="I116" s="64">
        <f t="shared" si="34"/>
        <v>0</v>
      </c>
      <c r="J116" s="65"/>
      <c r="K116" s="137"/>
      <c r="L116" s="83"/>
      <c r="M116" s="67"/>
      <c r="N116" s="68"/>
      <c r="O116" s="62"/>
      <c r="P116" s="69"/>
      <c r="Q116" s="70"/>
      <c r="R116" s="50">
        <f t="shared" si="35"/>
        <v>0</v>
      </c>
      <c r="S116" s="138"/>
      <c r="T116" s="69"/>
      <c r="U116" s="72"/>
      <c r="V116" s="139"/>
      <c r="W116" s="140"/>
      <c r="X116" s="141"/>
      <c r="Y116" s="141"/>
      <c r="Z116" s="142"/>
      <c r="AA116" s="143"/>
      <c r="AB116" s="139"/>
      <c r="AC116" s="140"/>
      <c r="AD116" s="141"/>
      <c r="AE116" s="141"/>
      <c r="AF116" s="141"/>
      <c r="AG116" s="141"/>
      <c r="AH116" s="141"/>
      <c r="AI116" s="141"/>
      <c r="AJ116" s="144"/>
      <c r="AK116" s="139"/>
      <c r="AL116" s="141"/>
      <c r="AM116" s="141"/>
      <c r="AN116" s="141"/>
      <c r="AO116" s="141"/>
      <c r="AP116" s="141"/>
      <c r="AQ116" s="141"/>
      <c r="AR116" s="141"/>
      <c r="AS116" s="144"/>
      <c r="AT116" s="139"/>
      <c r="AU116" s="144"/>
      <c r="AV116" s="139"/>
      <c r="AW116" s="141"/>
      <c r="AX116" s="141"/>
      <c r="AY116" s="141"/>
      <c r="AZ116" s="144"/>
      <c r="BA116" s="139"/>
      <c r="BB116" s="141"/>
      <c r="BC116" s="141"/>
      <c r="BD116" s="143"/>
      <c r="BE116" s="6">
        <f>I116-SUM(AB116:BD116)</f>
        <v>0</v>
      </c>
    </row>
    <row r="117" spans="1:57" ht="15" customHeight="1">
      <c r="A117" s="136"/>
      <c r="B117" s="40"/>
      <c r="C117" s="62">
        <f>SUM(AB117:AJ117)</f>
        <v>0</v>
      </c>
      <c r="D117" s="63">
        <f>SUM(AK117:AS117)</f>
        <v>0</v>
      </c>
      <c r="E117" s="63">
        <f>SUM(AT117:AU117)</f>
        <v>0</v>
      </c>
      <c r="F117" s="63">
        <f>SUM(AV117:AZ117)</f>
        <v>0</v>
      </c>
      <c r="G117" s="63">
        <f t="shared" si="36"/>
        <v>0</v>
      </c>
      <c r="H117" s="63">
        <f>SUM(V117:AA117)</f>
        <v>0</v>
      </c>
      <c r="I117" s="64">
        <f t="shared" si="34"/>
        <v>0</v>
      </c>
      <c r="J117" s="65"/>
      <c r="K117" s="137"/>
      <c r="L117" s="83"/>
      <c r="M117" s="67"/>
      <c r="N117" s="68"/>
      <c r="O117" s="62"/>
      <c r="P117" s="69"/>
      <c r="Q117" s="70"/>
      <c r="R117" s="50">
        <f t="shared" si="35"/>
        <v>0</v>
      </c>
      <c r="S117" s="138"/>
      <c r="T117" s="69"/>
      <c r="U117" s="145"/>
      <c r="V117" s="139"/>
      <c r="W117" s="140"/>
      <c r="X117" s="141"/>
      <c r="Y117" s="141"/>
      <c r="Z117" s="142"/>
      <c r="AA117" s="143"/>
      <c r="AB117" s="106"/>
      <c r="AC117" s="106"/>
      <c r="AD117" s="141"/>
      <c r="AE117" s="141"/>
      <c r="AF117" s="141"/>
      <c r="AG117" s="141"/>
      <c r="AH117" s="141"/>
      <c r="AI117" s="141"/>
      <c r="AJ117" s="144"/>
      <c r="AK117" s="139"/>
      <c r="AL117" s="141"/>
      <c r="AM117" s="141"/>
      <c r="AN117" s="141"/>
      <c r="AO117" s="141"/>
      <c r="AP117" s="141"/>
      <c r="AQ117" s="141"/>
      <c r="AR117" s="141"/>
      <c r="AS117" s="144"/>
      <c r="AT117" s="139"/>
      <c r="AU117" s="144"/>
      <c r="AV117" s="139"/>
      <c r="AW117" s="141"/>
      <c r="AX117" s="141"/>
      <c r="AY117" s="141"/>
      <c r="AZ117" s="144"/>
      <c r="BA117" s="139"/>
      <c r="BB117" s="141"/>
      <c r="BC117" s="141"/>
      <c r="BD117" s="143"/>
      <c r="BE117" s="6">
        <f>I117-SUM(AB117:BD117)</f>
        <v>0</v>
      </c>
    </row>
    <row r="118" spans="1:57" ht="15" customHeight="1">
      <c r="A118" s="136"/>
      <c r="B118" s="40"/>
      <c r="C118" s="62">
        <f>SUM(AB118:AJ118)</f>
        <v>0</v>
      </c>
      <c r="D118" s="63">
        <f>SUM(AK118:AS118)</f>
        <v>0</v>
      </c>
      <c r="E118" s="63">
        <f>SUM(AT118:AU118)</f>
        <v>0</v>
      </c>
      <c r="F118" s="63">
        <f>SUM(AV118:AZ118)</f>
        <v>0</v>
      </c>
      <c r="G118" s="63">
        <f t="shared" si="36"/>
        <v>0</v>
      </c>
      <c r="H118" s="63">
        <f>SUM(V118:AA118)</f>
        <v>0</v>
      </c>
      <c r="I118" s="64">
        <f t="shared" si="34"/>
        <v>0</v>
      </c>
      <c r="J118" s="65"/>
      <c r="K118" s="137"/>
      <c r="L118" s="83"/>
      <c r="M118" s="67"/>
      <c r="N118" s="68"/>
      <c r="O118" s="62"/>
      <c r="P118" s="69"/>
      <c r="Q118" s="70"/>
      <c r="R118" s="50">
        <f t="shared" si="35"/>
        <v>0</v>
      </c>
      <c r="S118" s="138"/>
      <c r="T118" s="69"/>
      <c r="U118" s="145"/>
      <c r="V118" s="139"/>
      <c r="W118" s="140"/>
      <c r="X118" s="141"/>
      <c r="Y118" s="141"/>
      <c r="Z118" s="142"/>
      <c r="AA118" s="143"/>
      <c r="AB118" s="139"/>
      <c r="AC118" s="140"/>
      <c r="AD118" s="141"/>
      <c r="AE118" s="141"/>
      <c r="AF118" s="141"/>
      <c r="AG118" s="141"/>
      <c r="AH118" s="141"/>
      <c r="AI118" s="141"/>
      <c r="AJ118" s="144"/>
      <c r="AK118" s="139"/>
      <c r="AL118" s="141"/>
      <c r="AM118" s="141"/>
      <c r="AN118" s="141"/>
      <c r="AO118" s="141"/>
      <c r="AP118" s="141"/>
      <c r="AQ118" s="141"/>
      <c r="AR118" s="141"/>
      <c r="AS118" s="144"/>
      <c r="AT118" s="139"/>
      <c r="AU118" s="144"/>
      <c r="AV118" s="139"/>
      <c r="AW118" s="141"/>
      <c r="AX118" s="141"/>
      <c r="AY118" s="141"/>
      <c r="AZ118" s="144"/>
      <c r="BA118" s="139"/>
      <c r="BB118" s="141"/>
      <c r="BC118" s="141"/>
      <c r="BD118" s="143"/>
      <c r="BE118" s="6">
        <f>I118-SUM(AB118:BD118)</f>
        <v>0</v>
      </c>
    </row>
    <row r="119" spans="1:57" ht="15" customHeight="1">
      <c r="A119" s="136"/>
      <c r="B119" s="40"/>
      <c r="C119" s="62"/>
      <c r="D119" s="63"/>
      <c r="E119" s="63"/>
      <c r="F119" s="63"/>
      <c r="G119" s="63"/>
      <c r="H119" s="63"/>
      <c r="I119" s="64"/>
      <c r="J119" s="65"/>
      <c r="K119" s="137"/>
      <c r="L119" s="83"/>
      <c r="M119" s="67"/>
      <c r="N119" s="68"/>
      <c r="O119" s="62"/>
      <c r="P119" s="69"/>
      <c r="Q119" s="70"/>
      <c r="R119" s="50">
        <f t="shared" si="35"/>
        <v>0</v>
      </c>
      <c r="S119" s="138"/>
      <c r="T119" s="69"/>
      <c r="U119" s="72"/>
      <c r="V119" s="139"/>
      <c r="W119" s="140"/>
      <c r="X119" s="141"/>
      <c r="Y119" s="141"/>
      <c r="Z119" s="142"/>
      <c r="AA119" s="143"/>
      <c r="AB119" s="139"/>
      <c r="AC119" s="140"/>
      <c r="AD119" s="141"/>
      <c r="AE119" s="141"/>
      <c r="AF119" s="141"/>
      <c r="AG119" s="141"/>
      <c r="AH119" s="141"/>
      <c r="AI119" s="141"/>
      <c r="AJ119" s="144"/>
      <c r="AK119" s="139"/>
      <c r="AL119" s="141"/>
      <c r="AM119" s="141"/>
      <c r="AN119" s="141"/>
      <c r="AO119" s="141"/>
      <c r="AP119" s="141"/>
      <c r="AQ119" s="141"/>
      <c r="AR119" s="141"/>
      <c r="AS119" s="144"/>
      <c r="AT119" s="139"/>
      <c r="AU119" s="144"/>
      <c r="AV119" s="139"/>
      <c r="AW119" s="141"/>
      <c r="AX119" s="141"/>
      <c r="AY119" s="141"/>
      <c r="AZ119" s="144"/>
      <c r="BA119" s="139"/>
      <c r="BB119" s="141"/>
      <c r="BC119" s="141"/>
      <c r="BD119" s="143"/>
    </row>
    <row r="120" spans="1:57" ht="15" customHeight="1">
      <c r="A120" s="136"/>
      <c r="B120" s="40"/>
      <c r="C120" s="62">
        <f>SUM(AB120:AJ120)</f>
        <v>0</v>
      </c>
      <c r="D120" s="63">
        <f>SUM(AK120:AS120)</f>
        <v>0</v>
      </c>
      <c r="E120" s="63">
        <f>SUM(AT120:AU120)</f>
        <v>0</v>
      </c>
      <c r="F120" s="63">
        <f>SUM(AV120:AZ120)</f>
        <v>0</v>
      </c>
      <c r="G120" s="63">
        <f>SUM(BA120:BD120)</f>
        <v>0</v>
      </c>
      <c r="H120" s="63">
        <f>SUM(V120:AA120)</f>
        <v>0</v>
      </c>
      <c r="I120" s="64">
        <f t="shared" si="34"/>
        <v>0</v>
      </c>
      <c r="J120" s="65"/>
      <c r="K120" s="137"/>
      <c r="L120" s="83"/>
      <c r="M120" s="67"/>
      <c r="N120" s="68"/>
      <c r="O120" s="62"/>
      <c r="P120" s="69"/>
      <c r="Q120" s="70"/>
      <c r="R120" s="50">
        <f t="shared" si="35"/>
        <v>0</v>
      </c>
      <c r="S120" s="138"/>
      <c r="T120" s="69"/>
      <c r="U120" s="72"/>
      <c r="V120" s="139"/>
      <c r="W120" s="140"/>
      <c r="X120" s="141"/>
      <c r="Y120" s="141"/>
      <c r="Z120" s="142"/>
      <c r="AA120" s="143"/>
      <c r="AB120" s="139"/>
      <c r="AC120" s="140"/>
      <c r="AD120" s="141"/>
      <c r="AE120" s="141"/>
      <c r="AF120" s="141"/>
      <c r="AG120" s="141"/>
      <c r="AH120" s="141"/>
      <c r="AI120" s="141"/>
      <c r="AJ120" s="144"/>
      <c r="AK120" s="139"/>
      <c r="AL120" s="141"/>
      <c r="AM120" s="141"/>
      <c r="AN120" s="141"/>
      <c r="AO120" s="141"/>
      <c r="AP120" s="141"/>
      <c r="AQ120" s="141"/>
      <c r="AR120" s="141"/>
      <c r="AS120" s="144"/>
      <c r="AT120" s="139"/>
      <c r="AU120" s="144"/>
      <c r="AV120" s="139"/>
      <c r="AW120" s="141"/>
      <c r="AX120" s="141"/>
      <c r="AY120" s="141"/>
      <c r="AZ120" s="144"/>
      <c r="BA120" s="139"/>
      <c r="BB120" s="141"/>
      <c r="BC120" s="141"/>
      <c r="BD120" s="143"/>
      <c r="BE120" s="6">
        <f>I120-SUM(AB120:BD120)</f>
        <v>0</v>
      </c>
    </row>
    <row r="121" spans="1:57" ht="15" customHeight="1">
      <c r="A121" s="136"/>
      <c r="B121" s="40"/>
      <c r="C121" s="146"/>
      <c r="D121" s="147"/>
      <c r="E121" s="147"/>
      <c r="F121" s="147"/>
      <c r="G121" s="147"/>
      <c r="H121" s="147"/>
      <c r="I121" s="148"/>
      <c r="J121" s="149"/>
      <c r="K121" s="150"/>
      <c r="L121" s="151"/>
      <c r="M121" s="152"/>
      <c r="N121" s="153"/>
      <c r="O121" s="146"/>
      <c r="P121" s="154"/>
      <c r="Q121" s="155"/>
      <c r="R121" s="50">
        <f t="shared" si="35"/>
        <v>0</v>
      </c>
      <c r="S121" s="138"/>
      <c r="T121" s="69"/>
      <c r="U121" s="72"/>
      <c r="V121" s="156"/>
      <c r="W121" s="157"/>
      <c r="X121" s="158"/>
      <c r="Y121" s="158"/>
      <c r="Z121" s="159"/>
      <c r="AA121" s="160"/>
      <c r="AB121" s="156"/>
      <c r="AC121" s="157"/>
      <c r="AD121" s="158"/>
      <c r="AE121" s="158"/>
      <c r="AF121" s="158"/>
      <c r="AG121" s="158"/>
      <c r="AH121" s="158"/>
      <c r="AI121" s="158"/>
      <c r="AJ121" s="161"/>
      <c r="AK121" s="156"/>
      <c r="AL121" s="158"/>
      <c r="AM121" s="157"/>
      <c r="AN121" s="158"/>
      <c r="AO121" s="158"/>
      <c r="AP121" s="158"/>
      <c r="AQ121" s="158"/>
      <c r="AR121" s="158"/>
      <c r="AS121" s="161"/>
      <c r="AT121" s="156"/>
      <c r="AU121" s="161"/>
      <c r="AV121" s="156"/>
      <c r="AW121" s="158"/>
      <c r="AX121" s="158"/>
      <c r="AY121" s="158"/>
      <c r="AZ121" s="161"/>
      <c r="BA121" s="156"/>
      <c r="BB121" s="158"/>
      <c r="BC121" s="158"/>
      <c r="BD121" s="160"/>
    </row>
    <row r="122" spans="1:57" s="3" customFormat="1" ht="15" customHeight="1">
      <c r="A122" s="162" t="s">
        <v>119</v>
      </c>
      <c r="B122" s="163"/>
      <c r="C122" s="164">
        <f t="shared" ref="C122:Q122" si="37">SUM(C116:C120)</f>
        <v>0</v>
      </c>
      <c r="D122" s="165">
        <f t="shared" si="37"/>
        <v>0</v>
      </c>
      <c r="E122" s="165">
        <f t="shared" si="37"/>
        <v>0</v>
      </c>
      <c r="F122" s="165">
        <f t="shared" si="37"/>
        <v>0</v>
      </c>
      <c r="G122" s="165">
        <f t="shared" si="37"/>
        <v>0</v>
      </c>
      <c r="H122" s="165">
        <f t="shared" si="37"/>
        <v>0</v>
      </c>
      <c r="I122" s="166">
        <f t="shared" si="37"/>
        <v>0</v>
      </c>
      <c r="J122" s="167">
        <f t="shared" si="37"/>
        <v>0</v>
      </c>
      <c r="K122" s="167">
        <f>SUM(K116:K121)</f>
        <v>0</v>
      </c>
      <c r="L122" s="168">
        <f>SUM(L116:L120)</f>
        <v>0</v>
      </c>
      <c r="M122" s="169">
        <f>SUM(M116:M120)</f>
        <v>0</v>
      </c>
      <c r="N122" s="170">
        <f t="shared" si="37"/>
        <v>0</v>
      </c>
      <c r="O122" s="164"/>
      <c r="P122" s="171">
        <f t="shared" si="37"/>
        <v>0</v>
      </c>
      <c r="Q122" s="172">
        <f t="shared" si="37"/>
        <v>0</v>
      </c>
      <c r="R122" s="173">
        <f t="shared" si="35"/>
        <v>0</v>
      </c>
      <c r="S122" s="174"/>
      <c r="T122" s="171"/>
      <c r="U122" s="175"/>
      <c r="V122" s="176">
        <f>SUM(V116:V120)</f>
        <v>0</v>
      </c>
      <c r="W122" s="177"/>
      <c r="X122" s="178">
        <f>SUM(X116:X120)</f>
        <v>0</v>
      </c>
      <c r="Y122" s="178"/>
      <c r="Z122" s="179">
        <f>SUM(Z116:Z120)</f>
        <v>0</v>
      </c>
      <c r="AA122" s="180">
        <f>SUM(AA116:AA120)</f>
        <v>0</v>
      </c>
      <c r="AB122" s="176">
        <f t="shared" ref="AB122:BD122" si="38">SUM(AB116:AB120)</f>
        <v>0</v>
      </c>
      <c r="AC122" s="177"/>
      <c r="AD122" s="178">
        <f t="shared" si="38"/>
        <v>0</v>
      </c>
      <c r="AE122" s="178">
        <f t="shared" si="38"/>
        <v>0</v>
      </c>
      <c r="AF122" s="178">
        <f t="shared" si="38"/>
        <v>0</v>
      </c>
      <c r="AG122" s="178">
        <f t="shared" si="38"/>
        <v>0</v>
      </c>
      <c r="AH122" s="178">
        <f t="shared" si="38"/>
        <v>0</v>
      </c>
      <c r="AI122" s="178">
        <f t="shared" si="38"/>
        <v>0</v>
      </c>
      <c r="AJ122" s="181">
        <f t="shared" si="38"/>
        <v>0</v>
      </c>
      <c r="AK122" s="176">
        <f t="shared" si="38"/>
        <v>0</v>
      </c>
      <c r="AL122" s="178">
        <f t="shared" si="38"/>
        <v>0</v>
      </c>
      <c r="AM122" s="176">
        <f t="shared" si="38"/>
        <v>0</v>
      </c>
      <c r="AN122" s="178">
        <f t="shared" si="38"/>
        <v>0</v>
      </c>
      <c r="AO122" s="178">
        <f t="shared" si="38"/>
        <v>0</v>
      </c>
      <c r="AP122" s="178">
        <f t="shared" si="38"/>
        <v>0</v>
      </c>
      <c r="AQ122" s="178">
        <f t="shared" si="38"/>
        <v>0</v>
      </c>
      <c r="AR122" s="178">
        <f t="shared" si="38"/>
        <v>0</v>
      </c>
      <c r="AS122" s="181">
        <f t="shared" si="38"/>
        <v>0</v>
      </c>
      <c r="AT122" s="176">
        <f t="shared" si="38"/>
        <v>0</v>
      </c>
      <c r="AU122" s="181">
        <f t="shared" si="38"/>
        <v>0</v>
      </c>
      <c r="AV122" s="176">
        <f t="shared" si="38"/>
        <v>0</v>
      </c>
      <c r="AW122" s="178">
        <f t="shared" si="38"/>
        <v>0</v>
      </c>
      <c r="AX122" s="178">
        <f t="shared" si="38"/>
        <v>0</v>
      </c>
      <c r="AY122" s="178">
        <f t="shared" si="38"/>
        <v>0</v>
      </c>
      <c r="AZ122" s="181">
        <f t="shared" si="38"/>
        <v>0</v>
      </c>
      <c r="BA122" s="176">
        <f t="shared" si="38"/>
        <v>0</v>
      </c>
      <c r="BB122" s="178">
        <f t="shared" si="38"/>
        <v>0</v>
      </c>
      <c r="BC122" s="178">
        <f t="shared" si="38"/>
        <v>0</v>
      </c>
      <c r="BD122" s="180">
        <f t="shared" si="38"/>
        <v>0</v>
      </c>
      <c r="BE122" s="6">
        <f>I122-SUM(AB122:BD122)</f>
        <v>0</v>
      </c>
    </row>
    <row r="123" spans="1:57" s="4" customFormat="1" ht="14.25" customHeight="1">
      <c r="B123" s="5"/>
      <c r="C123" s="182"/>
      <c r="D123" s="182"/>
      <c r="E123" s="182"/>
      <c r="F123" s="182"/>
      <c r="I123" s="183"/>
      <c r="P123" s="2"/>
      <c r="R123" s="183"/>
      <c r="S123" s="183"/>
      <c r="T123" s="2"/>
      <c r="U123" s="2"/>
      <c r="Z123" s="2"/>
      <c r="BE123" s="182"/>
    </row>
    <row r="124" spans="1:57" s="4" customFormat="1" ht="14.25" customHeight="1">
      <c r="B124" s="5"/>
      <c r="C124" s="183"/>
      <c r="D124" s="183"/>
      <c r="E124" s="183"/>
      <c r="F124" s="183"/>
      <c r="G124" s="183"/>
      <c r="H124" s="183"/>
      <c r="I124" s="183"/>
      <c r="J124" s="183"/>
      <c r="K124" s="183"/>
      <c r="L124" s="183"/>
      <c r="M124" s="183"/>
      <c r="N124" s="183"/>
      <c r="O124" s="183"/>
      <c r="P124" s="184"/>
      <c r="Q124" s="183"/>
      <c r="R124" s="183"/>
      <c r="S124" s="183"/>
      <c r="T124" s="184"/>
      <c r="U124" s="184"/>
      <c r="V124" s="183"/>
      <c r="W124" s="183"/>
      <c r="X124" s="183"/>
      <c r="Y124" s="183"/>
      <c r="Z124" s="183"/>
      <c r="AA124" s="183"/>
      <c r="AB124" s="183"/>
      <c r="AC124" s="183"/>
      <c r="AD124" s="183"/>
      <c r="AE124" s="183"/>
      <c r="AF124" s="183"/>
      <c r="AG124" s="183"/>
      <c r="AH124" s="183"/>
      <c r="AI124" s="183"/>
      <c r="AJ124" s="183"/>
      <c r="AK124" s="183"/>
      <c r="AL124" s="183"/>
      <c r="AM124" s="183"/>
      <c r="AN124" s="183"/>
      <c r="AO124" s="183"/>
      <c r="AP124" s="183"/>
      <c r="AQ124" s="183"/>
      <c r="AR124" s="183"/>
      <c r="AS124" s="183"/>
      <c r="AT124" s="183"/>
      <c r="AU124" s="183"/>
      <c r="AV124" s="183"/>
      <c r="AW124" s="183"/>
      <c r="AX124" s="183"/>
      <c r="AY124" s="183"/>
      <c r="AZ124" s="183"/>
      <c r="BA124" s="183"/>
      <c r="BB124" s="183"/>
      <c r="BC124" s="183"/>
      <c r="BD124" s="183"/>
      <c r="BE124" s="182"/>
    </row>
    <row r="125" spans="1:57" ht="31.5" customHeight="1">
      <c r="AB125" s="185"/>
      <c r="AC125" s="185"/>
    </row>
    <row r="126" spans="1:57" ht="21.75" customHeight="1">
      <c r="R126" s="186"/>
      <c r="AB126" s="187"/>
      <c r="AC126" s="187"/>
    </row>
  </sheetData>
  <autoFilter ref="A3:BE126" xr:uid="{00000000-0009-0000-0000-000006000000}"/>
  <mergeCells count="26">
    <mergeCell ref="V2:AA2"/>
    <mergeCell ref="AB2:AJ2"/>
    <mergeCell ref="AK2:AS2"/>
    <mergeCell ref="AT2:AU2"/>
    <mergeCell ref="AV2:AZ2"/>
    <mergeCell ref="BA2:BD2"/>
    <mergeCell ref="A4:B4"/>
    <mergeCell ref="A114:B114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R2:R3"/>
    <mergeCell ref="S2:S3"/>
    <mergeCell ref="T2:T3"/>
    <mergeCell ref="U2:U3"/>
    <mergeCell ref="N2:Q2"/>
  </mergeCells>
  <phoneticPr fontId="46" type="noConversion"/>
  <hyperlinks>
    <hyperlink ref="A1" location="汇总表!A1" display="←返回" xr:uid="{00000000-0004-0000-0600-000000000000}"/>
  </hyperlinks>
  <pageMargins left="0.7" right="0.7" top="0.75" bottom="0.75" header="0.3" footer="0.3"/>
  <pageSetup paperSize="9" orientation="landscape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E126"/>
  <sheetViews>
    <sheetView zoomScale="115" zoomScaleNormal="115" workbookViewId="0">
      <pane xSplit="2" ySplit="4" topLeftCell="C105" activePane="bottomRight" state="frozen"/>
      <selection pane="topRight"/>
      <selection pane="bottomLeft"/>
      <selection pane="bottomRight" activeCell="A31" sqref="A31:XFD40"/>
    </sheetView>
  </sheetViews>
  <sheetFormatPr defaultColWidth="9" defaultRowHeight="17.399999999999999" outlineLevelCol="1"/>
  <cols>
    <col min="1" max="1" width="6.69921875" style="4" customWidth="1"/>
    <col min="2" max="2" width="7" style="5" customWidth="1"/>
    <col min="3" max="6" width="4.8984375" style="6" customWidth="1" outlineLevel="1"/>
    <col min="7" max="8" width="4.8984375" style="7" customWidth="1" outlineLevel="1"/>
    <col min="9" max="9" width="4.8984375" style="7" customWidth="1"/>
    <col min="10" max="10" width="4.09765625" style="7" customWidth="1" outlineLevel="1"/>
    <col min="11" max="11" width="4.19921875" style="7" customWidth="1" outlineLevel="1"/>
    <col min="12" max="13" width="4.8984375" style="7" customWidth="1"/>
    <col min="14" max="15" width="4.8984375" style="7" customWidth="1" outlineLevel="1"/>
    <col min="16" max="16" width="4.8984375" style="8" customWidth="1" outlineLevel="1"/>
    <col min="17" max="17" width="4.8984375" style="7" customWidth="1" outlineLevel="1"/>
    <col min="18" max="18" width="7.59765625" style="7" customWidth="1"/>
    <col min="19" max="19" width="4.69921875" style="7" customWidth="1"/>
    <col min="20" max="20" width="4.09765625" style="8" customWidth="1"/>
    <col min="21" max="21" width="9.5" style="8" customWidth="1"/>
    <col min="22" max="25" width="5.3984375" style="7" customWidth="1" outlineLevel="1"/>
    <col min="26" max="26" width="4.8984375" style="8" customWidth="1" outlineLevel="1"/>
    <col min="27" max="27" width="5.69921875" style="7" customWidth="1" outlineLevel="1"/>
    <col min="28" max="28" width="5.09765625" style="9" customWidth="1" outlineLevel="1"/>
    <col min="29" max="29" width="4.09765625" style="9" customWidth="1" outlineLevel="1"/>
    <col min="30" max="30" width="4.59765625" style="9" customWidth="1" outlineLevel="1"/>
    <col min="31" max="35" width="3.8984375" style="9" customWidth="1" outlineLevel="1"/>
    <col min="36" max="36" width="3.8984375" style="9" customWidth="1"/>
    <col min="37" max="44" width="4.5" style="7" customWidth="1" outlineLevel="1"/>
    <col min="45" max="45" width="4.5" style="7" customWidth="1"/>
    <col min="46" max="47" width="4.8984375" style="7" customWidth="1"/>
    <col min="48" max="48" width="5" style="7" customWidth="1"/>
    <col min="49" max="50" width="4.09765625" style="7" customWidth="1"/>
    <col min="51" max="51" width="4.19921875" style="7" customWidth="1"/>
    <col min="52" max="52" width="4.8984375" style="7" customWidth="1"/>
    <col min="53" max="53" width="6.3984375" style="7" customWidth="1"/>
    <col min="54" max="54" width="6.59765625" style="7" customWidth="1"/>
    <col min="55" max="56" width="4.19921875" style="7" customWidth="1"/>
    <col min="57" max="57" width="2.3984375" style="6" customWidth="1"/>
    <col min="58" max="16384" width="9" style="7"/>
  </cols>
  <sheetData>
    <row r="1" spans="1:57">
      <c r="A1" s="188" t="s">
        <v>93</v>
      </c>
      <c r="R1" s="11"/>
      <c r="S1" s="11"/>
    </row>
    <row r="2" spans="1:57" s="1" customFormat="1" ht="25.5" customHeight="1">
      <c r="A2" s="556" t="s">
        <v>65</v>
      </c>
      <c r="B2" s="558" t="s">
        <v>66</v>
      </c>
      <c r="C2" s="560" t="s">
        <v>68</v>
      </c>
      <c r="D2" s="562" t="s">
        <v>69</v>
      </c>
      <c r="E2" s="564" t="s">
        <v>70</v>
      </c>
      <c r="F2" s="566" t="s">
        <v>71</v>
      </c>
      <c r="G2" s="550" t="s">
        <v>72</v>
      </c>
      <c r="H2" s="569" t="s">
        <v>73</v>
      </c>
      <c r="I2" s="571" t="s">
        <v>74</v>
      </c>
      <c r="J2" s="573" t="s">
        <v>75</v>
      </c>
      <c r="K2" s="575" t="s">
        <v>76</v>
      </c>
      <c r="L2" s="536" t="s">
        <v>100</v>
      </c>
      <c r="M2" s="536" t="s">
        <v>101</v>
      </c>
      <c r="N2" s="577" t="s">
        <v>79</v>
      </c>
      <c r="O2" s="577"/>
      <c r="P2" s="577"/>
      <c r="Q2" s="577"/>
      <c r="R2" s="538" t="s">
        <v>80</v>
      </c>
      <c r="S2" s="540" t="s">
        <v>81</v>
      </c>
      <c r="T2" s="542" t="s">
        <v>82</v>
      </c>
      <c r="U2" s="544" t="s">
        <v>83</v>
      </c>
      <c r="V2" s="578" t="s">
        <v>73</v>
      </c>
      <c r="W2" s="579"/>
      <c r="X2" s="569"/>
      <c r="Y2" s="569"/>
      <c r="Z2" s="569"/>
      <c r="AA2" s="580"/>
      <c r="AB2" s="581" t="s">
        <v>68</v>
      </c>
      <c r="AC2" s="582"/>
      <c r="AD2" s="583"/>
      <c r="AE2" s="583"/>
      <c r="AF2" s="583"/>
      <c r="AG2" s="583"/>
      <c r="AH2" s="583"/>
      <c r="AI2" s="583"/>
      <c r="AJ2" s="584"/>
      <c r="AK2" s="585" t="s">
        <v>69</v>
      </c>
      <c r="AL2" s="586"/>
      <c r="AM2" s="586"/>
      <c r="AN2" s="586"/>
      <c r="AO2" s="586"/>
      <c r="AP2" s="586"/>
      <c r="AQ2" s="586"/>
      <c r="AR2" s="586"/>
      <c r="AS2" s="587"/>
      <c r="AT2" s="588" t="s">
        <v>70</v>
      </c>
      <c r="AU2" s="589"/>
      <c r="AV2" s="546" t="s">
        <v>71</v>
      </c>
      <c r="AW2" s="547"/>
      <c r="AX2" s="547"/>
      <c r="AY2" s="547"/>
      <c r="AZ2" s="548"/>
      <c r="BA2" s="549" t="s">
        <v>84</v>
      </c>
      <c r="BB2" s="550"/>
      <c r="BC2" s="550"/>
      <c r="BD2" s="551"/>
      <c r="BE2" s="12"/>
    </row>
    <row r="3" spans="1:57" s="2" customFormat="1" ht="30" customHeight="1">
      <c r="A3" s="557"/>
      <c r="B3" s="559"/>
      <c r="C3" s="561"/>
      <c r="D3" s="563"/>
      <c r="E3" s="565"/>
      <c r="F3" s="567"/>
      <c r="G3" s="568"/>
      <c r="H3" s="570"/>
      <c r="I3" s="572"/>
      <c r="J3" s="574"/>
      <c r="K3" s="576"/>
      <c r="L3" s="537"/>
      <c r="M3" s="537"/>
      <c r="N3" s="13" t="s">
        <v>102</v>
      </c>
      <c r="O3" s="13" t="s">
        <v>103</v>
      </c>
      <c r="P3" s="13" t="s">
        <v>104</v>
      </c>
      <c r="Q3" s="14" t="s">
        <v>105</v>
      </c>
      <c r="R3" s="539"/>
      <c r="S3" s="541"/>
      <c r="T3" s="543"/>
      <c r="U3" s="545"/>
      <c r="V3" s="15" t="s">
        <v>19</v>
      </c>
      <c r="W3" s="16" t="s">
        <v>106</v>
      </c>
      <c r="X3" s="17" t="s">
        <v>107</v>
      </c>
      <c r="Y3" s="17" t="s">
        <v>108</v>
      </c>
      <c r="Z3" s="17" t="s">
        <v>109</v>
      </c>
      <c r="AA3" s="18" t="s">
        <v>32</v>
      </c>
      <c r="AB3" s="19" t="s">
        <v>110</v>
      </c>
      <c r="AC3" s="19" t="s">
        <v>111</v>
      </c>
      <c r="AD3" s="19" t="s">
        <v>26</v>
      </c>
      <c r="AE3" s="19" t="s">
        <v>27</v>
      </c>
      <c r="AF3" s="19" t="s">
        <v>28</v>
      </c>
      <c r="AG3" s="19" t="s">
        <v>29</v>
      </c>
      <c r="AH3" s="19" t="s">
        <v>30</v>
      </c>
      <c r="AI3" s="19" t="s">
        <v>19</v>
      </c>
      <c r="AJ3" s="20" t="s">
        <v>32</v>
      </c>
      <c r="AK3" s="21" t="s">
        <v>112</v>
      </c>
      <c r="AL3" s="22" t="s">
        <v>113</v>
      </c>
      <c r="AM3" s="22" t="s">
        <v>114</v>
      </c>
      <c r="AN3" s="22" t="s">
        <v>115</v>
      </c>
      <c r="AO3" s="22" t="s">
        <v>19</v>
      </c>
      <c r="AP3" s="22" t="s">
        <v>36</v>
      </c>
      <c r="AQ3" s="22" t="s">
        <v>37</v>
      </c>
      <c r="AR3" s="22" t="s">
        <v>38</v>
      </c>
      <c r="AS3" s="23" t="s">
        <v>32</v>
      </c>
      <c r="AT3" s="24" t="s">
        <v>40</v>
      </c>
      <c r="AU3" s="25" t="s">
        <v>116</v>
      </c>
      <c r="AV3" s="26" t="s">
        <v>51</v>
      </c>
      <c r="AW3" s="27" t="s">
        <v>52</v>
      </c>
      <c r="AX3" s="27" t="s">
        <v>53</v>
      </c>
      <c r="AY3" s="27" t="s">
        <v>86</v>
      </c>
      <c r="AZ3" s="28" t="s">
        <v>87</v>
      </c>
      <c r="BA3" s="29" t="s">
        <v>44</v>
      </c>
      <c r="BB3" s="30" t="s">
        <v>45</v>
      </c>
      <c r="BC3" s="30"/>
      <c r="BD3" s="31"/>
      <c r="BE3" s="32"/>
    </row>
    <row r="4" spans="1:57" s="3" customFormat="1" ht="20.25" customHeight="1">
      <c r="A4" s="552" t="s">
        <v>117</v>
      </c>
      <c r="B4" s="553"/>
      <c r="C4" s="33"/>
      <c r="D4" s="33"/>
      <c r="E4" s="33"/>
      <c r="F4" s="33"/>
      <c r="G4" s="34"/>
      <c r="H4" s="35"/>
      <c r="I4" s="33">
        <v>0</v>
      </c>
      <c r="J4" s="34"/>
      <c r="K4" s="34"/>
      <c r="L4" s="34"/>
      <c r="M4" s="34"/>
      <c r="N4" s="34"/>
      <c r="O4" s="34"/>
      <c r="P4" s="36"/>
      <c r="Q4" s="34"/>
      <c r="R4" s="33">
        <v>0</v>
      </c>
      <c r="S4" s="34"/>
      <c r="T4" s="36"/>
      <c r="U4" s="36"/>
      <c r="V4" s="34"/>
      <c r="W4" s="34"/>
      <c r="X4" s="34"/>
      <c r="Y4" s="34"/>
      <c r="Z4" s="36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34"/>
      <c r="BA4" s="34"/>
      <c r="BB4" s="34"/>
      <c r="BC4" s="34"/>
      <c r="BD4" s="37"/>
      <c r="BE4" s="38"/>
    </row>
    <row r="5" spans="1:57">
      <c r="A5" s="39"/>
      <c r="B5" s="40"/>
      <c r="C5" s="41">
        <f t="shared" ref="C5:C36" si="0">SUM(AB5:AJ5)</f>
        <v>0</v>
      </c>
      <c r="D5" s="42">
        <f t="shared" ref="D5:D36" si="1">SUM(AK5:AS5)</f>
        <v>0</v>
      </c>
      <c r="E5" s="42">
        <f t="shared" ref="E5:E36" si="2">SUM(AT5:AU5)</f>
        <v>0</v>
      </c>
      <c r="F5" s="42">
        <f t="shared" ref="F5:F36" si="3">SUM(AV5:AZ5)</f>
        <v>0</v>
      </c>
      <c r="G5" s="42">
        <f>SUM(BA5:BD5)</f>
        <v>0</v>
      </c>
      <c r="H5" s="42">
        <f t="shared" ref="H5:H36" si="4">SUM(V5:AA5)</f>
        <v>0</v>
      </c>
      <c r="I5" s="43">
        <f>SUM(C5:H5)</f>
        <v>0</v>
      </c>
      <c r="J5" s="44"/>
      <c r="K5" s="44"/>
      <c r="L5" s="45"/>
      <c r="M5" s="46"/>
      <c r="N5" s="47"/>
      <c r="O5" s="41"/>
      <c r="P5" s="48"/>
      <c r="Q5" s="49"/>
      <c r="R5" s="50">
        <f>R4+SUM(N5:Q5)-SUM(I5:M5)</f>
        <v>0</v>
      </c>
      <c r="S5" s="51"/>
      <c r="T5" s="52"/>
      <c r="U5" s="53"/>
      <c r="V5" s="54"/>
      <c r="W5" s="55"/>
      <c r="X5" s="56"/>
      <c r="Y5" s="56"/>
      <c r="Z5" s="57"/>
      <c r="AA5" s="58"/>
      <c r="AB5" s="54"/>
      <c r="AC5" s="55"/>
      <c r="AD5" s="56"/>
      <c r="AE5" s="56"/>
      <c r="AF5" s="56"/>
      <c r="AG5" s="56"/>
      <c r="AH5" s="56"/>
      <c r="AI5" s="56"/>
      <c r="AJ5" s="59"/>
      <c r="AK5" s="60"/>
      <c r="AL5" s="56"/>
      <c r="AM5" s="56"/>
      <c r="AN5" s="56"/>
      <c r="AO5" s="56"/>
      <c r="AP5" s="56"/>
      <c r="AQ5" s="56"/>
      <c r="AR5" s="56"/>
      <c r="AS5" s="58"/>
      <c r="AT5" s="55"/>
      <c r="AU5" s="59"/>
      <c r="AV5" s="60"/>
      <c r="AW5" s="56"/>
      <c r="AX5" s="56"/>
      <c r="AY5" s="56"/>
      <c r="AZ5" s="58"/>
      <c r="BA5" s="55"/>
      <c r="BB5" s="56"/>
      <c r="BC5" s="56"/>
      <c r="BD5" s="58"/>
      <c r="BE5" s="6">
        <f t="shared" ref="BE5:BE45" si="5">I5-SUM(AB5:BD5)</f>
        <v>0</v>
      </c>
    </row>
    <row r="6" spans="1:57">
      <c r="A6" s="61"/>
      <c r="B6" s="40"/>
      <c r="C6" s="62">
        <f t="shared" si="0"/>
        <v>0</v>
      </c>
      <c r="D6" s="63">
        <f t="shared" si="1"/>
        <v>0</v>
      </c>
      <c r="E6" s="63">
        <f t="shared" si="2"/>
        <v>0</v>
      </c>
      <c r="F6" s="63">
        <f t="shared" si="3"/>
        <v>0</v>
      </c>
      <c r="G6" s="63">
        <f t="shared" ref="G6:G69" si="6">SUM(BA6:BD6)</f>
        <v>0</v>
      </c>
      <c r="H6" s="63">
        <f t="shared" si="4"/>
        <v>0</v>
      </c>
      <c r="I6" s="64">
        <f t="shared" ref="I6:I69" si="7">SUM(C6:H6)</f>
        <v>0</v>
      </c>
      <c r="J6" s="65"/>
      <c r="K6" s="65"/>
      <c r="L6" s="66"/>
      <c r="M6" s="67"/>
      <c r="N6" s="68"/>
      <c r="O6" s="62"/>
      <c r="P6" s="69"/>
      <c r="Q6" s="70"/>
      <c r="R6" s="50">
        <f t="shared" ref="R6:R69" si="8">R5+SUM(N6:Q6)-SUM(I6:M6)</f>
        <v>0</v>
      </c>
      <c r="S6" s="71"/>
      <c r="T6" s="69"/>
      <c r="U6" s="72"/>
      <c r="V6" s="73"/>
      <c r="W6" s="74"/>
      <c r="X6" s="75"/>
      <c r="Y6" s="75"/>
      <c r="Z6" s="76"/>
      <c r="AA6" s="77"/>
      <c r="AB6" s="73"/>
      <c r="AC6" s="74"/>
      <c r="AD6" s="75"/>
      <c r="AE6" s="75"/>
      <c r="AF6" s="75"/>
      <c r="AG6" s="75"/>
      <c r="AI6" s="75"/>
      <c r="AJ6" s="78"/>
      <c r="AK6" s="79"/>
      <c r="AL6" s="75"/>
      <c r="AM6" s="75"/>
      <c r="AN6" s="75"/>
      <c r="AO6" s="75"/>
      <c r="AP6" s="75"/>
      <c r="AQ6" s="75"/>
      <c r="AR6" s="75"/>
      <c r="AS6" s="77"/>
      <c r="AT6" s="74"/>
      <c r="AU6" s="78"/>
      <c r="AV6" s="79"/>
      <c r="AW6" s="75"/>
      <c r="AX6" s="75"/>
      <c r="AY6" s="75"/>
      <c r="AZ6" s="77"/>
      <c r="BA6" s="74"/>
      <c r="BB6" s="75"/>
      <c r="BC6" s="75"/>
      <c r="BD6" s="77"/>
      <c r="BE6" s="6">
        <f t="shared" si="5"/>
        <v>0</v>
      </c>
    </row>
    <row r="7" spans="1:57">
      <c r="A7" s="61"/>
      <c r="B7" s="40"/>
      <c r="C7" s="62">
        <f t="shared" si="0"/>
        <v>0</v>
      </c>
      <c r="D7" s="63">
        <f t="shared" si="1"/>
        <v>0</v>
      </c>
      <c r="E7" s="63">
        <f t="shared" si="2"/>
        <v>0</v>
      </c>
      <c r="F7" s="63">
        <f t="shared" si="3"/>
        <v>0</v>
      </c>
      <c r="G7" s="63">
        <f t="shared" si="6"/>
        <v>0</v>
      </c>
      <c r="H7" s="63">
        <f t="shared" si="4"/>
        <v>0</v>
      </c>
      <c r="I7" s="64">
        <f t="shared" si="7"/>
        <v>0</v>
      </c>
      <c r="J7" s="65"/>
      <c r="K7" s="65"/>
      <c r="L7" s="80"/>
      <c r="M7" s="67"/>
      <c r="N7" s="68"/>
      <c r="O7" s="62"/>
      <c r="P7" s="69"/>
      <c r="Q7" s="70"/>
      <c r="R7" s="50">
        <f t="shared" si="8"/>
        <v>0</v>
      </c>
      <c r="S7" s="71"/>
      <c r="T7" s="69"/>
      <c r="U7" s="72"/>
      <c r="V7" s="73"/>
      <c r="W7" s="74"/>
      <c r="X7" s="75"/>
      <c r="Y7" s="75"/>
      <c r="Z7" s="76"/>
      <c r="AA7" s="77"/>
      <c r="AB7" s="73"/>
      <c r="AC7" s="74"/>
      <c r="AD7" s="75"/>
      <c r="AE7" s="75"/>
      <c r="AF7" s="75"/>
      <c r="AG7" s="75"/>
      <c r="AH7" s="75"/>
      <c r="AI7" s="75"/>
      <c r="AJ7" s="78"/>
      <c r="AK7" s="79"/>
      <c r="AL7" s="75"/>
      <c r="AM7" s="75"/>
      <c r="AN7" s="75"/>
      <c r="AO7" s="75"/>
      <c r="AP7" s="75"/>
      <c r="AQ7" s="75"/>
      <c r="AR7" s="75"/>
      <c r="AS7" s="77"/>
      <c r="AT7" s="74"/>
      <c r="AU7" s="78"/>
      <c r="AV7" s="79"/>
      <c r="AW7" s="75"/>
      <c r="AX7" s="75"/>
      <c r="AY7" s="75"/>
      <c r="AZ7" s="77"/>
      <c r="BA7" s="74"/>
      <c r="BB7" s="75"/>
      <c r="BC7" s="75"/>
      <c r="BD7" s="77"/>
      <c r="BE7" s="6">
        <f t="shared" si="5"/>
        <v>0</v>
      </c>
    </row>
    <row r="8" spans="1:57">
      <c r="A8" s="61"/>
      <c r="B8" s="40"/>
      <c r="C8" s="62">
        <f t="shared" si="0"/>
        <v>0</v>
      </c>
      <c r="D8" s="42">
        <f t="shared" si="1"/>
        <v>0</v>
      </c>
      <c r="E8" s="63">
        <f t="shared" si="2"/>
        <v>0</v>
      </c>
      <c r="F8" s="63">
        <f t="shared" si="3"/>
        <v>0</v>
      </c>
      <c r="G8" s="63">
        <f t="shared" si="6"/>
        <v>0</v>
      </c>
      <c r="H8" s="63">
        <f t="shared" si="4"/>
        <v>0</v>
      </c>
      <c r="I8" s="64">
        <f t="shared" si="7"/>
        <v>0</v>
      </c>
      <c r="J8" s="65"/>
      <c r="K8" s="65"/>
      <c r="L8" s="80"/>
      <c r="M8" s="67"/>
      <c r="N8" s="68"/>
      <c r="O8" s="41"/>
      <c r="P8" s="48"/>
      <c r="Q8" s="70"/>
      <c r="R8" s="50">
        <f t="shared" si="8"/>
        <v>0</v>
      </c>
      <c r="S8" s="71"/>
      <c r="T8" s="69"/>
      <c r="U8" s="81"/>
      <c r="V8" s="73"/>
      <c r="W8" s="74"/>
      <c r="X8" s="75"/>
      <c r="Y8" s="75"/>
      <c r="Z8" s="76"/>
      <c r="AA8" s="77"/>
      <c r="AB8" s="73"/>
      <c r="AC8" s="74"/>
      <c r="AD8" s="75"/>
      <c r="AE8" s="75"/>
      <c r="AF8" s="75"/>
      <c r="AG8" s="75"/>
      <c r="AH8" s="75"/>
      <c r="AI8" s="75"/>
      <c r="AJ8" s="78"/>
      <c r="AK8" s="79"/>
      <c r="AL8" s="75"/>
      <c r="AM8" s="75"/>
      <c r="AN8" s="75"/>
      <c r="AO8" s="75"/>
      <c r="AP8" s="75"/>
      <c r="AQ8" s="75"/>
      <c r="AR8" s="75"/>
      <c r="AS8" s="77"/>
      <c r="AT8" s="74"/>
      <c r="AU8" s="78"/>
      <c r="AV8" s="79"/>
      <c r="AW8" s="75"/>
      <c r="AX8" s="75"/>
      <c r="AY8" s="75"/>
      <c r="AZ8" s="77"/>
      <c r="BA8" s="74"/>
      <c r="BB8" s="75"/>
      <c r="BC8" s="75"/>
      <c r="BD8" s="77"/>
      <c r="BE8" s="6">
        <f t="shared" si="5"/>
        <v>0</v>
      </c>
    </row>
    <row r="9" spans="1:57">
      <c r="A9" s="61"/>
      <c r="B9" s="40"/>
      <c r="C9" s="62">
        <f t="shared" si="0"/>
        <v>0</v>
      </c>
      <c r="D9" s="63">
        <f t="shared" si="1"/>
        <v>0</v>
      </c>
      <c r="E9" s="63">
        <f t="shared" si="2"/>
        <v>0</v>
      </c>
      <c r="F9" s="63">
        <f t="shared" si="3"/>
        <v>0</v>
      </c>
      <c r="G9" s="63">
        <f t="shared" si="6"/>
        <v>0</v>
      </c>
      <c r="H9" s="63">
        <f t="shared" si="4"/>
        <v>0</v>
      </c>
      <c r="I9" s="64">
        <f t="shared" si="7"/>
        <v>0</v>
      </c>
      <c r="J9" s="65"/>
      <c r="K9" s="65"/>
      <c r="L9" s="80"/>
      <c r="M9" s="67"/>
      <c r="N9" s="68"/>
      <c r="O9" s="41"/>
      <c r="P9" s="48"/>
      <c r="Q9" s="70"/>
      <c r="R9" s="50">
        <f t="shared" si="8"/>
        <v>0</v>
      </c>
      <c r="S9" s="71"/>
      <c r="T9" s="69"/>
      <c r="U9" s="81"/>
      <c r="V9" s="73"/>
      <c r="W9" s="74"/>
      <c r="X9" s="75"/>
      <c r="Y9" s="75"/>
      <c r="Z9" s="76"/>
      <c r="AA9" s="77"/>
      <c r="AB9" s="73"/>
      <c r="AC9" s="74"/>
      <c r="AD9" s="75"/>
      <c r="AE9" s="75"/>
      <c r="AF9" s="75"/>
      <c r="AG9" s="75"/>
      <c r="AH9" s="75"/>
      <c r="AI9" s="75"/>
      <c r="AJ9" s="78"/>
      <c r="AK9" s="79"/>
      <c r="AL9" s="75"/>
      <c r="AM9" s="75"/>
      <c r="AN9" s="75"/>
      <c r="AO9" s="75"/>
      <c r="AP9" s="75"/>
      <c r="AQ9" s="75"/>
      <c r="AR9" s="75"/>
      <c r="AS9" s="77"/>
      <c r="AT9" s="74"/>
      <c r="AU9" s="78"/>
      <c r="AV9" s="79"/>
      <c r="AW9" s="75"/>
      <c r="AX9" s="75"/>
      <c r="AY9" s="75"/>
      <c r="AZ9" s="77"/>
      <c r="BA9" s="74"/>
      <c r="BB9" s="75"/>
      <c r="BC9" s="75"/>
      <c r="BD9" s="77"/>
      <c r="BE9" s="6">
        <f t="shared" si="5"/>
        <v>0</v>
      </c>
    </row>
    <row r="10" spans="1:57">
      <c r="A10" s="61"/>
      <c r="B10" s="40"/>
      <c r="C10" s="62">
        <f t="shared" si="0"/>
        <v>0</v>
      </c>
      <c r="D10" s="63">
        <f t="shared" si="1"/>
        <v>0</v>
      </c>
      <c r="E10" s="63">
        <f t="shared" si="2"/>
        <v>0</v>
      </c>
      <c r="F10" s="63">
        <f t="shared" si="3"/>
        <v>0</v>
      </c>
      <c r="G10" s="63">
        <f t="shared" si="6"/>
        <v>0</v>
      </c>
      <c r="H10" s="63">
        <f t="shared" si="4"/>
        <v>0</v>
      </c>
      <c r="I10" s="64">
        <f t="shared" si="7"/>
        <v>0</v>
      </c>
      <c r="J10" s="65"/>
      <c r="K10" s="65"/>
      <c r="L10" s="80"/>
      <c r="M10" s="67"/>
      <c r="N10" s="68"/>
      <c r="O10" s="41"/>
      <c r="P10" s="48"/>
      <c r="Q10" s="70"/>
      <c r="R10" s="50">
        <f t="shared" si="8"/>
        <v>0</v>
      </c>
      <c r="S10" s="71"/>
      <c r="T10" s="69"/>
      <c r="U10" s="81"/>
      <c r="V10" s="73"/>
      <c r="W10" s="74"/>
      <c r="X10" s="75"/>
      <c r="Y10" s="75"/>
      <c r="Z10" s="76"/>
      <c r="AA10" s="77"/>
      <c r="AB10" s="73"/>
      <c r="AC10" s="74"/>
      <c r="AD10" s="75"/>
      <c r="AE10" s="75"/>
      <c r="AF10" s="75"/>
      <c r="AG10" s="75"/>
      <c r="AH10" s="75"/>
      <c r="AI10" s="75"/>
      <c r="AJ10" s="78"/>
      <c r="AK10" s="79"/>
      <c r="AL10" s="75"/>
      <c r="AM10" s="75"/>
      <c r="AN10" s="75"/>
      <c r="AO10" s="75"/>
      <c r="AP10" s="75"/>
      <c r="AQ10" s="75"/>
      <c r="AR10" s="75"/>
      <c r="AS10" s="77"/>
      <c r="AT10" s="74"/>
      <c r="AU10" s="78"/>
      <c r="AV10" s="79"/>
      <c r="AW10" s="75"/>
      <c r="AX10" s="75"/>
      <c r="AY10" s="75"/>
      <c r="AZ10" s="77"/>
      <c r="BA10" s="74"/>
      <c r="BB10" s="75"/>
      <c r="BC10" s="75"/>
      <c r="BD10" s="77"/>
      <c r="BE10" s="6">
        <f t="shared" si="5"/>
        <v>0</v>
      </c>
    </row>
    <row r="11" spans="1:57">
      <c r="A11" s="61"/>
      <c r="B11" s="40"/>
      <c r="C11" s="62">
        <f t="shared" si="0"/>
        <v>0</v>
      </c>
      <c r="D11" s="63">
        <f t="shared" si="1"/>
        <v>0</v>
      </c>
      <c r="E11" s="63">
        <f t="shared" si="2"/>
        <v>0</v>
      </c>
      <c r="F11" s="63">
        <f t="shared" si="3"/>
        <v>0</v>
      </c>
      <c r="G11" s="63">
        <f t="shared" si="6"/>
        <v>0</v>
      </c>
      <c r="H11" s="63">
        <f t="shared" si="4"/>
        <v>0</v>
      </c>
      <c r="I11" s="64">
        <f t="shared" si="7"/>
        <v>0</v>
      </c>
      <c r="J11" s="65"/>
      <c r="K11" s="65"/>
      <c r="L11" s="80"/>
      <c r="M11" s="67"/>
      <c r="N11" s="68"/>
      <c r="O11" s="41"/>
      <c r="P11" s="48"/>
      <c r="Q11" s="70"/>
      <c r="R11" s="50">
        <f t="shared" si="8"/>
        <v>0</v>
      </c>
      <c r="S11" s="82"/>
      <c r="T11" s="69"/>
      <c r="U11" s="81"/>
      <c r="V11" s="73"/>
      <c r="W11" s="74"/>
      <c r="X11" s="75"/>
      <c r="Y11" s="75"/>
      <c r="Z11" s="76"/>
      <c r="AA11" s="77"/>
      <c r="AB11" s="73"/>
      <c r="AC11" s="74"/>
      <c r="AD11" s="75"/>
      <c r="AE11" s="75"/>
      <c r="AF11" s="75"/>
      <c r="AG11" s="75"/>
      <c r="AH11" s="75"/>
      <c r="AI11" s="75"/>
      <c r="AJ11" s="78"/>
      <c r="AK11" s="79"/>
      <c r="AL11" s="75"/>
      <c r="AM11" s="75"/>
      <c r="AN11" s="75"/>
      <c r="AO11" s="75"/>
      <c r="AP11" s="75"/>
      <c r="AQ11" s="75"/>
      <c r="AR11" s="75"/>
      <c r="AS11" s="77"/>
      <c r="AT11" s="74"/>
      <c r="AU11" s="78"/>
      <c r="AV11" s="79"/>
      <c r="AW11" s="75"/>
      <c r="AX11" s="75"/>
      <c r="AY11" s="75"/>
      <c r="AZ11" s="77"/>
      <c r="BA11" s="74"/>
      <c r="BB11" s="75"/>
      <c r="BC11" s="75"/>
      <c r="BD11" s="77"/>
      <c r="BE11" s="6">
        <f t="shared" si="5"/>
        <v>0</v>
      </c>
    </row>
    <row r="12" spans="1:57">
      <c r="A12" s="61"/>
      <c r="B12" s="40"/>
      <c r="C12" s="62">
        <f t="shared" si="0"/>
        <v>0</v>
      </c>
      <c r="D12" s="63">
        <f t="shared" si="1"/>
        <v>0</v>
      </c>
      <c r="E12" s="63">
        <f t="shared" si="2"/>
        <v>0</v>
      </c>
      <c r="F12" s="63">
        <f t="shared" si="3"/>
        <v>0</v>
      </c>
      <c r="G12" s="63">
        <f t="shared" si="6"/>
        <v>0</v>
      </c>
      <c r="H12" s="63">
        <f t="shared" si="4"/>
        <v>0</v>
      </c>
      <c r="I12" s="64">
        <f t="shared" si="7"/>
        <v>0</v>
      </c>
      <c r="J12" s="65"/>
      <c r="K12" s="65"/>
      <c r="L12" s="83"/>
      <c r="M12" s="67"/>
      <c r="N12" s="68"/>
      <c r="O12" s="62"/>
      <c r="P12" s="69"/>
      <c r="Q12" s="70"/>
      <c r="R12" s="50">
        <f t="shared" si="8"/>
        <v>0</v>
      </c>
      <c r="S12" s="71"/>
      <c r="T12" s="69"/>
      <c r="U12" s="81"/>
      <c r="V12" s="73"/>
      <c r="W12" s="74"/>
      <c r="X12" s="75"/>
      <c r="Y12" s="75"/>
      <c r="Z12" s="76"/>
      <c r="AA12" s="77"/>
      <c r="AB12" s="73"/>
      <c r="AC12" s="74"/>
      <c r="AD12" s="75"/>
      <c r="AE12" s="75"/>
      <c r="AF12" s="75"/>
      <c r="AG12" s="75"/>
      <c r="AH12" s="75"/>
      <c r="AI12" s="75"/>
      <c r="AJ12" s="78"/>
      <c r="AK12" s="79"/>
      <c r="AL12" s="75"/>
      <c r="AM12" s="75"/>
      <c r="AN12" s="75"/>
      <c r="AO12" s="75"/>
      <c r="AP12" s="75"/>
      <c r="AQ12" s="75"/>
      <c r="AR12" s="75"/>
      <c r="AS12" s="77"/>
      <c r="AT12" s="74"/>
      <c r="AU12" s="78"/>
      <c r="AV12" s="79"/>
      <c r="AW12" s="75"/>
      <c r="AX12" s="75"/>
      <c r="AY12" s="75"/>
      <c r="AZ12" s="77"/>
      <c r="BA12" s="74"/>
      <c r="BB12" s="75"/>
      <c r="BC12" s="75"/>
      <c r="BD12" s="77"/>
      <c r="BE12" s="6">
        <f t="shared" si="5"/>
        <v>0</v>
      </c>
    </row>
    <row r="13" spans="1:57">
      <c r="A13" s="61"/>
      <c r="B13" s="40"/>
      <c r="C13" s="62">
        <f t="shared" si="0"/>
        <v>0</v>
      </c>
      <c r="D13" s="63">
        <f t="shared" si="1"/>
        <v>0</v>
      </c>
      <c r="E13" s="63">
        <f t="shared" si="2"/>
        <v>0</v>
      </c>
      <c r="F13" s="63">
        <f t="shared" si="3"/>
        <v>0</v>
      </c>
      <c r="G13" s="63">
        <f t="shared" si="6"/>
        <v>0</v>
      </c>
      <c r="H13" s="63">
        <f t="shared" si="4"/>
        <v>0</v>
      </c>
      <c r="I13" s="64">
        <f t="shared" si="7"/>
        <v>0</v>
      </c>
      <c r="J13" s="65"/>
      <c r="K13" s="65"/>
      <c r="L13" s="83"/>
      <c r="M13" s="67"/>
      <c r="N13" s="68"/>
      <c r="O13" s="41"/>
      <c r="P13" s="48"/>
      <c r="Q13" s="70"/>
      <c r="R13" s="50">
        <f t="shared" si="8"/>
        <v>0</v>
      </c>
      <c r="S13" s="71"/>
      <c r="T13" s="69"/>
      <c r="U13" s="81"/>
      <c r="V13" s="73"/>
      <c r="W13" s="74"/>
      <c r="X13" s="75"/>
      <c r="Y13" s="75"/>
      <c r="Z13" s="76"/>
      <c r="AA13" s="77"/>
      <c r="AB13" s="73"/>
      <c r="AC13" s="74"/>
      <c r="AD13" s="75"/>
      <c r="AE13" s="75"/>
      <c r="AF13" s="75"/>
      <c r="AG13" s="75"/>
      <c r="AH13" s="75"/>
      <c r="AI13" s="75"/>
      <c r="AJ13" s="78"/>
      <c r="AK13" s="79"/>
      <c r="AL13" s="75"/>
      <c r="AM13" s="75"/>
      <c r="AN13" s="75"/>
      <c r="AO13" s="75"/>
      <c r="AP13" s="75"/>
      <c r="AQ13" s="75"/>
      <c r="AR13" s="75"/>
      <c r="AS13" s="77"/>
      <c r="AT13" s="74"/>
      <c r="AU13" s="78"/>
      <c r="AV13" s="79"/>
      <c r="AW13" s="75"/>
      <c r="AX13" s="75"/>
      <c r="AY13" s="75"/>
      <c r="AZ13" s="77"/>
      <c r="BA13" s="74"/>
      <c r="BB13" s="75"/>
      <c r="BC13" s="75"/>
      <c r="BD13" s="77"/>
      <c r="BE13" s="6">
        <f t="shared" si="5"/>
        <v>0</v>
      </c>
    </row>
    <row r="14" spans="1:57">
      <c r="A14" s="61"/>
      <c r="B14" s="40"/>
      <c r="C14" s="62">
        <f t="shared" si="0"/>
        <v>0</v>
      </c>
      <c r="D14" s="63">
        <f t="shared" si="1"/>
        <v>0</v>
      </c>
      <c r="E14" s="63">
        <f t="shared" si="2"/>
        <v>0</v>
      </c>
      <c r="F14" s="63">
        <f t="shared" si="3"/>
        <v>0</v>
      </c>
      <c r="G14" s="63">
        <f t="shared" si="6"/>
        <v>0</v>
      </c>
      <c r="H14" s="63">
        <f t="shared" si="4"/>
        <v>0</v>
      </c>
      <c r="I14" s="64">
        <f t="shared" si="7"/>
        <v>0</v>
      </c>
      <c r="J14" s="65"/>
      <c r="K14" s="65"/>
      <c r="L14" s="83"/>
      <c r="M14" s="67"/>
      <c r="N14" s="68"/>
      <c r="O14" s="41"/>
      <c r="P14" s="48"/>
      <c r="Q14" s="70"/>
      <c r="R14" s="50">
        <f t="shared" si="8"/>
        <v>0</v>
      </c>
      <c r="S14" s="71"/>
      <c r="T14" s="69"/>
      <c r="U14" s="81"/>
      <c r="V14" s="73"/>
      <c r="W14" s="74"/>
      <c r="X14" s="75"/>
      <c r="Y14" s="75"/>
      <c r="Z14" s="76"/>
      <c r="AA14" s="77"/>
      <c r="AB14" s="73"/>
      <c r="AC14" s="74"/>
      <c r="AD14" s="75"/>
      <c r="AE14" s="75"/>
      <c r="AF14" s="75"/>
      <c r="AG14" s="75"/>
      <c r="AH14" s="75"/>
      <c r="AI14" s="75"/>
      <c r="AJ14" s="78"/>
      <c r="AK14" s="79"/>
      <c r="AL14" s="75"/>
      <c r="AM14" s="75"/>
      <c r="AN14" s="75"/>
      <c r="AO14" s="75"/>
      <c r="AP14" s="75"/>
      <c r="AQ14" s="75"/>
      <c r="AR14" s="75"/>
      <c r="AS14" s="77"/>
      <c r="AT14" s="74"/>
      <c r="AU14" s="78"/>
      <c r="AV14" s="79"/>
      <c r="AW14" s="75"/>
      <c r="AX14" s="75"/>
      <c r="AY14" s="75"/>
      <c r="AZ14" s="77"/>
      <c r="BA14" s="74"/>
      <c r="BB14" s="75"/>
      <c r="BC14" s="75"/>
      <c r="BD14" s="77"/>
      <c r="BE14" s="6">
        <f t="shared" si="5"/>
        <v>0</v>
      </c>
    </row>
    <row r="15" spans="1:57">
      <c r="A15" s="61"/>
      <c r="B15" s="40"/>
      <c r="C15" s="62">
        <f t="shared" si="0"/>
        <v>0</v>
      </c>
      <c r="D15" s="63">
        <f t="shared" si="1"/>
        <v>0</v>
      </c>
      <c r="E15" s="63">
        <f t="shared" si="2"/>
        <v>0</v>
      </c>
      <c r="F15" s="63">
        <f t="shared" si="3"/>
        <v>0</v>
      </c>
      <c r="G15" s="63">
        <f t="shared" si="6"/>
        <v>0</v>
      </c>
      <c r="H15" s="63">
        <f t="shared" si="4"/>
        <v>0</v>
      </c>
      <c r="I15" s="64">
        <f t="shared" si="7"/>
        <v>0</v>
      </c>
      <c r="J15" s="65"/>
      <c r="K15" s="65"/>
      <c r="L15" s="83"/>
      <c r="M15" s="67"/>
      <c r="N15" s="68"/>
      <c r="O15" s="41"/>
      <c r="P15" s="48"/>
      <c r="Q15" s="70"/>
      <c r="R15" s="50">
        <f t="shared" si="8"/>
        <v>0</v>
      </c>
      <c r="S15" s="71"/>
      <c r="T15" s="69"/>
      <c r="U15" s="81"/>
      <c r="V15" s="73"/>
      <c r="W15" s="74"/>
      <c r="X15" s="75"/>
      <c r="Y15" s="75"/>
      <c r="Z15" s="76"/>
      <c r="AA15" s="77"/>
      <c r="AB15" s="73"/>
      <c r="AC15" s="74"/>
      <c r="AD15" s="75"/>
      <c r="AE15" s="75"/>
      <c r="AF15" s="75"/>
      <c r="AG15" s="75"/>
      <c r="AH15" s="75"/>
      <c r="AI15" s="75"/>
      <c r="AJ15" s="78"/>
      <c r="AK15" s="79"/>
      <c r="AL15" s="75"/>
      <c r="AM15" s="75"/>
      <c r="AN15" s="75"/>
      <c r="AO15" s="75"/>
      <c r="AP15" s="75"/>
      <c r="AQ15" s="75"/>
      <c r="AR15" s="75"/>
      <c r="AS15" s="77"/>
      <c r="AT15" s="74"/>
      <c r="AU15" s="78"/>
      <c r="AV15" s="79"/>
      <c r="AW15" s="75"/>
      <c r="AX15" s="75"/>
      <c r="AY15" s="75"/>
      <c r="AZ15" s="77"/>
      <c r="BA15" s="74"/>
      <c r="BB15" s="75"/>
      <c r="BC15" s="75"/>
      <c r="BD15" s="77"/>
      <c r="BE15" s="6">
        <f t="shared" si="5"/>
        <v>0</v>
      </c>
    </row>
    <row r="16" spans="1:57">
      <c r="A16" s="61"/>
      <c r="B16" s="40"/>
      <c r="C16" s="62">
        <f t="shared" si="0"/>
        <v>0</v>
      </c>
      <c r="D16" s="63">
        <f t="shared" si="1"/>
        <v>0</v>
      </c>
      <c r="E16" s="63">
        <f t="shared" si="2"/>
        <v>0</v>
      </c>
      <c r="F16" s="63">
        <f t="shared" si="3"/>
        <v>0</v>
      </c>
      <c r="G16" s="63">
        <f t="shared" si="6"/>
        <v>0</v>
      </c>
      <c r="H16" s="63">
        <f t="shared" si="4"/>
        <v>0</v>
      </c>
      <c r="I16" s="64">
        <f t="shared" si="7"/>
        <v>0</v>
      </c>
      <c r="J16" s="65"/>
      <c r="K16" s="65"/>
      <c r="L16" s="83"/>
      <c r="M16" s="67"/>
      <c r="N16" s="68"/>
      <c r="O16" s="41"/>
      <c r="P16" s="48"/>
      <c r="Q16" s="70"/>
      <c r="R16" s="50">
        <f t="shared" si="8"/>
        <v>0</v>
      </c>
      <c r="S16" s="71"/>
      <c r="T16" s="69"/>
      <c r="U16" s="81"/>
      <c r="V16" s="73"/>
      <c r="W16" s="74"/>
      <c r="X16" s="75"/>
      <c r="Y16" s="75"/>
      <c r="Z16" s="76"/>
      <c r="AA16" s="77"/>
      <c r="AB16" s="73"/>
      <c r="AC16" s="74"/>
      <c r="AD16" s="75"/>
      <c r="AE16" s="75"/>
      <c r="AF16" s="75"/>
      <c r="AG16" s="75"/>
      <c r="AH16" s="75"/>
      <c r="AI16" s="75"/>
      <c r="AJ16" s="78"/>
      <c r="AK16" s="79"/>
      <c r="AL16" s="75"/>
      <c r="AM16" s="75"/>
      <c r="AN16" s="75"/>
      <c r="AO16" s="75"/>
      <c r="AP16" s="75"/>
      <c r="AQ16" s="75"/>
      <c r="AR16" s="75"/>
      <c r="AS16" s="77"/>
      <c r="AT16" s="74"/>
      <c r="AU16" s="78"/>
      <c r="AV16" s="79"/>
      <c r="AW16" s="75"/>
      <c r="AX16" s="75"/>
      <c r="AY16" s="75"/>
      <c r="AZ16" s="77"/>
      <c r="BA16" s="74"/>
      <c r="BB16" s="75"/>
      <c r="BC16" s="75"/>
      <c r="BD16" s="77"/>
      <c r="BE16" s="6">
        <f t="shared" si="5"/>
        <v>0</v>
      </c>
    </row>
    <row r="17" spans="1:57">
      <c r="A17" s="61"/>
      <c r="B17" s="40"/>
      <c r="C17" s="62">
        <f t="shared" si="0"/>
        <v>0</v>
      </c>
      <c r="D17" s="63">
        <f t="shared" si="1"/>
        <v>0</v>
      </c>
      <c r="E17" s="63">
        <f t="shared" si="2"/>
        <v>0</v>
      </c>
      <c r="F17" s="63">
        <f t="shared" si="3"/>
        <v>0</v>
      </c>
      <c r="G17" s="63">
        <f t="shared" si="6"/>
        <v>0</v>
      </c>
      <c r="H17" s="63">
        <f t="shared" si="4"/>
        <v>0</v>
      </c>
      <c r="I17" s="64">
        <f t="shared" si="7"/>
        <v>0</v>
      </c>
      <c r="J17" s="65"/>
      <c r="K17" s="65"/>
      <c r="L17" s="83"/>
      <c r="M17" s="67"/>
      <c r="N17" s="68"/>
      <c r="O17" s="62"/>
      <c r="P17" s="69"/>
      <c r="Q17" s="70"/>
      <c r="R17" s="50">
        <f t="shared" si="8"/>
        <v>0</v>
      </c>
      <c r="S17" s="71"/>
      <c r="T17" s="69"/>
      <c r="U17" s="81"/>
      <c r="V17" s="73"/>
      <c r="W17" s="74"/>
      <c r="X17" s="75"/>
      <c r="Y17" s="75"/>
      <c r="Z17" s="76"/>
      <c r="AA17" s="77"/>
      <c r="AB17" s="73"/>
      <c r="AC17" s="74"/>
      <c r="AD17" s="75"/>
      <c r="AE17" s="75"/>
      <c r="AF17" s="75"/>
      <c r="AG17" s="75"/>
      <c r="AH17" s="75"/>
      <c r="AI17" s="75"/>
      <c r="AJ17" s="78"/>
      <c r="AK17" s="79"/>
      <c r="AL17" s="75"/>
      <c r="AM17" s="75"/>
      <c r="AN17" s="75"/>
      <c r="AO17" s="75"/>
      <c r="AP17" s="75"/>
      <c r="AQ17" s="75"/>
      <c r="AR17" s="75"/>
      <c r="AS17" s="77"/>
      <c r="AT17" s="74"/>
      <c r="AU17" s="78"/>
      <c r="AV17" s="79"/>
      <c r="AW17" s="75"/>
      <c r="AX17" s="75"/>
      <c r="AY17" s="75"/>
      <c r="AZ17" s="77"/>
      <c r="BA17" s="74"/>
      <c r="BB17" s="75"/>
      <c r="BC17" s="75"/>
      <c r="BD17" s="77"/>
      <c r="BE17" s="6">
        <f t="shared" si="5"/>
        <v>0</v>
      </c>
    </row>
    <row r="18" spans="1:57">
      <c r="A18" s="61"/>
      <c r="B18" s="40"/>
      <c r="C18" s="62">
        <f t="shared" si="0"/>
        <v>0</v>
      </c>
      <c r="D18" s="63">
        <f t="shared" si="1"/>
        <v>0</v>
      </c>
      <c r="E18" s="63">
        <f t="shared" si="2"/>
        <v>0</v>
      </c>
      <c r="F18" s="63">
        <f t="shared" si="3"/>
        <v>0</v>
      </c>
      <c r="G18" s="63">
        <f t="shared" si="6"/>
        <v>0</v>
      </c>
      <c r="H18" s="63">
        <f t="shared" si="4"/>
        <v>0</v>
      </c>
      <c r="I18" s="64">
        <f t="shared" si="7"/>
        <v>0</v>
      </c>
      <c r="J18" s="65"/>
      <c r="K18" s="65"/>
      <c r="L18" s="83"/>
      <c r="M18" s="67"/>
      <c r="N18" s="68"/>
      <c r="O18" s="62"/>
      <c r="P18" s="69"/>
      <c r="Q18" s="70"/>
      <c r="R18" s="50">
        <f t="shared" si="8"/>
        <v>0</v>
      </c>
      <c r="S18" s="71"/>
      <c r="T18" s="69"/>
      <c r="U18" s="81"/>
      <c r="V18" s="73"/>
      <c r="W18" s="74"/>
      <c r="X18" s="75"/>
      <c r="Y18" s="75"/>
      <c r="Z18" s="76"/>
      <c r="AA18" s="77"/>
      <c r="AB18" s="73"/>
      <c r="AC18" s="74"/>
      <c r="AD18" s="75"/>
      <c r="AE18" s="75"/>
      <c r="AF18" s="75"/>
      <c r="AG18" s="75"/>
      <c r="AH18" s="75"/>
      <c r="AI18" s="75"/>
      <c r="AJ18" s="78"/>
      <c r="AK18" s="79"/>
      <c r="AL18" s="75"/>
      <c r="AM18" s="75"/>
      <c r="AN18" s="75"/>
      <c r="AO18" s="75"/>
      <c r="AP18" s="75"/>
      <c r="AQ18" s="75"/>
      <c r="AR18" s="75"/>
      <c r="AS18" s="77"/>
      <c r="AT18" s="74"/>
      <c r="AU18" s="78"/>
      <c r="AV18" s="79"/>
      <c r="AW18" s="75"/>
      <c r="AX18" s="75"/>
      <c r="AY18" s="75"/>
      <c r="AZ18" s="77"/>
      <c r="BA18" s="74"/>
      <c r="BB18" s="75"/>
      <c r="BC18" s="75"/>
      <c r="BD18" s="77"/>
      <c r="BE18" s="6">
        <f t="shared" si="5"/>
        <v>0</v>
      </c>
    </row>
    <row r="19" spans="1:57">
      <c r="A19" s="61"/>
      <c r="B19" s="40"/>
      <c r="C19" s="62">
        <f t="shared" si="0"/>
        <v>0</v>
      </c>
      <c r="D19" s="63">
        <f t="shared" si="1"/>
        <v>0</v>
      </c>
      <c r="E19" s="63">
        <f t="shared" si="2"/>
        <v>0</v>
      </c>
      <c r="F19" s="63">
        <f t="shared" si="3"/>
        <v>0</v>
      </c>
      <c r="G19" s="63">
        <f t="shared" si="6"/>
        <v>0</v>
      </c>
      <c r="H19" s="63">
        <f t="shared" si="4"/>
        <v>0</v>
      </c>
      <c r="I19" s="64">
        <f t="shared" si="7"/>
        <v>0</v>
      </c>
      <c r="J19" s="65"/>
      <c r="K19" s="65"/>
      <c r="L19" s="83"/>
      <c r="M19" s="67"/>
      <c r="N19" s="68"/>
      <c r="O19" s="62"/>
      <c r="P19" s="69"/>
      <c r="Q19" s="70"/>
      <c r="R19" s="50">
        <f t="shared" si="8"/>
        <v>0</v>
      </c>
      <c r="S19" s="71"/>
      <c r="T19" s="69"/>
      <c r="U19" s="81"/>
      <c r="V19" s="73"/>
      <c r="W19" s="74"/>
      <c r="X19" s="75"/>
      <c r="Y19" s="75"/>
      <c r="Z19" s="76"/>
      <c r="AA19" s="77"/>
      <c r="AB19" s="73"/>
      <c r="AC19" s="74"/>
      <c r="AD19" s="75"/>
      <c r="AE19" s="75"/>
      <c r="AF19" s="75"/>
      <c r="AG19" s="75"/>
      <c r="AH19" s="75"/>
      <c r="AI19" s="75"/>
      <c r="AJ19" s="78"/>
      <c r="AK19" s="79"/>
      <c r="AL19" s="75"/>
      <c r="AM19" s="75"/>
      <c r="AN19" s="75"/>
      <c r="AO19" s="75"/>
      <c r="AP19" s="75"/>
      <c r="AQ19" s="75"/>
      <c r="AR19" s="75"/>
      <c r="AS19" s="77"/>
      <c r="AT19" s="74"/>
      <c r="AU19" s="78"/>
      <c r="AV19" s="79"/>
      <c r="AW19" s="75"/>
      <c r="AX19" s="75"/>
      <c r="AY19" s="75"/>
      <c r="AZ19" s="77"/>
      <c r="BA19" s="74"/>
      <c r="BB19" s="75"/>
      <c r="BC19" s="75"/>
      <c r="BD19" s="77"/>
      <c r="BE19" s="6">
        <f t="shared" si="5"/>
        <v>0</v>
      </c>
    </row>
    <row r="20" spans="1:57">
      <c r="A20" s="61"/>
      <c r="B20" s="40"/>
      <c r="C20" s="62">
        <f t="shared" si="0"/>
        <v>0</v>
      </c>
      <c r="D20" s="63">
        <f t="shared" si="1"/>
        <v>0</v>
      </c>
      <c r="E20" s="63">
        <f t="shared" si="2"/>
        <v>0</v>
      </c>
      <c r="F20" s="63">
        <f t="shared" si="3"/>
        <v>0</v>
      </c>
      <c r="G20" s="63">
        <f t="shared" si="6"/>
        <v>0</v>
      </c>
      <c r="H20" s="63">
        <f t="shared" si="4"/>
        <v>0</v>
      </c>
      <c r="I20" s="64">
        <f t="shared" si="7"/>
        <v>0</v>
      </c>
      <c r="J20" s="65"/>
      <c r="K20" s="65"/>
      <c r="L20" s="83"/>
      <c r="M20" s="67"/>
      <c r="N20" s="68"/>
      <c r="O20" s="62"/>
      <c r="P20" s="69"/>
      <c r="Q20" s="70"/>
      <c r="R20" s="50">
        <f t="shared" si="8"/>
        <v>0</v>
      </c>
      <c r="S20" s="71"/>
      <c r="T20" s="69"/>
      <c r="U20" s="81"/>
      <c r="V20" s="73"/>
      <c r="W20" s="74"/>
      <c r="X20" s="75"/>
      <c r="Y20" s="75"/>
      <c r="Z20" s="76"/>
      <c r="AA20" s="77"/>
      <c r="AB20" s="73"/>
      <c r="AC20" s="74"/>
      <c r="AD20" s="75"/>
      <c r="AE20" s="75"/>
      <c r="AF20" s="75"/>
      <c r="AG20" s="75"/>
      <c r="AH20" s="75"/>
      <c r="AI20" s="75"/>
      <c r="AJ20" s="78"/>
      <c r="AK20" s="79"/>
      <c r="AL20" s="75"/>
      <c r="AM20" s="75"/>
      <c r="AN20" s="75"/>
      <c r="AO20" s="75"/>
      <c r="AP20" s="75"/>
      <c r="AQ20" s="75"/>
      <c r="AR20" s="75"/>
      <c r="AS20" s="77"/>
      <c r="AT20" s="74"/>
      <c r="AU20" s="78"/>
      <c r="AV20" s="79"/>
      <c r="AW20" s="75"/>
      <c r="AX20" s="75"/>
      <c r="AY20" s="75"/>
      <c r="AZ20" s="77"/>
      <c r="BA20" s="74"/>
      <c r="BB20" s="75"/>
      <c r="BC20" s="75"/>
      <c r="BD20" s="77"/>
      <c r="BE20" s="6">
        <f t="shared" si="5"/>
        <v>0</v>
      </c>
    </row>
    <row r="21" spans="1:57">
      <c r="A21" s="61"/>
      <c r="B21" s="40"/>
      <c r="C21" s="62">
        <f t="shared" si="0"/>
        <v>0</v>
      </c>
      <c r="D21" s="63">
        <f t="shared" si="1"/>
        <v>0</v>
      </c>
      <c r="E21" s="63">
        <f t="shared" si="2"/>
        <v>0</v>
      </c>
      <c r="F21" s="63">
        <f t="shared" si="3"/>
        <v>0</v>
      </c>
      <c r="G21" s="63">
        <f t="shared" si="6"/>
        <v>0</v>
      </c>
      <c r="H21" s="63">
        <f t="shared" si="4"/>
        <v>0</v>
      </c>
      <c r="I21" s="64">
        <f t="shared" si="7"/>
        <v>0</v>
      </c>
      <c r="J21" s="65"/>
      <c r="K21" s="65"/>
      <c r="L21" s="83"/>
      <c r="M21" s="67"/>
      <c r="N21" s="68"/>
      <c r="O21" s="62"/>
      <c r="P21" s="69"/>
      <c r="Q21" s="70"/>
      <c r="R21" s="50">
        <f t="shared" si="8"/>
        <v>0</v>
      </c>
      <c r="S21" s="71"/>
      <c r="T21" s="69"/>
      <c r="U21" s="81"/>
      <c r="V21" s="73"/>
      <c r="W21" s="74"/>
      <c r="X21" s="75"/>
      <c r="Y21" s="75"/>
      <c r="Z21" s="76"/>
      <c r="AA21" s="77"/>
      <c r="AB21" s="73"/>
      <c r="AC21" s="74"/>
      <c r="AD21" s="75"/>
      <c r="AE21" s="75"/>
      <c r="AF21" s="75"/>
      <c r="AG21" s="75"/>
      <c r="AH21" s="75"/>
      <c r="AI21" s="75"/>
      <c r="AJ21" s="78"/>
      <c r="AK21" s="79"/>
      <c r="AL21" s="75"/>
      <c r="AM21" s="75"/>
      <c r="AN21" s="75"/>
      <c r="AO21" s="75"/>
      <c r="AP21" s="75"/>
      <c r="AQ21" s="75"/>
      <c r="AR21" s="75"/>
      <c r="AS21" s="77"/>
      <c r="AT21" s="74"/>
      <c r="AU21" s="78"/>
      <c r="AV21" s="79"/>
      <c r="AW21" s="75"/>
      <c r="AX21" s="75"/>
      <c r="AY21" s="75"/>
      <c r="AZ21" s="77"/>
      <c r="BA21" s="74"/>
      <c r="BB21" s="75"/>
      <c r="BC21" s="75"/>
      <c r="BD21" s="77"/>
      <c r="BE21" s="6">
        <f t="shared" si="5"/>
        <v>0</v>
      </c>
    </row>
    <row r="22" spans="1:57">
      <c r="A22" s="61"/>
      <c r="B22" s="40"/>
      <c r="C22" s="62">
        <f t="shared" si="0"/>
        <v>0</v>
      </c>
      <c r="D22" s="63">
        <f t="shared" si="1"/>
        <v>0</v>
      </c>
      <c r="E22" s="63">
        <f t="shared" si="2"/>
        <v>0</v>
      </c>
      <c r="F22" s="63">
        <f t="shared" si="3"/>
        <v>0</v>
      </c>
      <c r="G22" s="63">
        <f t="shared" si="6"/>
        <v>0</v>
      </c>
      <c r="H22" s="63">
        <f t="shared" si="4"/>
        <v>0</v>
      </c>
      <c r="I22" s="64">
        <f t="shared" si="7"/>
        <v>0</v>
      </c>
      <c r="J22" s="65"/>
      <c r="K22" s="65"/>
      <c r="L22" s="83"/>
      <c r="M22" s="67"/>
      <c r="N22" s="68"/>
      <c r="O22" s="62"/>
      <c r="P22" s="69"/>
      <c r="Q22" s="70"/>
      <c r="R22" s="50">
        <f t="shared" si="8"/>
        <v>0</v>
      </c>
      <c r="S22" s="71"/>
      <c r="T22" s="69"/>
      <c r="U22" s="81"/>
      <c r="V22" s="73"/>
      <c r="W22" s="74"/>
      <c r="X22" s="75"/>
      <c r="Y22" s="75"/>
      <c r="Z22" s="76"/>
      <c r="AA22" s="77"/>
      <c r="AB22" s="73"/>
      <c r="AC22" s="74"/>
      <c r="AD22" s="75"/>
      <c r="AE22" s="75"/>
      <c r="AF22" s="75"/>
      <c r="AG22" s="75"/>
      <c r="AH22" s="75"/>
      <c r="AI22" s="75"/>
      <c r="AJ22" s="78"/>
      <c r="AK22" s="79"/>
      <c r="AL22" s="75"/>
      <c r="AM22" s="75"/>
      <c r="AN22" s="75"/>
      <c r="AO22" s="75"/>
      <c r="AP22" s="75"/>
      <c r="AQ22" s="75"/>
      <c r="AR22" s="75"/>
      <c r="AS22" s="77"/>
      <c r="AT22" s="74"/>
      <c r="AU22" s="78"/>
      <c r="AV22" s="79"/>
      <c r="AW22" s="75"/>
      <c r="AX22" s="75"/>
      <c r="AY22" s="75"/>
      <c r="AZ22" s="77"/>
      <c r="BA22" s="74"/>
      <c r="BB22" s="75"/>
      <c r="BC22" s="75"/>
      <c r="BD22" s="77"/>
      <c r="BE22" s="6">
        <f t="shared" si="5"/>
        <v>0</v>
      </c>
    </row>
    <row r="23" spans="1:57">
      <c r="A23" s="61"/>
      <c r="B23" s="40"/>
      <c r="C23" s="62">
        <f t="shared" si="0"/>
        <v>0</v>
      </c>
      <c r="D23" s="63">
        <f t="shared" si="1"/>
        <v>0</v>
      </c>
      <c r="E23" s="63">
        <f t="shared" si="2"/>
        <v>0</v>
      </c>
      <c r="F23" s="63">
        <f t="shared" si="3"/>
        <v>0</v>
      </c>
      <c r="G23" s="63">
        <f t="shared" si="6"/>
        <v>0</v>
      </c>
      <c r="H23" s="63">
        <f t="shared" si="4"/>
        <v>0</v>
      </c>
      <c r="I23" s="64">
        <f t="shared" si="7"/>
        <v>0</v>
      </c>
      <c r="J23" s="65"/>
      <c r="K23" s="65"/>
      <c r="L23" s="83"/>
      <c r="M23" s="67"/>
      <c r="N23" s="68"/>
      <c r="O23" s="62"/>
      <c r="P23" s="69"/>
      <c r="Q23" s="70"/>
      <c r="R23" s="50">
        <f t="shared" si="8"/>
        <v>0</v>
      </c>
      <c r="S23" s="71"/>
      <c r="T23" s="69"/>
      <c r="U23" s="81"/>
      <c r="V23" s="73"/>
      <c r="W23" s="74"/>
      <c r="X23" s="75"/>
      <c r="Y23" s="75"/>
      <c r="Z23" s="76"/>
      <c r="AA23" s="77"/>
      <c r="AB23" s="73"/>
      <c r="AC23" s="74"/>
      <c r="AD23" s="75"/>
      <c r="AE23" s="75"/>
      <c r="AF23" s="75"/>
      <c r="AG23" s="75"/>
      <c r="AH23" s="75"/>
      <c r="AI23" s="75"/>
      <c r="AJ23" s="78"/>
      <c r="AK23" s="79"/>
      <c r="AL23" s="75"/>
      <c r="AM23" s="75"/>
      <c r="AN23" s="75"/>
      <c r="AO23" s="75"/>
      <c r="AP23" s="75"/>
      <c r="AQ23" s="75"/>
      <c r="AR23" s="75"/>
      <c r="AS23" s="77"/>
      <c r="AT23" s="74"/>
      <c r="AU23" s="78"/>
      <c r="AV23" s="79"/>
      <c r="AW23" s="75"/>
      <c r="AX23" s="75"/>
      <c r="AY23" s="75"/>
      <c r="AZ23" s="77"/>
      <c r="BA23" s="74"/>
      <c r="BB23" s="75"/>
      <c r="BC23" s="75"/>
      <c r="BD23" s="77"/>
      <c r="BE23" s="6">
        <f t="shared" si="5"/>
        <v>0</v>
      </c>
    </row>
    <row r="24" spans="1:57">
      <c r="A24" s="61"/>
      <c r="B24" s="40"/>
      <c r="C24" s="62">
        <f t="shared" si="0"/>
        <v>0</v>
      </c>
      <c r="D24" s="63">
        <f t="shared" si="1"/>
        <v>0</v>
      </c>
      <c r="E24" s="63">
        <f t="shared" si="2"/>
        <v>0</v>
      </c>
      <c r="F24" s="63">
        <f t="shared" si="3"/>
        <v>0</v>
      </c>
      <c r="G24" s="63">
        <f t="shared" si="6"/>
        <v>0</v>
      </c>
      <c r="H24" s="63">
        <f t="shared" si="4"/>
        <v>0</v>
      </c>
      <c r="I24" s="64">
        <f t="shared" si="7"/>
        <v>0</v>
      </c>
      <c r="J24" s="65"/>
      <c r="K24" s="65"/>
      <c r="L24" s="83"/>
      <c r="M24" s="67"/>
      <c r="N24" s="68"/>
      <c r="O24" s="62"/>
      <c r="P24" s="69"/>
      <c r="Q24" s="70"/>
      <c r="R24" s="50">
        <f t="shared" si="8"/>
        <v>0</v>
      </c>
      <c r="S24" s="71"/>
      <c r="T24" s="69"/>
      <c r="U24" s="81"/>
      <c r="V24" s="73"/>
      <c r="W24" s="74"/>
      <c r="X24" s="75"/>
      <c r="Y24" s="75"/>
      <c r="Z24" s="76"/>
      <c r="AA24" s="77"/>
      <c r="AB24" s="73"/>
      <c r="AC24" s="74"/>
      <c r="AD24" s="75"/>
      <c r="AE24" s="75"/>
      <c r="AF24" s="75"/>
      <c r="AG24" s="75"/>
      <c r="AH24" s="75"/>
      <c r="AI24" s="75"/>
      <c r="AJ24" s="78"/>
      <c r="AK24" s="79"/>
      <c r="AL24" s="75"/>
      <c r="AM24" s="75"/>
      <c r="AN24" s="75"/>
      <c r="AO24" s="75"/>
      <c r="AP24" s="75"/>
      <c r="AQ24" s="75"/>
      <c r="AR24" s="75"/>
      <c r="AS24" s="77"/>
      <c r="AT24" s="74"/>
      <c r="AU24" s="78"/>
      <c r="AV24" s="79"/>
      <c r="AW24" s="75"/>
      <c r="AX24" s="75"/>
      <c r="AY24" s="75"/>
      <c r="AZ24" s="77"/>
      <c r="BA24" s="74"/>
      <c r="BB24" s="75"/>
      <c r="BC24" s="75"/>
      <c r="BD24" s="77"/>
      <c r="BE24" s="6">
        <f t="shared" si="5"/>
        <v>0</v>
      </c>
    </row>
    <row r="25" spans="1:57">
      <c r="A25" s="61"/>
      <c r="B25" s="40"/>
      <c r="C25" s="62">
        <f t="shared" si="0"/>
        <v>0</v>
      </c>
      <c r="D25" s="63">
        <f t="shared" si="1"/>
        <v>0</v>
      </c>
      <c r="E25" s="63">
        <f t="shared" si="2"/>
        <v>0</v>
      </c>
      <c r="F25" s="63">
        <f t="shared" si="3"/>
        <v>0</v>
      </c>
      <c r="G25" s="63">
        <f t="shared" si="6"/>
        <v>0</v>
      </c>
      <c r="H25" s="63">
        <f t="shared" si="4"/>
        <v>0</v>
      </c>
      <c r="I25" s="64">
        <f t="shared" si="7"/>
        <v>0</v>
      </c>
      <c r="J25" s="65"/>
      <c r="K25" s="65"/>
      <c r="L25" s="83"/>
      <c r="M25" s="67"/>
      <c r="N25" s="68"/>
      <c r="O25" s="62"/>
      <c r="P25" s="69"/>
      <c r="Q25" s="70"/>
      <c r="R25" s="50">
        <f t="shared" si="8"/>
        <v>0</v>
      </c>
      <c r="S25" s="71"/>
      <c r="T25" s="69"/>
      <c r="U25" s="81"/>
      <c r="V25" s="73"/>
      <c r="W25" s="74"/>
      <c r="X25" s="75"/>
      <c r="Y25" s="75"/>
      <c r="Z25" s="76"/>
      <c r="AA25" s="77"/>
      <c r="AB25" s="73"/>
      <c r="AC25" s="74"/>
      <c r="AD25" s="75"/>
      <c r="AE25" s="75"/>
      <c r="AF25" s="75"/>
      <c r="AG25" s="75"/>
      <c r="AH25" s="75"/>
      <c r="AI25" s="75"/>
      <c r="AJ25" s="78"/>
      <c r="AK25" s="79"/>
      <c r="AL25" s="75"/>
      <c r="AM25" s="75"/>
      <c r="AN25" s="75"/>
      <c r="AO25" s="75"/>
      <c r="AP25" s="75"/>
      <c r="AQ25" s="75"/>
      <c r="AR25" s="75"/>
      <c r="AS25" s="77"/>
      <c r="AT25" s="74"/>
      <c r="AU25" s="78"/>
      <c r="AV25" s="79"/>
      <c r="AW25" s="84"/>
      <c r="AX25" s="75"/>
      <c r="AY25" s="75"/>
      <c r="AZ25" s="77"/>
      <c r="BA25" s="74"/>
      <c r="BB25" s="75"/>
      <c r="BC25" s="75"/>
      <c r="BD25" s="77"/>
      <c r="BE25" s="6">
        <f t="shared" si="5"/>
        <v>0</v>
      </c>
    </row>
    <row r="26" spans="1:57">
      <c r="A26" s="61"/>
      <c r="B26" s="40"/>
      <c r="C26" s="62">
        <f t="shared" si="0"/>
        <v>0</v>
      </c>
      <c r="D26" s="63">
        <f t="shared" si="1"/>
        <v>0</v>
      </c>
      <c r="E26" s="63">
        <f t="shared" si="2"/>
        <v>0</v>
      </c>
      <c r="F26" s="63">
        <f t="shared" si="3"/>
        <v>0</v>
      </c>
      <c r="G26" s="63">
        <f t="shared" si="6"/>
        <v>0</v>
      </c>
      <c r="H26" s="63">
        <f t="shared" si="4"/>
        <v>0</v>
      </c>
      <c r="I26" s="64">
        <f t="shared" si="7"/>
        <v>0</v>
      </c>
      <c r="J26" s="65"/>
      <c r="K26" s="65"/>
      <c r="L26" s="83"/>
      <c r="M26" s="67"/>
      <c r="N26" s="68"/>
      <c r="O26" s="62"/>
      <c r="P26" s="69"/>
      <c r="Q26" s="70"/>
      <c r="R26" s="50">
        <f t="shared" si="8"/>
        <v>0</v>
      </c>
      <c r="S26" s="71"/>
      <c r="T26" s="85"/>
      <c r="U26" s="81"/>
      <c r="V26" s="73"/>
      <c r="W26" s="74"/>
      <c r="X26" s="75"/>
      <c r="Y26" s="75"/>
      <c r="Z26" s="76"/>
      <c r="AA26" s="77"/>
      <c r="AB26" s="73"/>
      <c r="AC26" s="74"/>
      <c r="AD26" s="75"/>
      <c r="AE26" s="75"/>
      <c r="AF26" s="75"/>
      <c r="AG26" s="75"/>
      <c r="AH26" s="75"/>
      <c r="AI26" s="75"/>
      <c r="AJ26" s="78"/>
      <c r="AK26" s="79"/>
      <c r="AL26" s="75"/>
      <c r="AM26" s="75"/>
      <c r="AN26" s="75"/>
      <c r="AO26" s="75"/>
      <c r="AP26" s="75"/>
      <c r="AQ26" s="75"/>
      <c r="AR26" s="75"/>
      <c r="AS26" s="77"/>
      <c r="AT26" s="74"/>
      <c r="AU26" s="78"/>
      <c r="AV26" s="79"/>
      <c r="AW26" s="84"/>
      <c r="AX26" s="75"/>
      <c r="AY26" s="75"/>
      <c r="AZ26" s="77"/>
      <c r="BA26" s="74"/>
      <c r="BB26" s="75"/>
      <c r="BC26" s="75"/>
      <c r="BD26" s="77"/>
      <c r="BE26" s="6">
        <f t="shared" si="5"/>
        <v>0</v>
      </c>
    </row>
    <row r="27" spans="1:57">
      <c r="A27" s="61"/>
      <c r="B27" s="40"/>
      <c r="C27" s="62">
        <f t="shared" si="0"/>
        <v>0</v>
      </c>
      <c r="D27" s="63">
        <f t="shared" si="1"/>
        <v>0</v>
      </c>
      <c r="E27" s="63">
        <f t="shared" si="2"/>
        <v>0</v>
      </c>
      <c r="F27" s="63">
        <f t="shared" si="3"/>
        <v>0</v>
      </c>
      <c r="G27" s="63">
        <f t="shared" si="6"/>
        <v>0</v>
      </c>
      <c r="H27" s="63">
        <f t="shared" si="4"/>
        <v>0</v>
      </c>
      <c r="I27" s="64">
        <f t="shared" si="7"/>
        <v>0</v>
      </c>
      <c r="J27" s="65"/>
      <c r="K27" s="65"/>
      <c r="L27" s="83"/>
      <c r="M27" s="67"/>
      <c r="N27" s="68"/>
      <c r="O27" s="62"/>
      <c r="P27" s="69"/>
      <c r="Q27" s="70"/>
      <c r="R27" s="50">
        <f t="shared" si="8"/>
        <v>0</v>
      </c>
      <c r="S27" s="71"/>
      <c r="T27" s="86"/>
      <c r="U27" s="81"/>
      <c r="V27" s="73"/>
      <c r="W27" s="74"/>
      <c r="X27" s="75"/>
      <c r="Y27" s="75"/>
      <c r="Z27" s="76"/>
      <c r="AA27" s="77"/>
      <c r="AB27" s="73"/>
      <c r="AC27" s="74"/>
      <c r="AD27" s="75"/>
      <c r="AE27" s="75"/>
      <c r="AF27" s="75"/>
      <c r="AG27" s="75"/>
      <c r="AH27" s="75"/>
      <c r="AI27" s="75"/>
      <c r="AJ27" s="78"/>
      <c r="AK27" s="79"/>
      <c r="AL27" s="75"/>
      <c r="AM27" s="75"/>
      <c r="AN27" s="75"/>
      <c r="AO27" s="75"/>
      <c r="AP27" s="75"/>
      <c r="AQ27" s="75"/>
      <c r="AR27" s="75"/>
      <c r="AS27" s="77"/>
      <c r="AT27" s="74"/>
      <c r="AU27" s="78"/>
      <c r="AV27" s="79"/>
      <c r="AW27" s="75"/>
      <c r="AX27" s="75"/>
      <c r="AY27" s="75"/>
      <c r="AZ27" s="77"/>
      <c r="BA27" s="74"/>
      <c r="BB27" s="75"/>
      <c r="BC27" s="75"/>
      <c r="BD27" s="77"/>
      <c r="BE27" s="6">
        <f t="shared" si="5"/>
        <v>0</v>
      </c>
    </row>
    <row r="28" spans="1:57">
      <c r="A28" s="61"/>
      <c r="B28" s="40"/>
      <c r="C28" s="62">
        <f t="shared" si="0"/>
        <v>0</v>
      </c>
      <c r="D28" s="63">
        <f t="shared" si="1"/>
        <v>0</v>
      </c>
      <c r="E28" s="63">
        <f t="shared" si="2"/>
        <v>0</v>
      </c>
      <c r="F28" s="63">
        <f t="shared" si="3"/>
        <v>0</v>
      </c>
      <c r="G28" s="63">
        <f t="shared" si="6"/>
        <v>0</v>
      </c>
      <c r="H28" s="63">
        <f t="shared" si="4"/>
        <v>0</v>
      </c>
      <c r="I28" s="64">
        <f t="shared" si="7"/>
        <v>0</v>
      </c>
      <c r="J28" s="65"/>
      <c r="K28" s="65"/>
      <c r="L28" s="83"/>
      <c r="M28" s="67"/>
      <c r="N28" s="68"/>
      <c r="O28" s="62"/>
      <c r="P28" s="69"/>
      <c r="Q28" s="70"/>
      <c r="R28" s="50">
        <f t="shared" si="8"/>
        <v>0</v>
      </c>
      <c r="S28" s="71"/>
      <c r="T28" s="69"/>
      <c r="U28" s="81"/>
      <c r="V28" s="73"/>
      <c r="W28" s="74"/>
      <c r="X28" s="75"/>
      <c r="Y28" s="75"/>
      <c r="Z28" s="76"/>
      <c r="AA28" s="77"/>
      <c r="AB28" s="73"/>
      <c r="AC28" s="74"/>
      <c r="AD28" s="75"/>
      <c r="AE28" s="75"/>
      <c r="AF28" s="75"/>
      <c r="AG28" s="75"/>
      <c r="AH28" s="75"/>
      <c r="AI28" s="75"/>
      <c r="AJ28" s="78"/>
      <c r="AK28" s="79"/>
      <c r="AL28" s="75"/>
      <c r="AM28" s="75"/>
      <c r="AN28" s="75"/>
      <c r="AO28" s="75"/>
      <c r="AP28" s="75"/>
      <c r="AQ28" s="75"/>
      <c r="AR28" s="75"/>
      <c r="AS28" s="77"/>
      <c r="AT28" s="74"/>
      <c r="AU28" s="78"/>
      <c r="AV28" s="79"/>
      <c r="AW28" s="75"/>
      <c r="AX28" s="75"/>
      <c r="AY28" s="75"/>
      <c r="AZ28" s="77"/>
      <c r="BA28" s="74"/>
      <c r="BB28" s="75"/>
      <c r="BC28" s="75"/>
      <c r="BD28" s="77"/>
      <c r="BE28" s="6">
        <f t="shared" si="5"/>
        <v>0</v>
      </c>
    </row>
    <row r="29" spans="1:57">
      <c r="A29" s="61"/>
      <c r="B29" s="40"/>
      <c r="C29" s="62">
        <f t="shared" si="0"/>
        <v>0</v>
      </c>
      <c r="D29" s="63">
        <f t="shared" si="1"/>
        <v>0</v>
      </c>
      <c r="E29" s="63">
        <f t="shared" si="2"/>
        <v>0</v>
      </c>
      <c r="F29" s="63">
        <f t="shared" si="3"/>
        <v>0</v>
      </c>
      <c r="G29" s="63">
        <f t="shared" si="6"/>
        <v>0</v>
      </c>
      <c r="H29" s="63">
        <f t="shared" si="4"/>
        <v>0</v>
      </c>
      <c r="I29" s="64">
        <f t="shared" si="7"/>
        <v>0</v>
      </c>
      <c r="J29" s="65"/>
      <c r="K29" s="65"/>
      <c r="L29" s="83"/>
      <c r="M29" s="67"/>
      <c r="N29" s="68"/>
      <c r="O29" s="62"/>
      <c r="P29" s="69"/>
      <c r="Q29" s="70"/>
      <c r="R29" s="50">
        <f t="shared" si="8"/>
        <v>0</v>
      </c>
      <c r="S29" s="71"/>
      <c r="T29" s="86"/>
      <c r="U29" s="72"/>
      <c r="V29" s="73"/>
      <c r="W29" s="74"/>
      <c r="X29" s="75"/>
      <c r="Y29" s="75"/>
      <c r="Z29" s="76"/>
      <c r="AA29" s="77"/>
      <c r="AB29" s="73"/>
      <c r="AC29" s="74"/>
      <c r="AD29" s="75"/>
      <c r="AE29" s="75"/>
      <c r="AF29" s="75"/>
      <c r="AG29" s="75"/>
      <c r="AH29" s="75"/>
      <c r="AI29" s="75"/>
      <c r="AJ29" s="78"/>
      <c r="AK29" s="79"/>
      <c r="AL29" s="75"/>
      <c r="AM29" s="75"/>
      <c r="AN29" s="75"/>
      <c r="AO29" s="75"/>
      <c r="AP29" s="75"/>
      <c r="AQ29" s="75"/>
      <c r="AR29" s="75"/>
      <c r="AS29" s="77"/>
      <c r="AT29" s="74"/>
      <c r="AU29" s="78"/>
      <c r="AV29" s="79"/>
      <c r="AW29" s="75"/>
      <c r="AX29" s="75"/>
      <c r="AY29" s="75"/>
      <c r="AZ29" s="77"/>
      <c r="BA29" s="74"/>
      <c r="BB29" s="75"/>
      <c r="BC29" s="75"/>
      <c r="BD29" s="77"/>
      <c r="BE29" s="6">
        <f t="shared" si="5"/>
        <v>0</v>
      </c>
    </row>
    <row r="30" spans="1:57">
      <c r="A30" s="61"/>
      <c r="B30" s="40"/>
      <c r="C30" s="62">
        <f t="shared" si="0"/>
        <v>0</v>
      </c>
      <c r="D30" s="63">
        <f t="shared" si="1"/>
        <v>0</v>
      </c>
      <c r="E30" s="63">
        <f t="shared" si="2"/>
        <v>0</v>
      </c>
      <c r="F30" s="63">
        <f t="shared" si="3"/>
        <v>0</v>
      </c>
      <c r="G30" s="63">
        <f t="shared" si="6"/>
        <v>0</v>
      </c>
      <c r="H30" s="63">
        <f t="shared" si="4"/>
        <v>0</v>
      </c>
      <c r="I30" s="64">
        <f t="shared" si="7"/>
        <v>0</v>
      </c>
      <c r="J30" s="65"/>
      <c r="K30" s="65"/>
      <c r="L30" s="83"/>
      <c r="M30" s="67"/>
      <c r="N30" s="68"/>
      <c r="O30" s="62"/>
      <c r="P30" s="69"/>
      <c r="Q30" s="70"/>
      <c r="R30" s="50">
        <f t="shared" si="8"/>
        <v>0</v>
      </c>
      <c r="S30" s="71"/>
      <c r="T30" s="69"/>
      <c r="U30" s="81"/>
      <c r="V30" s="73"/>
      <c r="W30" s="74"/>
      <c r="X30" s="75"/>
      <c r="Y30" s="75"/>
      <c r="Z30" s="76"/>
      <c r="AA30" s="77"/>
      <c r="AB30" s="73"/>
      <c r="AC30" s="74"/>
      <c r="AD30" s="75"/>
      <c r="AE30" s="75"/>
      <c r="AF30" s="75"/>
      <c r="AG30" s="75"/>
      <c r="AH30" s="75"/>
      <c r="AI30" s="75"/>
      <c r="AJ30" s="78"/>
      <c r="AK30" s="79"/>
      <c r="AL30" s="75"/>
      <c r="AM30" s="75"/>
      <c r="AN30" s="75"/>
      <c r="AO30" s="75"/>
      <c r="AP30" s="75"/>
      <c r="AQ30" s="75"/>
      <c r="AR30" s="75"/>
      <c r="AS30" s="77"/>
      <c r="AT30" s="74"/>
      <c r="AU30" s="78"/>
      <c r="AV30" s="79"/>
      <c r="AW30" s="75"/>
      <c r="AX30" s="75"/>
      <c r="AY30" s="75"/>
      <c r="AZ30" s="77"/>
      <c r="BA30" s="74"/>
      <c r="BB30" s="75"/>
      <c r="BC30" s="75"/>
      <c r="BD30" s="77"/>
      <c r="BE30" s="6">
        <f t="shared" si="5"/>
        <v>0</v>
      </c>
    </row>
    <row r="31" spans="1:57">
      <c r="A31" s="61"/>
      <c r="B31" s="40"/>
      <c r="C31" s="62">
        <f t="shared" si="0"/>
        <v>0</v>
      </c>
      <c r="D31" s="63">
        <f t="shared" si="1"/>
        <v>0</v>
      </c>
      <c r="E31" s="63">
        <f t="shared" si="2"/>
        <v>0</v>
      </c>
      <c r="F31" s="63">
        <f t="shared" si="3"/>
        <v>0</v>
      </c>
      <c r="G31" s="63">
        <f t="shared" si="6"/>
        <v>0</v>
      </c>
      <c r="H31" s="63">
        <f t="shared" si="4"/>
        <v>0</v>
      </c>
      <c r="I31" s="64">
        <f t="shared" si="7"/>
        <v>0</v>
      </c>
      <c r="J31" s="65"/>
      <c r="K31" s="65"/>
      <c r="L31" s="83"/>
      <c r="M31" s="67"/>
      <c r="N31" s="68"/>
      <c r="O31" s="62"/>
      <c r="P31" s="69"/>
      <c r="Q31" s="70"/>
      <c r="R31" s="50">
        <f t="shared" si="8"/>
        <v>0</v>
      </c>
      <c r="S31" s="71"/>
      <c r="T31" s="69"/>
      <c r="U31" s="81"/>
      <c r="V31" s="73"/>
      <c r="W31" s="74"/>
      <c r="X31" s="75"/>
      <c r="Y31" s="75"/>
      <c r="Z31" s="76"/>
      <c r="AA31" s="77"/>
      <c r="AB31" s="87"/>
      <c r="AC31" s="88"/>
      <c r="AD31" s="89"/>
      <c r="AE31" s="89"/>
      <c r="AF31" s="89"/>
      <c r="AG31" s="89"/>
      <c r="AH31" s="89"/>
      <c r="AI31" s="89"/>
      <c r="AJ31" s="90"/>
      <c r="AK31" s="79"/>
      <c r="AL31" s="75"/>
      <c r="AM31" s="75"/>
      <c r="AN31" s="75"/>
      <c r="AO31" s="75"/>
      <c r="AP31" s="75"/>
      <c r="AQ31" s="75"/>
      <c r="AR31" s="75"/>
      <c r="AS31" s="77"/>
      <c r="AT31" s="74"/>
      <c r="AU31" s="78"/>
      <c r="AV31" s="79"/>
      <c r="AW31" s="75"/>
      <c r="AX31" s="75"/>
      <c r="AY31" s="75"/>
      <c r="AZ31" s="77"/>
      <c r="BA31" s="74"/>
      <c r="BB31" s="75"/>
      <c r="BC31" s="75"/>
      <c r="BD31" s="77"/>
      <c r="BE31" s="6">
        <f t="shared" si="5"/>
        <v>0</v>
      </c>
    </row>
    <row r="32" spans="1:57">
      <c r="A32" s="61"/>
      <c r="B32" s="40"/>
      <c r="C32" s="62">
        <f t="shared" si="0"/>
        <v>0</v>
      </c>
      <c r="D32" s="63">
        <f t="shared" si="1"/>
        <v>0</v>
      </c>
      <c r="E32" s="63">
        <f t="shared" si="2"/>
        <v>0</v>
      </c>
      <c r="F32" s="63">
        <f t="shared" si="3"/>
        <v>0</v>
      </c>
      <c r="G32" s="63">
        <f t="shared" si="6"/>
        <v>0</v>
      </c>
      <c r="H32" s="63">
        <f t="shared" si="4"/>
        <v>0</v>
      </c>
      <c r="I32" s="64">
        <f t="shared" si="7"/>
        <v>0</v>
      </c>
      <c r="J32" s="65"/>
      <c r="K32" s="65"/>
      <c r="L32" s="83"/>
      <c r="M32" s="67"/>
      <c r="N32" s="68"/>
      <c r="O32" s="62"/>
      <c r="P32" s="69"/>
      <c r="Q32" s="70"/>
      <c r="R32" s="50">
        <f t="shared" si="8"/>
        <v>0</v>
      </c>
      <c r="S32" s="71"/>
      <c r="T32" s="86"/>
      <c r="U32" s="81"/>
      <c r="V32" s="73"/>
      <c r="W32" s="74"/>
      <c r="X32" s="75"/>
      <c r="Y32" s="75"/>
      <c r="Z32" s="76"/>
      <c r="AA32" s="77"/>
      <c r="AB32" s="87"/>
      <c r="AC32" s="88"/>
      <c r="AD32" s="89"/>
      <c r="AE32" s="89"/>
      <c r="AF32" s="89"/>
      <c r="AG32" s="89"/>
      <c r="AH32" s="89"/>
      <c r="AI32" s="89"/>
      <c r="AJ32" s="90"/>
      <c r="AK32" s="79"/>
      <c r="AL32" s="75"/>
      <c r="AM32" s="75"/>
      <c r="AN32" s="75"/>
      <c r="AO32" s="75"/>
      <c r="AP32" s="75"/>
      <c r="AQ32" s="75"/>
      <c r="AR32" s="75"/>
      <c r="AS32" s="77"/>
      <c r="AT32" s="74"/>
      <c r="AU32" s="78"/>
      <c r="AV32" s="79"/>
      <c r="AW32" s="75"/>
      <c r="AX32" s="75"/>
      <c r="AY32" s="75"/>
      <c r="AZ32" s="77"/>
      <c r="BA32" s="74"/>
      <c r="BB32" s="75"/>
      <c r="BC32" s="75"/>
      <c r="BD32" s="77"/>
      <c r="BE32" s="6">
        <f t="shared" si="5"/>
        <v>0</v>
      </c>
    </row>
    <row r="33" spans="1:57">
      <c r="A33" s="61"/>
      <c r="B33" s="40"/>
      <c r="C33" s="62">
        <f t="shared" si="0"/>
        <v>0</v>
      </c>
      <c r="D33" s="63">
        <f t="shared" si="1"/>
        <v>0</v>
      </c>
      <c r="E33" s="63">
        <f t="shared" si="2"/>
        <v>0</v>
      </c>
      <c r="F33" s="63">
        <f t="shared" si="3"/>
        <v>0</v>
      </c>
      <c r="G33" s="63">
        <f t="shared" si="6"/>
        <v>0</v>
      </c>
      <c r="H33" s="63">
        <f t="shared" si="4"/>
        <v>0</v>
      </c>
      <c r="I33" s="64">
        <f t="shared" si="7"/>
        <v>0</v>
      </c>
      <c r="J33" s="65"/>
      <c r="K33" s="65"/>
      <c r="L33" s="83"/>
      <c r="M33" s="67"/>
      <c r="N33" s="68"/>
      <c r="O33" s="62"/>
      <c r="P33" s="69"/>
      <c r="Q33" s="70"/>
      <c r="R33" s="50">
        <f t="shared" si="8"/>
        <v>0</v>
      </c>
      <c r="S33" s="71"/>
      <c r="T33" s="86"/>
      <c r="U33" s="81"/>
      <c r="V33" s="73"/>
      <c r="W33" s="74"/>
      <c r="X33" s="75"/>
      <c r="Y33" s="75"/>
      <c r="Z33" s="76"/>
      <c r="AA33" s="77"/>
      <c r="AB33" s="87"/>
      <c r="AC33" s="88"/>
      <c r="AD33" s="89"/>
      <c r="AE33" s="89"/>
      <c r="AF33" s="89"/>
      <c r="AG33" s="89"/>
      <c r="AH33" s="89"/>
      <c r="AI33" s="89"/>
      <c r="AJ33" s="90"/>
      <c r="AK33" s="79"/>
      <c r="AL33" s="75"/>
      <c r="AM33" s="75"/>
      <c r="AN33" s="75"/>
      <c r="AO33" s="75"/>
      <c r="AP33" s="75"/>
      <c r="AQ33" s="75"/>
      <c r="AR33" s="75"/>
      <c r="AS33" s="77"/>
      <c r="AT33" s="74"/>
      <c r="AU33" s="78"/>
      <c r="AV33" s="79"/>
      <c r="AW33" s="75"/>
      <c r="AX33" s="75"/>
      <c r="AY33" s="75"/>
      <c r="AZ33" s="77"/>
      <c r="BA33" s="74"/>
      <c r="BB33" s="75"/>
      <c r="BC33" s="75"/>
      <c r="BD33" s="77"/>
      <c r="BE33" s="6">
        <f t="shared" si="5"/>
        <v>0</v>
      </c>
    </row>
    <row r="34" spans="1:57">
      <c r="A34" s="61"/>
      <c r="B34" s="40"/>
      <c r="C34" s="62">
        <f t="shared" si="0"/>
        <v>0</v>
      </c>
      <c r="D34" s="63">
        <f t="shared" si="1"/>
        <v>0</v>
      </c>
      <c r="E34" s="63">
        <f t="shared" si="2"/>
        <v>0</v>
      </c>
      <c r="F34" s="63">
        <f t="shared" si="3"/>
        <v>0</v>
      </c>
      <c r="G34" s="63">
        <f t="shared" si="6"/>
        <v>0</v>
      </c>
      <c r="H34" s="63">
        <f t="shared" si="4"/>
        <v>0</v>
      </c>
      <c r="I34" s="64">
        <f t="shared" si="7"/>
        <v>0</v>
      </c>
      <c r="J34" s="65"/>
      <c r="K34" s="65"/>
      <c r="L34" s="83"/>
      <c r="M34" s="67"/>
      <c r="N34" s="68"/>
      <c r="O34" s="62"/>
      <c r="P34" s="69"/>
      <c r="Q34" s="70"/>
      <c r="R34" s="50">
        <f t="shared" si="8"/>
        <v>0</v>
      </c>
      <c r="S34" s="71"/>
      <c r="T34" s="86"/>
      <c r="U34" s="81"/>
      <c r="V34" s="73"/>
      <c r="W34" s="74"/>
      <c r="X34" s="75"/>
      <c r="Y34" s="75"/>
      <c r="Z34" s="76"/>
      <c r="AA34" s="77"/>
      <c r="AB34" s="73"/>
      <c r="AC34" s="74"/>
      <c r="AD34" s="75"/>
      <c r="AE34" s="75"/>
      <c r="AF34" s="75"/>
      <c r="AG34" s="75"/>
      <c r="AH34" s="75"/>
      <c r="AI34" s="75"/>
      <c r="AJ34" s="78"/>
      <c r="AK34" s="79"/>
      <c r="AL34" s="75"/>
      <c r="AM34" s="75"/>
      <c r="AN34" s="75"/>
      <c r="AO34" s="75"/>
      <c r="AP34" s="75"/>
      <c r="AQ34" s="75"/>
      <c r="AR34" s="75"/>
      <c r="AS34" s="77"/>
      <c r="AT34" s="74"/>
      <c r="AU34" s="78"/>
      <c r="AV34" s="79"/>
      <c r="AW34" s="75"/>
      <c r="AX34" s="75"/>
      <c r="AY34" s="75"/>
      <c r="AZ34" s="77"/>
      <c r="BA34" s="74"/>
      <c r="BB34" s="75"/>
      <c r="BC34" s="75"/>
      <c r="BD34" s="77"/>
      <c r="BE34" s="6">
        <f t="shared" si="5"/>
        <v>0</v>
      </c>
    </row>
    <row r="35" spans="1:57" ht="19.5" customHeight="1">
      <c r="A35" s="61"/>
      <c r="B35" s="40"/>
      <c r="C35" s="62">
        <f t="shared" si="0"/>
        <v>0</v>
      </c>
      <c r="D35" s="63">
        <f t="shared" si="1"/>
        <v>0</v>
      </c>
      <c r="E35" s="63">
        <f t="shared" si="2"/>
        <v>0</v>
      </c>
      <c r="F35" s="63">
        <f t="shared" si="3"/>
        <v>0</v>
      </c>
      <c r="G35" s="63">
        <f t="shared" si="6"/>
        <v>0</v>
      </c>
      <c r="H35" s="63">
        <f t="shared" si="4"/>
        <v>0</v>
      </c>
      <c r="I35" s="64">
        <f t="shared" si="7"/>
        <v>0</v>
      </c>
      <c r="J35" s="65"/>
      <c r="K35" s="65"/>
      <c r="L35" s="83"/>
      <c r="M35" s="67"/>
      <c r="N35" s="68"/>
      <c r="O35" s="62"/>
      <c r="P35" s="69"/>
      <c r="Q35" s="70"/>
      <c r="R35" s="50">
        <f t="shared" si="8"/>
        <v>0</v>
      </c>
      <c r="S35" s="71"/>
      <c r="T35" s="86"/>
      <c r="U35" s="81"/>
      <c r="V35" s="73"/>
      <c r="W35" s="74"/>
      <c r="X35" s="75"/>
      <c r="Y35" s="75"/>
      <c r="Z35" s="76"/>
      <c r="AA35" s="77"/>
      <c r="AB35" s="87"/>
      <c r="AC35" s="88"/>
      <c r="AD35" s="89"/>
      <c r="AE35" s="89"/>
      <c r="AF35" s="89"/>
      <c r="AG35" s="89"/>
      <c r="AH35" s="89"/>
      <c r="AI35" s="89"/>
      <c r="AJ35" s="90"/>
      <c r="AK35" s="79"/>
      <c r="AL35" s="75"/>
      <c r="AM35" s="75"/>
      <c r="AN35" s="75"/>
      <c r="AO35" s="75"/>
      <c r="AP35" s="75"/>
      <c r="AQ35" s="75"/>
      <c r="AR35" s="75"/>
      <c r="AS35" s="77"/>
      <c r="AT35" s="74"/>
      <c r="AU35" s="78"/>
      <c r="AV35" s="79"/>
      <c r="AW35" s="75"/>
      <c r="AX35" s="75"/>
      <c r="AY35" s="75"/>
      <c r="AZ35" s="77"/>
      <c r="BA35" s="74"/>
      <c r="BB35" s="75"/>
      <c r="BC35" s="75"/>
      <c r="BD35" s="77"/>
      <c r="BE35" s="6">
        <f t="shared" si="5"/>
        <v>0</v>
      </c>
    </row>
    <row r="36" spans="1:57">
      <c r="A36" s="61"/>
      <c r="B36" s="40"/>
      <c r="C36" s="62">
        <f t="shared" si="0"/>
        <v>0</v>
      </c>
      <c r="D36" s="63">
        <f t="shared" si="1"/>
        <v>0</v>
      </c>
      <c r="E36" s="63">
        <f t="shared" si="2"/>
        <v>0</v>
      </c>
      <c r="F36" s="63">
        <f t="shared" si="3"/>
        <v>0</v>
      </c>
      <c r="G36" s="63">
        <f t="shared" si="6"/>
        <v>0</v>
      </c>
      <c r="H36" s="63">
        <f t="shared" si="4"/>
        <v>0</v>
      </c>
      <c r="I36" s="64">
        <f t="shared" si="7"/>
        <v>0</v>
      </c>
      <c r="J36" s="65"/>
      <c r="K36" s="65"/>
      <c r="L36" s="83"/>
      <c r="M36" s="67"/>
      <c r="N36" s="68"/>
      <c r="O36" s="62"/>
      <c r="P36" s="69"/>
      <c r="Q36" s="70"/>
      <c r="R36" s="50">
        <f t="shared" si="8"/>
        <v>0</v>
      </c>
      <c r="S36" s="71"/>
      <c r="T36" s="86"/>
      <c r="U36" s="81"/>
      <c r="V36" s="73"/>
      <c r="W36" s="74"/>
      <c r="X36" s="75"/>
      <c r="Y36" s="75"/>
      <c r="Z36" s="76"/>
      <c r="AA36" s="77"/>
      <c r="AB36" s="73"/>
      <c r="AC36" s="74"/>
      <c r="AD36" s="75"/>
      <c r="AE36" s="75"/>
      <c r="AF36" s="75"/>
      <c r="AG36" s="75"/>
      <c r="AH36" s="75"/>
      <c r="AI36" s="75"/>
      <c r="AJ36" s="78"/>
      <c r="AK36" s="79"/>
      <c r="AL36" s="75"/>
      <c r="AM36" s="75"/>
      <c r="AN36" s="75"/>
      <c r="AO36" s="75"/>
      <c r="AP36" s="75"/>
      <c r="AQ36" s="75"/>
      <c r="AR36" s="75"/>
      <c r="AS36" s="77"/>
      <c r="AT36" s="74"/>
      <c r="AU36" s="78"/>
      <c r="AV36" s="79"/>
      <c r="AW36" s="75"/>
      <c r="AX36" s="75"/>
      <c r="AY36" s="75"/>
      <c r="AZ36" s="77"/>
      <c r="BA36" s="74"/>
      <c r="BB36" s="75"/>
      <c r="BC36" s="75"/>
      <c r="BD36" s="77"/>
      <c r="BE36" s="6">
        <f t="shared" si="5"/>
        <v>0</v>
      </c>
    </row>
    <row r="37" spans="1:57">
      <c r="A37" s="61"/>
      <c r="B37" s="40"/>
      <c r="C37" s="62">
        <f t="shared" ref="C37:C68" si="9">SUM(AB37:AJ37)</f>
        <v>0</v>
      </c>
      <c r="D37" s="63">
        <f t="shared" ref="D37:D68" si="10">SUM(AK37:AS37)</f>
        <v>0</v>
      </c>
      <c r="E37" s="63">
        <f t="shared" ref="E37:E68" si="11">SUM(AT37:AU37)</f>
        <v>0</v>
      </c>
      <c r="F37" s="63">
        <f t="shared" ref="F37:F68" si="12">SUM(AV37:AZ37)</f>
        <v>0</v>
      </c>
      <c r="G37" s="63">
        <f t="shared" si="6"/>
        <v>0</v>
      </c>
      <c r="H37" s="63">
        <f t="shared" ref="H37:H68" si="13">SUM(V37:AA37)</f>
        <v>0</v>
      </c>
      <c r="I37" s="64">
        <f t="shared" si="7"/>
        <v>0</v>
      </c>
      <c r="J37" s="91"/>
      <c r="K37" s="65"/>
      <c r="L37" s="83"/>
      <c r="M37" s="67"/>
      <c r="N37" s="68"/>
      <c r="O37" s="62"/>
      <c r="P37" s="69"/>
      <c r="Q37" s="70"/>
      <c r="R37" s="50">
        <f t="shared" si="8"/>
        <v>0</v>
      </c>
      <c r="S37" s="92"/>
      <c r="T37" s="69"/>
      <c r="U37" s="93"/>
      <c r="V37" s="73"/>
      <c r="W37" s="74"/>
      <c r="X37" s="75"/>
      <c r="Y37" s="75"/>
      <c r="Z37" s="76"/>
      <c r="AA37" s="77"/>
      <c r="AB37" s="87"/>
      <c r="AC37" s="88"/>
      <c r="AD37" s="89"/>
      <c r="AE37" s="89"/>
      <c r="AF37" s="89"/>
      <c r="AG37" s="89"/>
      <c r="AH37" s="89"/>
      <c r="AI37" s="89"/>
      <c r="AJ37" s="90"/>
      <c r="AK37" s="79"/>
      <c r="AL37" s="75"/>
      <c r="AM37" s="75"/>
      <c r="AN37" s="75"/>
      <c r="AO37" s="75"/>
      <c r="AP37" s="75"/>
      <c r="AQ37" s="75"/>
      <c r="AR37" s="75"/>
      <c r="AS37" s="77"/>
      <c r="AT37" s="74"/>
      <c r="AU37" s="78"/>
      <c r="AV37" s="79"/>
      <c r="AW37" s="75"/>
      <c r="AX37" s="75"/>
      <c r="AY37" s="75"/>
      <c r="AZ37" s="77"/>
      <c r="BA37" s="74"/>
      <c r="BB37" s="75"/>
      <c r="BC37" s="75"/>
      <c r="BD37" s="77"/>
      <c r="BE37" s="6">
        <f t="shared" si="5"/>
        <v>0</v>
      </c>
    </row>
    <row r="38" spans="1:57">
      <c r="A38" s="61"/>
      <c r="B38" s="40"/>
      <c r="C38" s="62">
        <f t="shared" si="9"/>
        <v>0</v>
      </c>
      <c r="D38" s="63">
        <f t="shared" si="10"/>
        <v>0</v>
      </c>
      <c r="E38" s="63">
        <f t="shared" si="11"/>
        <v>0</v>
      </c>
      <c r="F38" s="63">
        <f t="shared" si="12"/>
        <v>0</v>
      </c>
      <c r="G38" s="63">
        <f t="shared" si="6"/>
        <v>0</v>
      </c>
      <c r="H38" s="63">
        <f t="shared" si="13"/>
        <v>0</v>
      </c>
      <c r="I38" s="64">
        <f t="shared" si="7"/>
        <v>0</v>
      </c>
      <c r="J38" s="65"/>
      <c r="K38" s="65"/>
      <c r="L38" s="83"/>
      <c r="M38" s="67"/>
      <c r="N38" s="68"/>
      <c r="O38" s="62"/>
      <c r="P38" s="69"/>
      <c r="Q38" s="70"/>
      <c r="R38" s="50">
        <f t="shared" si="8"/>
        <v>0</v>
      </c>
      <c r="S38" s="92"/>
      <c r="T38" s="94"/>
      <c r="U38" s="72"/>
      <c r="V38" s="73"/>
      <c r="W38" s="74"/>
      <c r="X38" s="75"/>
      <c r="Y38" s="75"/>
      <c r="Z38" s="76"/>
      <c r="AA38" s="77"/>
      <c r="AB38" s="73"/>
      <c r="AC38" s="74"/>
      <c r="AD38" s="75"/>
      <c r="AE38" s="75"/>
      <c r="AF38" s="75"/>
      <c r="AG38" s="75"/>
      <c r="AH38" s="75"/>
      <c r="AI38" s="75"/>
      <c r="AJ38" s="78"/>
      <c r="AK38" s="79"/>
      <c r="AL38" s="75"/>
      <c r="AM38" s="75"/>
      <c r="AN38" s="75"/>
      <c r="AO38" s="75"/>
      <c r="AP38" s="75"/>
      <c r="AQ38" s="75"/>
      <c r="AR38" s="75"/>
      <c r="AS38" s="77"/>
      <c r="AT38" s="74"/>
      <c r="AU38" s="78"/>
      <c r="AV38" s="79"/>
      <c r="AW38" s="75"/>
      <c r="AX38" s="75"/>
      <c r="AY38" s="75"/>
      <c r="AZ38" s="77"/>
      <c r="BA38" s="74"/>
      <c r="BB38" s="75"/>
      <c r="BC38" s="75"/>
      <c r="BD38" s="77"/>
      <c r="BE38" s="6">
        <f t="shared" si="5"/>
        <v>0</v>
      </c>
    </row>
    <row r="39" spans="1:57">
      <c r="A39" s="61"/>
      <c r="B39" s="40"/>
      <c r="C39" s="62">
        <f t="shared" si="9"/>
        <v>0</v>
      </c>
      <c r="D39" s="63">
        <f t="shared" si="10"/>
        <v>0</v>
      </c>
      <c r="E39" s="63">
        <f t="shared" si="11"/>
        <v>0</v>
      </c>
      <c r="F39" s="63">
        <f t="shared" si="12"/>
        <v>0</v>
      </c>
      <c r="G39" s="63">
        <f t="shared" si="6"/>
        <v>0</v>
      </c>
      <c r="H39" s="63">
        <f t="shared" si="13"/>
        <v>0</v>
      </c>
      <c r="I39" s="64">
        <f t="shared" si="7"/>
        <v>0</v>
      </c>
      <c r="J39" s="65"/>
      <c r="K39" s="65"/>
      <c r="L39" s="83"/>
      <c r="M39" s="67"/>
      <c r="N39" s="68"/>
      <c r="O39" s="62"/>
      <c r="P39" s="69"/>
      <c r="Q39" s="70"/>
      <c r="R39" s="50">
        <f t="shared" si="8"/>
        <v>0</v>
      </c>
      <c r="S39" s="71"/>
      <c r="T39" s="85"/>
      <c r="U39" s="72"/>
      <c r="V39" s="73"/>
      <c r="W39" s="74"/>
      <c r="X39" s="75"/>
      <c r="Y39" s="75"/>
      <c r="Z39" s="76"/>
      <c r="AA39" s="77"/>
      <c r="AB39" s="73"/>
      <c r="AC39" s="74"/>
      <c r="AD39" s="75"/>
      <c r="AE39" s="75"/>
      <c r="AF39" s="75"/>
      <c r="AG39" s="75"/>
      <c r="AH39" s="75"/>
      <c r="AI39" s="75"/>
      <c r="AJ39" s="78"/>
      <c r="AK39" s="79"/>
      <c r="AL39" s="75"/>
      <c r="AM39" s="75"/>
      <c r="AN39" s="75"/>
      <c r="AO39" s="75"/>
      <c r="AP39" s="75"/>
      <c r="AQ39" s="75"/>
      <c r="AR39" s="75"/>
      <c r="AS39" s="77"/>
      <c r="AT39" s="74"/>
      <c r="AU39" s="78"/>
      <c r="AV39" s="79"/>
      <c r="AW39" s="75"/>
      <c r="AX39" s="75"/>
      <c r="AY39" s="75"/>
      <c r="AZ39" s="77"/>
      <c r="BA39" s="74"/>
      <c r="BB39" s="75"/>
      <c r="BC39" s="75"/>
      <c r="BD39" s="77"/>
      <c r="BE39" s="6">
        <f t="shared" si="5"/>
        <v>0</v>
      </c>
    </row>
    <row r="40" spans="1:57">
      <c r="A40" s="61"/>
      <c r="B40" s="40"/>
      <c r="C40" s="62">
        <f t="shared" si="9"/>
        <v>0</v>
      </c>
      <c r="D40" s="63">
        <f t="shared" si="10"/>
        <v>0</v>
      </c>
      <c r="E40" s="63">
        <f t="shared" si="11"/>
        <v>0</v>
      </c>
      <c r="F40" s="63">
        <f t="shared" si="12"/>
        <v>0</v>
      </c>
      <c r="G40" s="63">
        <f t="shared" si="6"/>
        <v>0</v>
      </c>
      <c r="H40" s="63">
        <f t="shared" si="13"/>
        <v>0</v>
      </c>
      <c r="I40" s="64">
        <f t="shared" si="7"/>
        <v>0</v>
      </c>
      <c r="J40" s="65"/>
      <c r="K40" s="65"/>
      <c r="L40" s="83"/>
      <c r="M40" s="67"/>
      <c r="N40" s="68"/>
      <c r="O40" s="62"/>
      <c r="P40" s="69"/>
      <c r="Q40" s="70"/>
      <c r="R40" s="50">
        <f t="shared" si="8"/>
        <v>0</v>
      </c>
      <c r="S40" s="71"/>
      <c r="T40" s="69"/>
      <c r="U40" s="81"/>
      <c r="V40" s="73"/>
      <c r="W40" s="74"/>
      <c r="X40" s="75"/>
      <c r="Y40" s="75"/>
      <c r="Z40" s="76"/>
      <c r="AA40" s="77"/>
      <c r="AB40" s="73"/>
      <c r="AC40" s="74"/>
      <c r="AD40" s="75"/>
      <c r="AE40" s="75"/>
      <c r="AF40" s="75"/>
      <c r="AG40" s="75"/>
      <c r="AH40" s="75"/>
      <c r="AI40" s="75"/>
      <c r="AJ40" s="78"/>
      <c r="AK40" s="79"/>
      <c r="AL40" s="75"/>
      <c r="AM40" s="75"/>
      <c r="AN40" s="75"/>
      <c r="AO40" s="75"/>
      <c r="AP40" s="75"/>
      <c r="AQ40" s="75"/>
      <c r="AR40" s="75"/>
      <c r="AS40" s="77"/>
      <c r="AT40" s="74"/>
      <c r="AU40" s="78"/>
      <c r="AV40" s="79"/>
      <c r="AW40" s="75"/>
      <c r="AX40" s="75"/>
      <c r="AY40" s="75"/>
      <c r="AZ40" s="77"/>
      <c r="BA40" s="74"/>
      <c r="BB40" s="75"/>
      <c r="BC40" s="75"/>
      <c r="BD40" s="77"/>
      <c r="BE40" s="6">
        <f t="shared" si="5"/>
        <v>0</v>
      </c>
    </row>
    <row r="41" spans="1:57">
      <c r="A41" s="61"/>
      <c r="B41" s="40"/>
      <c r="C41" s="62">
        <f t="shared" si="9"/>
        <v>0</v>
      </c>
      <c r="D41" s="63">
        <f t="shared" si="10"/>
        <v>0</v>
      </c>
      <c r="E41" s="63">
        <f t="shared" si="11"/>
        <v>0</v>
      </c>
      <c r="F41" s="63">
        <f t="shared" si="12"/>
        <v>0</v>
      </c>
      <c r="G41" s="63">
        <f t="shared" si="6"/>
        <v>0</v>
      </c>
      <c r="H41" s="63">
        <f t="shared" si="13"/>
        <v>0</v>
      </c>
      <c r="I41" s="64">
        <f t="shared" si="7"/>
        <v>0</v>
      </c>
      <c r="J41" s="91"/>
      <c r="K41" s="65"/>
      <c r="L41" s="83"/>
      <c r="M41" s="67"/>
      <c r="N41" s="68"/>
      <c r="O41" s="62"/>
      <c r="P41" s="69"/>
      <c r="Q41" s="70"/>
      <c r="R41" s="50">
        <f t="shared" si="8"/>
        <v>0</v>
      </c>
      <c r="S41" s="92"/>
      <c r="T41" s="85"/>
      <c r="U41" s="72"/>
      <c r="V41" s="73"/>
      <c r="W41" s="74"/>
      <c r="X41" s="75"/>
      <c r="Y41" s="75"/>
      <c r="Z41" s="76"/>
      <c r="AA41" s="77"/>
      <c r="AB41" s="87"/>
      <c r="AC41" s="88"/>
      <c r="AD41" s="89"/>
      <c r="AE41" s="89"/>
      <c r="AF41" s="89"/>
      <c r="AG41" s="89"/>
      <c r="AH41" s="89"/>
      <c r="AI41" s="89"/>
      <c r="AJ41" s="90"/>
      <c r="AK41" s="79"/>
      <c r="AL41" s="75"/>
      <c r="AM41" s="75"/>
      <c r="AN41" s="75"/>
      <c r="AO41" s="75"/>
      <c r="AP41" s="75"/>
      <c r="AQ41" s="75"/>
      <c r="AR41" s="75"/>
      <c r="AS41" s="77"/>
      <c r="AT41" s="74"/>
      <c r="AU41" s="78"/>
      <c r="AV41" s="79"/>
      <c r="AW41" s="75"/>
      <c r="AX41" s="75"/>
      <c r="AY41" s="75"/>
      <c r="AZ41" s="77"/>
      <c r="BA41" s="74"/>
      <c r="BB41" s="75"/>
      <c r="BC41" s="75"/>
      <c r="BD41" s="77"/>
      <c r="BE41" s="6">
        <f t="shared" si="5"/>
        <v>0</v>
      </c>
    </row>
    <row r="42" spans="1:57">
      <c r="A42" s="61"/>
      <c r="B42" s="40"/>
      <c r="C42" s="62">
        <f t="shared" si="9"/>
        <v>0</v>
      </c>
      <c r="D42" s="63">
        <f t="shared" si="10"/>
        <v>0</v>
      </c>
      <c r="E42" s="63">
        <f t="shared" si="11"/>
        <v>0</v>
      </c>
      <c r="F42" s="63">
        <f t="shared" si="12"/>
        <v>0</v>
      </c>
      <c r="G42" s="63">
        <f t="shared" si="6"/>
        <v>0</v>
      </c>
      <c r="H42" s="63">
        <f t="shared" si="13"/>
        <v>0</v>
      </c>
      <c r="I42" s="64">
        <f t="shared" si="7"/>
        <v>0</v>
      </c>
      <c r="J42" s="65"/>
      <c r="K42" s="65"/>
      <c r="L42" s="83"/>
      <c r="M42" s="67"/>
      <c r="N42" s="68"/>
      <c r="O42" s="62"/>
      <c r="P42" s="69"/>
      <c r="Q42" s="70"/>
      <c r="R42" s="50">
        <f t="shared" si="8"/>
        <v>0</v>
      </c>
      <c r="S42" s="71"/>
      <c r="T42" s="69"/>
      <c r="U42" s="81"/>
      <c r="V42" s="73"/>
      <c r="W42" s="74"/>
      <c r="X42" s="75"/>
      <c r="Y42" s="75"/>
      <c r="Z42" s="76"/>
      <c r="AA42" s="77"/>
      <c r="AB42" s="74"/>
      <c r="AC42" s="74"/>
      <c r="AD42" s="75"/>
      <c r="AE42" s="75"/>
      <c r="AF42" s="75"/>
      <c r="AG42" s="75"/>
      <c r="AH42" s="75"/>
      <c r="AI42" s="75"/>
      <c r="AJ42" s="78"/>
      <c r="AK42" s="79"/>
      <c r="AL42" s="75"/>
      <c r="AM42" s="75"/>
      <c r="AN42" s="75"/>
      <c r="AO42" s="75"/>
      <c r="AP42" s="95"/>
      <c r="AQ42" s="75"/>
      <c r="AR42" s="75"/>
      <c r="AS42" s="77"/>
      <c r="AT42" s="74"/>
      <c r="AU42" s="78"/>
      <c r="AV42" s="79"/>
      <c r="AW42" s="75"/>
      <c r="AX42" s="75"/>
      <c r="AY42" s="75"/>
      <c r="AZ42" s="77"/>
      <c r="BA42" s="74"/>
      <c r="BB42" s="75"/>
      <c r="BC42" s="75"/>
      <c r="BD42" s="77"/>
      <c r="BE42" s="6">
        <f t="shared" si="5"/>
        <v>0</v>
      </c>
    </row>
    <row r="43" spans="1:57" ht="16.2" customHeight="1">
      <c r="A43" s="61"/>
      <c r="B43" s="40"/>
      <c r="C43" s="62">
        <f t="shared" si="9"/>
        <v>0</v>
      </c>
      <c r="D43" s="63">
        <f t="shared" si="10"/>
        <v>0</v>
      </c>
      <c r="E43" s="63">
        <f t="shared" si="11"/>
        <v>0</v>
      </c>
      <c r="F43" s="63">
        <f t="shared" si="12"/>
        <v>0</v>
      </c>
      <c r="G43" s="63">
        <f t="shared" si="6"/>
        <v>0</v>
      </c>
      <c r="H43" s="63">
        <f t="shared" si="13"/>
        <v>0</v>
      </c>
      <c r="I43" s="64">
        <f t="shared" si="7"/>
        <v>0</v>
      </c>
      <c r="J43" s="65"/>
      <c r="K43" s="65"/>
      <c r="L43" s="83"/>
      <c r="M43" s="67"/>
      <c r="N43" s="68"/>
      <c r="O43" s="62"/>
      <c r="P43" s="69"/>
      <c r="Q43" s="70"/>
      <c r="R43" s="50">
        <f t="shared" si="8"/>
        <v>0</v>
      </c>
      <c r="S43" s="71"/>
      <c r="T43" s="86"/>
      <c r="U43" s="81"/>
      <c r="V43" s="73"/>
      <c r="W43" s="74"/>
      <c r="X43" s="75"/>
      <c r="Y43" s="75"/>
      <c r="Z43" s="76"/>
      <c r="AA43" s="77"/>
      <c r="AB43" s="74"/>
      <c r="AC43" s="74"/>
      <c r="AD43" s="75"/>
      <c r="AE43" s="75"/>
      <c r="AF43" s="75"/>
      <c r="AG43" s="75"/>
      <c r="AH43" s="75"/>
      <c r="AI43" s="75"/>
      <c r="AJ43" s="78"/>
      <c r="AK43" s="79"/>
      <c r="AL43" s="75"/>
      <c r="AM43" s="75"/>
      <c r="AN43" s="75"/>
      <c r="AO43" s="75"/>
      <c r="AP43" s="95"/>
      <c r="AQ43" s="75"/>
      <c r="AR43" s="75"/>
      <c r="AS43" s="77"/>
      <c r="AT43" s="74"/>
      <c r="AU43" s="78"/>
      <c r="AV43" s="79"/>
      <c r="AW43" s="75"/>
      <c r="AX43" s="75"/>
      <c r="AY43" s="75"/>
      <c r="AZ43" s="77"/>
      <c r="BA43" s="74"/>
      <c r="BB43" s="75"/>
      <c r="BC43" s="75"/>
      <c r="BD43" s="77"/>
      <c r="BE43" s="6">
        <f t="shared" si="5"/>
        <v>0</v>
      </c>
    </row>
    <row r="44" spans="1:57">
      <c r="A44" s="61"/>
      <c r="B44" s="40"/>
      <c r="C44" s="62">
        <f t="shared" si="9"/>
        <v>0</v>
      </c>
      <c r="D44" s="63">
        <f t="shared" si="10"/>
        <v>0</v>
      </c>
      <c r="E44" s="63">
        <f t="shared" si="11"/>
        <v>0</v>
      </c>
      <c r="F44" s="63">
        <f t="shared" si="12"/>
        <v>0</v>
      </c>
      <c r="G44" s="63">
        <f t="shared" si="6"/>
        <v>0</v>
      </c>
      <c r="H44" s="63">
        <f t="shared" si="13"/>
        <v>0</v>
      </c>
      <c r="I44" s="64">
        <f t="shared" si="7"/>
        <v>0</v>
      </c>
      <c r="J44" s="65"/>
      <c r="K44" s="65"/>
      <c r="L44" s="83"/>
      <c r="M44" s="67"/>
      <c r="N44" s="68"/>
      <c r="O44" s="62"/>
      <c r="P44" s="69"/>
      <c r="Q44" s="70"/>
      <c r="R44" s="50">
        <f t="shared" si="8"/>
        <v>0</v>
      </c>
      <c r="S44" s="71"/>
      <c r="T44" s="86"/>
      <c r="U44" s="81"/>
      <c r="V44" s="73"/>
      <c r="W44" s="74"/>
      <c r="X44" s="75"/>
      <c r="Y44" s="75"/>
      <c r="Z44" s="76"/>
      <c r="AA44" s="77"/>
      <c r="AB44" s="96"/>
      <c r="AC44" s="96"/>
      <c r="AD44" s="89"/>
      <c r="AE44" s="89"/>
      <c r="AF44" s="89"/>
      <c r="AG44" s="89"/>
      <c r="AH44" s="89"/>
      <c r="AI44" s="89"/>
      <c r="AJ44" s="90"/>
      <c r="AK44" s="79"/>
      <c r="AL44" s="75"/>
      <c r="AM44" s="75"/>
      <c r="AN44" s="75"/>
      <c r="AO44" s="75"/>
      <c r="AP44" s="95"/>
      <c r="AQ44" s="75"/>
      <c r="AR44" s="75"/>
      <c r="AS44" s="77"/>
      <c r="AT44" s="74"/>
      <c r="AU44" s="78"/>
      <c r="AV44" s="79"/>
      <c r="AW44" s="75"/>
      <c r="AX44" s="75"/>
      <c r="AY44" s="75"/>
      <c r="AZ44" s="77"/>
      <c r="BA44" s="74"/>
      <c r="BB44" s="75"/>
      <c r="BC44" s="75"/>
      <c r="BD44" s="77"/>
      <c r="BE44" s="6">
        <f t="shared" si="5"/>
        <v>0</v>
      </c>
    </row>
    <row r="45" spans="1:57">
      <c r="A45" s="61"/>
      <c r="B45" s="40"/>
      <c r="C45" s="62">
        <f t="shared" si="9"/>
        <v>0</v>
      </c>
      <c r="D45" s="63">
        <f t="shared" si="10"/>
        <v>0</v>
      </c>
      <c r="E45" s="63">
        <f t="shared" si="11"/>
        <v>0</v>
      </c>
      <c r="F45" s="63">
        <f t="shared" si="12"/>
        <v>0</v>
      </c>
      <c r="G45" s="63">
        <f t="shared" si="6"/>
        <v>0</v>
      </c>
      <c r="H45" s="63">
        <f t="shared" si="13"/>
        <v>0</v>
      </c>
      <c r="I45" s="64">
        <f t="shared" si="7"/>
        <v>0</v>
      </c>
      <c r="J45" s="65"/>
      <c r="K45" s="65"/>
      <c r="L45" s="83"/>
      <c r="M45" s="67"/>
      <c r="N45" s="68"/>
      <c r="O45" s="62"/>
      <c r="P45" s="69"/>
      <c r="Q45" s="70"/>
      <c r="R45" s="50">
        <f t="shared" si="8"/>
        <v>0</v>
      </c>
      <c r="S45" s="71"/>
      <c r="T45" s="86"/>
      <c r="U45" s="81"/>
      <c r="V45" s="73"/>
      <c r="W45" s="74"/>
      <c r="X45" s="75"/>
      <c r="Y45" s="75"/>
      <c r="Z45" s="76"/>
      <c r="AA45" s="77"/>
      <c r="AB45" s="96"/>
      <c r="AC45" s="96"/>
      <c r="AD45" s="89"/>
      <c r="AE45" s="89"/>
      <c r="AF45" s="89"/>
      <c r="AG45" s="89"/>
      <c r="AH45" s="89"/>
      <c r="AI45" s="89"/>
      <c r="AJ45" s="90"/>
      <c r="AK45" s="79"/>
      <c r="AL45" s="75"/>
      <c r="AM45" s="75"/>
      <c r="AN45" s="75"/>
      <c r="AO45" s="75"/>
      <c r="AP45" s="75"/>
      <c r="AQ45" s="75"/>
      <c r="AR45" s="75"/>
      <c r="AS45" s="77"/>
      <c r="AT45" s="74"/>
      <c r="AU45" s="78"/>
      <c r="AV45" s="79"/>
      <c r="AW45" s="75"/>
      <c r="AX45" s="75"/>
      <c r="AY45" s="75"/>
      <c r="AZ45" s="77"/>
      <c r="BA45" s="74"/>
      <c r="BB45" s="75"/>
      <c r="BC45" s="75"/>
      <c r="BD45" s="77"/>
      <c r="BE45" s="6">
        <f t="shared" si="5"/>
        <v>0</v>
      </c>
    </row>
    <row r="46" spans="1:57">
      <c r="A46" s="61"/>
      <c r="B46" s="40"/>
      <c r="C46" s="97">
        <f t="shared" si="9"/>
        <v>0</v>
      </c>
      <c r="D46" s="98">
        <f t="shared" si="10"/>
        <v>0</v>
      </c>
      <c r="E46" s="98">
        <f t="shared" si="11"/>
        <v>0</v>
      </c>
      <c r="F46" s="98">
        <f t="shared" si="12"/>
        <v>0</v>
      </c>
      <c r="G46" s="98">
        <f t="shared" si="6"/>
        <v>0</v>
      </c>
      <c r="H46" s="98">
        <f t="shared" si="13"/>
        <v>0</v>
      </c>
      <c r="I46" s="64">
        <f t="shared" si="7"/>
        <v>0</v>
      </c>
      <c r="J46" s="99"/>
      <c r="K46" s="99"/>
      <c r="L46" s="100"/>
      <c r="M46" s="101"/>
      <c r="N46" s="102"/>
      <c r="O46" s="97"/>
      <c r="P46" s="69"/>
      <c r="Q46" s="103"/>
      <c r="R46" s="50">
        <f t="shared" si="8"/>
        <v>0</v>
      </c>
      <c r="S46" s="71"/>
      <c r="T46" s="86"/>
      <c r="U46" s="81"/>
      <c r="V46" s="73"/>
      <c r="W46" s="74"/>
      <c r="X46" s="75"/>
      <c r="Y46" s="75"/>
      <c r="Z46" s="76"/>
      <c r="AA46" s="77"/>
      <c r="AB46" s="88"/>
      <c r="AC46" s="88"/>
      <c r="AD46" s="89"/>
      <c r="AE46" s="89"/>
      <c r="AF46" s="89"/>
      <c r="AG46" s="89"/>
      <c r="AH46" s="89"/>
      <c r="AI46" s="89"/>
      <c r="AJ46" s="90"/>
      <c r="AK46" s="79"/>
      <c r="AL46" s="75"/>
      <c r="AM46" s="75"/>
      <c r="AN46" s="75"/>
      <c r="AO46" s="75"/>
      <c r="AP46" s="75"/>
      <c r="AQ46" s="75"/>
      <c r="AR46" s="75"/>
      <c r="AS46" s="77"/>
      <c r="AT46" s="74"/>
      <c r="AU46" s="78"/>
      <c r="AV46" s="79"/>
      <c r="AW46" s="75"/>
      <c r="AX46" s="75"/>
      <c r="AY46" s="75"/>
      <c r="AZ46" s="77"/>
      <c r="BA46" s="74"/>
      <c r="BB46" s="75"/>
      <c r="BC46" s="75"/>
      <c r="BD46" s="77"/>
      <c r="BE46" s="104"/>
    </row>
    <row r="47" spans="1:57">
      <c r="A47" s="61"/>
      <c r="B47" s="40"/>
      <c r="C47" s="62">
        <f t="shared" si="9"/>
        <v>0</v>
      </c>
      <c r="D47" s="63">
        <f t="shared" si="10"/>
        <v>0</v>
      </c>
      <c r="E47" s="63">
        <f t="shared" si="11"/>
        <v>0</v>
      </c>
      <c r="F47" s="63">
        <f t="shared" si="12"/>
        <v>0</v>
      </c>
      <c r="G47" s="63">
        <f t="shared" si="6"/>
        <v>0</v>
      </c>
      <c r="H47" s="63">
        <f t="shared" si="13"/>
        <v>0</v>
      </c>
      <c r="I47" s="64">
        <f t="shared" si="7"/>
        <v>0</v>
      </c>
      <c r="J47" s="65"/>
      <c r="K47" s="65"/>
      <c r="L47" s="83"/>
      <c r="M47" s="67"/>
      <c r="N47" s="68"/>
      <c r="O47" s="62"/>
      <c r="P47" s="69"/>
      <c r="Q47" s="70"/>
      <c r="R47" s="50">
        <f t="shared" si="8"/>
        <v>0</v>
      </c>
      <c r="S47" s="105"/>
      <c r="T47" s="86"/>
      <c r="U47" s="81"/>
      <c r="V47" s="73"/>
      <c r="W47" s="74"/>
      <c r="X47" s="75"/>
      <c r="Y47" s="75"/>
      <c r="Z47" s="76"/>
      <c r="AA47" s="77"/>
      <c r="AB47" s="88"/>
      <c r="AC47" s="88"/>
      <c r="AD47" s="89"/>
      <c r="AE47" s="89"/>
      <c r="AF47" s="89"/>
      <c r="AG47" s="89"/>
      <c r="AH47" s="89"/>
      <c r="AI47" s="89"/>
      <c r="AJ47" s="90"/>
      <c r="AK47" s="79"/>
      <c r="AL47" s="75"/>
      <c r="AM47" s="75"/>
      <c r="AN47" s="75"/>
      <c r="AO47" s="75"/>
      <c r="AP47" s="84"/>
      <c r="AQ47" s="75"/>
      <c r="AR47" s="75"/>
      <c r="AS47" s="77"/>
      <c r="AT47" s="74"/>
      <c r="AU47" s="78"/>
      <c r="AV47" s="79"/>
      <c r="AW47" s="75"/>
      <c r="AX47" s="75"/>
      <c r="AY47" s="75"/>
      <c r="AZ47" s="77"/>
      <c r="BA47" s="74"/>
      <c r="BB47" s="75"/>
      <c r="BC47" s="75"/>
      <c r="BD47" s="77"/>
      <c r="BE47" s="6">
        <f t="shared" ref="BE47:BE78" si="14">I47-SUM(AB47:BD47)</f>
        <v>0</v>
      </c>
    </row>
    <row r="48" spans="1:57">
      <c r="A48" s="61"/>
      <c r="B48" s="40"/>
      <c r="C48" s="62">
        <f t="shared" si="9"/>
        <v>0</v>
      </c>
      <c r="D48" s="63">
        <f t="shared" si="10"/>
        <v>0</v>
      </c>
      <c r="E48" s="63">
        <f t="shared" si="11"/>
        <v>0</v>
      </c>
      <c r="F48" s="63">
        <f t="shared" si="12"/>
        <v>0</v>
      </c>
      <c r="G48" s="63">
        <f t="shared" si="6"/>
        <v>0</v>
      </c>
      <c r="H48" s="63">
        <f t="shared" si="13"/>
        <v>0</v>
      </c>
      <c r="I48" s="64">
        <f t="shared" si="7"/>
        <v>0</v>
      </c>
      <c r="J48" s="65"/>
      <c r="K48" s="65"/>
      <c r="L48" s="83"/>
      <c r="M48" s="67"/>
      <c r="N48" s="68"/>
      <c r="O48" s="62"/>
      <c r="P48" s="69"/>
      <c r="Q48" s="70"/>
      <c r="R48" s="50">
        <f t="shared" si="8"/>
        <v>0</v>
      </c>
      <c r="S48" s="71"/>
      <c r="T48" s="85"/>
      <c r="U48" s="72"/>
      <c r="V48" s="73"/>
      <c r="W48" s="74"/>
      <c r="X48" s="75"/>
      <c r="Y48" s="75"/>
      <c r="Z48" s="76"/>
      <c r="AA48" s="77"/>
      <c r="AB48" s="88"/>
      <c r="AC48" s="88"/>
      <c r="AD48" s="89"/>
      <c r="AE48" s="89"/>
      <c r="AF48" s="89"/>
      <c r="AG48" s="89"/>
      <c r="AH48" s="89"/>
      <c r="AI48" s="89"/>
      <c r="AJ48" s="90"/>
      <c r="AK48" s="79"/>
      <c r="AL48" s="75"/>
      <c r="AM48" s="75"/>
      <c r="AN48" s="75"/>
      <c r="AO48" s="75"/>
      <c r="AP48" s="95"/>
      <c r="AQ48" s="75"/>
      <c r="AR48" s="75"/>
      <c r="AS48" s="77"/>
      <c r="AT48" s="74"/>
      <c r="AU48" s="78"/>
      <c r="AV48" s="79"/>
      <c r="AW48" s="75"/>
      <c r="AX48" s="75"/>
      <c r="AY48" s="75"/>
      <c r="AZ48" s="77"/>
      <c r="BA48" s="74"/>
      <c r="BB48" s="75"/>
      <c r="BC48" s="75"/>
      <c r="BD48" s="77"/>
      <c r="BE48" s="6">
        <f t="shared" si="14"/>
        <v>0</v>
      </c>
    </row>
    <row r="49" spans="1:57">
      <c r="A49" s="61"/>
      <c r="B49" s="40"/>
      <c r="C49" s="62">
        <f t="shared" si="9"/>
        <v>0</v>
      </c>
      <c r="D49" s="63">
        <f t="shared" si="10"/>
        <v>0</v>
      </c>
      <c r="E49" s="63">
        <f t="shared" si="11"/>
        <v>0</v>
      </c>
      <c r="F49" s="63">
        <f t="shared" si="12"/>
        <v>0</v>
      </c>
      <c r="G49" s="63">
        <f t="shared" si="6"/>
        <v>0</v>
      </c>
      <c r="H49" s="63">
        <f t="shared" si="13"/>
        <v>0</v>
      </c>
      <c r="I49" s="64">
        <f t="shared" si="7"/>
        <v>0</v>
      </c>
      <c r="J49" s="65"/>
      <c r="K49" s="65"/>
      <c r="L49" s="83"/>
      <c r="M49" s="67"/>
      <c r="N49" s="68"/>
      <c r="O49" s="62"/>
      <c r="P49" s="69"/>
      <c r="Q49" s="70"/>
      <c r="R49" s="50">
        <f t="shared" si="8"/>
        <v>0</v>
      </c>
      <c r="S49" s="71"/>
      <c r="T49" s="86"/>
      <c r="U49" s="72"/>
      <c r="V49" s="73"/>
      <c r="W49" s="74"/>
      <c r="X49" s="75"/>
      <c r="Y49" s="75"/>
      <c r="Z49" s="76"/>
      <c r="AA49" s="77"/>
      <c r="AB49" s="74"/>
      <c r="AC49" s="74"/>
      <c r="AD49" s="75"/>
      <c r="AE49" s="75"/>
      <c r="AF49" s="75"/>
      <c r="AG49" s="75"/>
      <c r="AH49" s="75"/>
      <c r="AI49" s="75"/>
      <c r="AJ49" s="78"/>
      <c r="AK49" s="79"/>
      <c r="AL49" s="75"/>
      <c r="AM49" s="75"/>
      <c r="AN49" s="75"/>
      <c r="AO49" s="75"/>
      <c r="AP49" s="95"/>
      <c r="AQ49" s="75"/>
      <c r="AR49" s="75"/>
      <c r="AS49" s="77"/>
      <c r="AT49" s="74"/>
      <c r="AU49" s="78"/>
      <c r="AV49" s="79"/>
      <c r="AW49" s="75"/>
      <c r="AX49" s="75"/>
      <c r="AY49" s="75"/>
      <c r="AZ49" s="77"/>
      <c r="BA49" s="74"/>
      <c r="BB49" s="75"/>
      <c r="BC49" s="75"/>
      <c r="BD49" s="77"/>
      <c r="BE49" s="6">
        <f t="shared" si="14"/>
        <v>0</v>
      </c>
    </row>
    <row r="50" spans="1:57">
      <c r="A50" s="61"/>
      <c r="B50" s="40"/>
      <c r="C50" s="62">
        <f t="shared" si="9"/>
        <v>0</v>
      </c>
      <c r="D50" s="63">
        <f t="shared" si="10"/>
        <v>0</v>
      </c>
      <c r="E50" s="63">
        <f t="shared" si="11"/>
        <v>0</v>
      </c>
      <c r="F50" s="63">
        <f t="shared" si="12"/>
        <v>0</v>
      </c>
      <c r="G50" s="63">
        <f t="shared" si="6"/>
        <v>0</v>
      </c>
      <c r="H50" s="63">
        <f t="shared" si="13"/>
        <v>0</v>
      </c>
      <c r="I50" s="64">
        <f t="shared" si="7"/>
        <v>0</v>
      </c>
      <c r="J50" s="65"/>
      <c r="K50" s="65"/>
      <c r="L50" s="83"/>
      <c r="M50" s="67"/>
      <c r="N50" s="68"/>
      <c r="O50" s="62"/>
      <c r="P50" s="69"/>
      <c r="Q50" s="70"/>
      <c r="R50" s="50">
        <f t="shared" si="8"/>
        <v>0</v>
      </c>
      <c r="S50" s="71"/>
      <c r="T50" s="69"/>
      <c r="U50" s="81"/>
      <c r="V50" s="73"/>
      <c r="W50" s="74"/>
      <c r="X50" s="75"/>
      <c r="Y50" s="75"/>
      <c r="Z50" s="76"/>
      <c r="AA50" s="77"/>
      <c r="AB50" s="73"/>
      <c r="AC50" s="74"/>
      <c r="AD50" s="75"/>
      <c r="AE50" s="75"/>
      <c r="AF50" s="75"/>
      <c r="AG50" s="75"/>
      <c r="AH50" s="75"/>
      <c r="AI50" s="75"/>
      <c r="AJ50" s="78"/>
      <c r="AK50" s="79"/>
      <c r="AL50" s="75"/>
      <c r="AM50" s="75"/>
      <c r="AN50" s="75"/>
      <c r="AO50" s="75"/>
      <c r="AP50" s="75"/>
      <c r="AQ50" s="75"/>
      <c r="AR50" s="75"/>
      <c r="AS50" s="77"/>
      <c r="AT50" s="74"/>
      <c r="AU50" s="78"/>
      <c r="AV50" s="79"/>
      <c r="AW50" s="75"/>
      <c r="AX50" s="75"/>
      <c r="AY50" s="75"/>
      <c r="AZ50" s="77"/>
      <c r="BA50" s="74"/>
      <c r="BB50" s="75"/>
      <c r="BC50" s="75"/>
      <c r="BD50" s="77"/>
      <c r="BE50" s="6">
        <f t="shared" si="14"/>
        <v>0</v>
      </c>
    </row>
    <row r="51" spans="1:57">
      <c r="A51" s="61"/>
      <c r="B51" s="40"/>
      <c r="C51" s="62">
        <f t="shared" si="9"/>
        <v>0</v>
      </c>
      <c r="D51" s="63">
        <f t="shared" si="10"/>
        <v>0</v>
      </c>
      <c r="E51" s="63">
        <f t="shared" si="11"/>
        <v>0</v>
      </c>
      <c r="F51" s="63">
        <f t="shared" si="12"/>
        <v>0</v>
      </c>
      <c r="G51" s="63">
        <f t="shared" si="6"/>
        <v>0</v>
      </c>
      <c r="H51" s="63">
        <f t="shared" si="13"/>
        <v>0</v>
      </c>
      <c r="I51" s="64">
        <f t="shared" si="7"/>
        <v>0</v>
      </c>
      <c r="J51" s="65"/>
      <c r="K51" s="65"/>
      <c r="L51" s="83"/>
      <c r="M51" s="67"/>
      <c r="N51" s="68"/>
      <c r="O51" s="62"/>
      <c r="P51" s="69"/>
      <c r="Q51" s="70"/>
      <c r="R51" s="50">
        <f t="shared" si="8"/>
        <v>0</v>
      </c>
      <c r="S51" s="71"/>
      <c r="T51" s="69"/>
      <c r="U51" s="72"/>
      <c r="V51" s="73"/>
      <c r="W51" s="74"/>
      <c r="X51" s="75"/>
      <c r="Y51" s="75"/>
      <c r="Z51" s="76"/>
      <c r="AA51" s="77"/>
      <c r="AB51" s="73"/>
      <c r="AC51" s="74"/>
      <c r="AD51" s="75"/>
      <c r="AE51" s="75"/>
      <c r="AF51" s="75"/>
      <c r="AG51" s="75"/>
      <c r="AH51" s="75"/>
      <c r="AI51" s="75"/>
      <c r="AJ51" s="78"/>
      <c r="AK51" s="79"/>
      <c r="AL51" s="75"/>
      <c r="AM51" s="75"/>
      <c r="AN51" s="75"/>
      <c r="AO51" s="75"/>
      <c r="AP51" s="75"/>
      <c r="AQ51" s="75"/>
      <c r="AR51" s="75"/>
      <c r="AS51" s="77"/>
      <c r="AT51" s="74"/>
      <c r="AU51" s="78"/>
      <c r="AV51" s="79"/>
      <c r="AW51" s="75"/>
      <c r="AX51" s="75"/>
      <c r="AY51" s="75"/>
      <c r="AZ51" s="77"/>
      <c r="BA51" s="74"/>
      <c r="BB51" s="75"/>
      <c r="BC51" s="75"/>
      <c r="BD51" s="77"/>
      <c r="BE51" s="6">
        <f t="shared" si="14"/>
        <v>0</v>
      </c>
    </row>
    <row r="52" spans="1:57">
      <c r="A52" s="61"/>
      <c r="B52" s="40"/>
      <c r="C52" s="62">
        <f t="shared" si="9"/>
        <v>0</v>
      </c>
      <c r="D52" s="63">
        <f t="shared" si="10"/>
        <v>0</v>
      </c>
      <c r="E52" s="63">
        <f t="shared" si="11"/>
        <v>0</v>
      </c>
      <c r="F52" s="63">
        <f t="shared" si="12"/>
        <v>0</v>
      </c>
      <c r="G52" s="63">
        <f t="shared" si="6"/>
        <v>0</v>
      </c>
      <c r="H52" s="63">
        <f t="shared" si="13"/>
        <v>0</v>
      </c>
      <c r="I52" s="64">
        <f t="shared" si="7"/>
        <v>0</v>
      </c>
      <c r="J52" s="65"/>
      <c r="K52" s="65"/>
      <c r="L52" s="83"/>
      <c r="M52" s="67"/>
      <c r="N52" s="68"/>
      <c r="O52" s="62"/>
      <c r="P52" s="69"/>
      <c r="Q52" s="70"/>
      <c r="R52" s="50">
        <f t="shared" si="8"/>
        <v>0</v>
      </c>
      <c r="S52" s="71"/>
      <c r="T52" s="69"/>
      <c r="U52" s="81"/>
      <c r="V52" s="73"/>
      <c r="W52" s="74"/>
      <c r="X52" s="75"/>
      <c r="Y52" s="75"/>
      <c r="Z52" s="76"/>
      <c r="AA52" s="77"/>
      <c r="AB52" s="73"/>
      <c r="AC52" s="74"/>
      <c r="AD52" s="75"/>
      <c r="AE52" s="75"/>
      <c r="AF52" s="75"/>
      <c r="AG52" s="75"/>
      <c r="AH52" s="75"/>
      <c r="AI52" s="75"/>
      <c r="AJ52" s="78"/>
      <c r="AK52" s="79"/>
      <c r="AL52" s="75"/>
      <c r="AM52" s="75"/>
      <c r="AN52" s="75"/>
      <c r="AO52" s="75"/>
      <c r="AP52" s="75"/>
      <c r="AQ52" s="75"/>
      <c r="AR52" s="75"/>
      <c r="AS52" s="77"/>
      <c r="AT52" s="74"/>
      <c r="AU52" s="78"/>
      <c r="AV52" s="79"/>
      <c r="AW52" s="75"/>
      <c r="AX52" s="75"/>
      <c r="AY52" s="75"/>
      <c r="AZ52" s="77"/>
      <c r="BA52" s="74"/>
      <c r="BB52" s="75"/>
      <c r="BC52" s="75"/>
      <c r="BD52" s="77"/>
      <c r="BE52" s="6">
        <f t="shared" si="14"/>
        <v>0</v>
      </c>
    </row>
    <row r="53" spans="1:57">
      <c r="A53" s="61"/>
      <c r="B53" s="40"/>
      <c r="C53" s="62">
        <f t="shared" si="9"/>
        <v>0</v>
      </c>
      <c r="D53" s="63">
        <f t="shared" si="10"/>
        <v>0</v>
      </c>
      <c r="E53" s="63">
        <f t="shared" si="11"/>
        <v>0</v>
      </c>
      <c r="F53" s="63">
        <f t="shared" si="12"/>
        <v>0</v>
      </c>
      <c r="G53" s="63">
        <f t="shared" si="6"/>
        <v>0</v>
      </c>
      <c r="H53" s="63">
        <f t="shared" si="13"/>
        <v>0</v>
      </c>
      <c r="I53" s="64">
        <f t="shared" si="7"/>
        <v>0</v>
      </c>
      <c r="J53" s="65"/>
      <c r="K53" s="65"/>
      <c r="L53" s="83"/>
      <c r="M53" s="67"/>
      <c r="N53" s="68"/>
      <c r="O53" s="62"/>
      <c r="P53" s="69"/>
      <c r="Q53" s="70"/>
      <c r="R53" s="50">
        <f t="shared" si="8"/>
        <v>0</v>
      </c>
      <c r="S53" s="71"/>
      <c r="T53" s="69"/>
      <c r="U53" s="72"/>
      <c r="V53" s="73"/>
      <c r="W53" s="74"/>
      <c r="X53" s="75"/>
      <c r="Y53" s="75"/>
      <c r="Z53" s="76"/>
      <c r="AA53" s="77"/>
      <c r="AB53" s="73"/>
      <c r="AC53" s="74"/>
      <c r="AD53" s="75"/>
      <c r="AE53" s="75"/>
      <c r="AF53" s="75"/>
      <c r="AG53" s="75"/>
      <c r="AH53" s="75"/>
      <c r="AI53" s="75"/>
      <c r="AJ53" s="78"/>
      <c r="AK53" s="79"/>
      <c r="AL53" s="75"/>
      <c r="AM53" s="75"/>
      <c r="AN53" s="75"/>
      <c r="AO53" s="75"/>
      <c r="AP53" s="75"/>
      <c r="AQ53" s="75"/>
      <c r="AR53" s="75"/>
      <c r="AS53" s="77"/>
      <c r="AT53" s="74"/>
      <c r="AU53" s="78"/>
      <c r="AV53" s="79"/>
      <c r="AW53" s="75"/>
      <c r="AX53" s="75"/>
      <c r="AY53" s="75"/>
      <c r="AZ53" s="77"/>
      <c r="BA53" s="74"/>
      <c r="BB53" s="75"/>
      <c r="BC53" s="75"/>
      <c r="BD53" s="77"/>
      <c r="BE53" s="6">
        <f t="shared" si="14"/>
        <v>0</v>
      </c>
    </row>
    <row r="54" spans="1:57">
      <c r="A54" s="61"/>
      <c r="B54" s="40"/>
      <c r="C54" s="62">
        <f t="shared" si="9"/>
        <v>0</v>
      </c>
      <c r="D54" s="63">
        <f t="shared" si="10"/>
        <v>0</v>
      </c>
      <c r="E54" s="63">
        <f t="shared" si="11"/>
        <v>0</v>
      </c>
      <c r="F54" s="63">
        <f t="shared" si="12"/>
        <v>0</v>
      </c>
      <c r="G54" s="63">
        <f t="shared" si="6"/>
        <v>0</v>
      </c>
      <c r="H54" s="63">
        <f t="shared" si="13"/>
        <v>0</v>
      </c>
      <c r="I54" s="64">
        <f t="shared" si="7"/>
        <v>0</v>
      </c>
      <c r="J54" s="65"/>
      <c r="K54" s="65"/>
      <c r="L54" s="83"/>
      <c r="M54" s="67"/>
      <c r="N54" s="68"/>
      <c r="O54" s="62"/>
      <c r="P54" s="69"/>
      <c r="Q54" s="70"/>
      <c r="R54" s="50">
        <f t="shared" si="8"/>
        <v>0</v>
      </c>
      <c r="S54" s="71"/>
      <c r="T54" s="69"/>
      <c r="U54" s="72"/>
      <c r="V54" s="73"/>
      <c r="W54" s="74"/>
      <c r="X54" s="75"/>
      <c r="Y54" s="75"/>
      <c r="Z54" s="76"/>
      <c r="AA54" s="77"/>
      <c r="AB54" s="73"/>
      <c r="AC54" s="74"/>
      <c r="AD54" s="75"/>
      <c r="AE54" s="75"/>
      <c r="AF54" s="75"/>
      <c r="AG54" s="75"/>
      <c r="AH54" s="75"/>
      <c r="AI54" s="75"/>
      <c r="AJ54" s="78"/>
      <c r="AK54" s="79"/>
      <c r="AL54" s="75"/>
      <c r="AM54" s="75"/>
      <c r="AN54" s="75"/>
      <c r="AO54" s="75"/>
      <c r="AP54" s="75"/>
      <c r="AQ54" s="75"/>
      <c r="AR54" s="75"/>
      <c r="AS54" s="77"/>
      <c r="AT54" s="74"/>
      <c r="AU54" s="78"/>
      <c r="AV54" s="79"/>
      <c r="AW54" s="75"/>
      <c r="AX54" s="75"/>
      <c r="AY54" s="75"/>
      <c r="AZ54" s="77"/>
      <c r="BA54" s="74"/>
      <c r="BB54" s="75"/>
      <c r="BC54" s="75"/>
      <c r="BD54" s="77"/>
      <c r="BE54" s="6">
        <f t="shared" si="14"/>
        <v>0</v>
      </c>
    </row>
    <row r="55" spans="1:57">
      <c r="A55" s="61"/>
      <c r="B55" s="40"/>
      <c r="C55" s="62">
        <f t="shared" si="9"/>
        <v>0</v>
      </c>
      <c r="D55" s="63">
        <f t="shared" si="10"/>
        <v>0</v>
      </c>
      <c r="E55" s="63">
        <f t="shared" si="11"/>
        <v>0</v>
      </c>
      <c r="F55" s="63">
        <f t="shared" si="12"/>
        <v>0</v>
      </c>
      <c r="G55" s="63">
        <f t="shared" si="6"/>
        <v>0</v>
      </c>
      <c r="H55" s="63">
        <f t="shared" si="13"/>
        <v>0</v>
      </c>
      <c r="I55" s="64">
        <f t="shared" si="7"/>
        <v>0</v>
      </c>
      <c r="J55" s="65"/>
      <c r="K55" s="65"/>
      <c r="L55" s="83"/>
      <c r="M55" s="67"/>
      <c r="N55" s="68"/>
      <c r="O55" s="62"/>
      <c r="P55" s="69"/>
      <c r="Q55" s="70"/>
      <c r="R55" s="50">
        <f t="shared" si="8"/>
        <v>0</v>
      </c>
      <c r="S55" s="71"/>
      <c r="T55" s="69"/>
      <c r="U55" s="72"/>
      <c r="V55" s="73"/>
      <c r="W55" s="74"/>
      <c r="X55" s="75"/>
      <c r="Y55" s="75"/>
      <c r="Z55" s="76"/>
      <c r="AA55" s="77"/>
      <c r="AB55" s="73"/>
      <c r="AC55" s="74"/>
      <c r="AD55" s="75"/>
      <c r="AE55" s="75"/>
      <c r="AF55" s="75"/>
      <c r="AG55" s="75"/>
      <c r="AH55" s="75"/>
      <c r="AI55" s="75"/>
      <c r="AJ55" s="78"/>
      <c r="AK55" s="79"/>
      <c r="AL55" s="75"/>
      <c r="AM55" s="75"/>
      <c r="AN55" s="75"/>
      <c r="AO55" s="75"/>
      <c r="AP55" s="75"/>
      <c r="AQ55" s="75"/>
      <c r="AR55" s="75"/>
      <c r="AS55" s="77"/>
      <c r="AT55" s="74"/>
      <c r="AU55" s="78"/>
      <c r="AV55" s="79"/>
      <c r="AW55" s="75"/>
      <c r="AX55" s="75"/>
      <c r="AY55" s="75"/>
      <c r="AZ55" s="77"/>
      <c r="BA55" s="74"/>
      <c r="BB55" s="75"/>
      <c r="BC55" s="75"/>
      <c r="BD55" s="77"/>
      <c r="BE55" s="6">
        <f t="shared" si="14"/>
        <v>0</v>
      </c>
    </row>
    <row r="56" spans="1:57">
      <c r="A56" s="61"/>
      <c r="B56" s="40"/>
      <c r="C56" s="62">
        <f t="shared" si="9"/>
        <v>0</v>
      </c>
      <c r="D56" s="63">
        <f t="shared" si="10"/>
        <v>0</v>
      </c>
      <c r="E56" s="63">
        <f t="shared" si="11"/>
        <v>0</v>
      </c>
      <c r="F56" s="63">
        <f t="shared" si="12"/>
        <v>0</v>
      </c>
      <c r="G56" s="63">
        <f t="shared" si="6"/>
        <v>0</v>
      </c>
      <c r="H56" s="63">
        <f t="shared" si="13"/>
        <v>0</v>
      </c>
      <c r="I56" s="64">
        <f t="shared" si="7"/>
        <v>0</v>
      </c>
      <c r="J56" s="65"/>
      <c r="K56" s="65"/>
      <c r="L56" s="83"/>
      <c r="M56" s="67"/>
      <c r="N56" s="68"/>
      <c r="O56" s="62"/>
      <c r="P56" s="69"/>
      <c r="Q56" s="70"/>
      <c r="R56" s="50">
        <f t="shared" si="8"/>
        <v>0</v>
      </c>
      <c r="S56" s="71"/>
      <c r="T56" s="69"/>
      <c r="U56" s="72"/>
      <c r="V56" s="73"/>
      <c r="W56" s="74"/>
      <c r="X56" s="75"/>
      <c r="Y56" s="75"/>
      <c r="Z56" s="76"/>
      <c r="AA56" s="77"/>
      <c r="AB56" s="87"/>
      <c r="AC56" s="88"/>
      <c r="AD56" s="89"/>
      <c r="AE56" s="89"/>
      <c r="AF56" s="89"/>
      <c r="AG56" s="89"/>
      <c r="AH56" s="89"/>
      <c r="AI56" s="89"/>
      <c r="AJ56" s="90"/>
      <c r="AK56" s="79"/>
      <c r="AL56" s="75"/>
      <c r="AM56" s="75"/>
      <c r="AN56" s="75"/>
      <c r="AO56" s="75"/>
      <c r="AP56" s="75"/>
      <c r="AQ56" s="75"/>
      <c r="AR56" s="75"/>
      <c r="AS56" s="77"/>
      <c r="AT56" s="74"/>
      <c r="AU56" s="78"/>
      <c r="AV56" s="79"/>
      <c r="AW56" s="75"/>
      <c r="AX56" s="75"/>
      <c r="AY56" s="75"/>
      <c r="AZ56" s="77"/>
      <c r="BA56" s="74"/>
      <c r="BB56" s="75"/>
      <c r="BC56" s="75"/>
      <c r="BD56" s="77"/>
      <c r="BE56" s="6">
        <f t="shared" si="14"/>
        <v>0</v>
      </c>
    </row>
    <row r="57" spans="1:57">
      <c r="A57" s="61"/>
      <c r="B57" s="40"/>
      <c r="C57" s="62">
        <f t="shared" si="9"/>
        <v>0</v>
      </c>
      <c r="D57" s="63">
        <f t="shared" si="10"/>
        <v>0</v>
      </c>
      <c r="E57" s="63">
        <f t="shared" si="11"/>
        <v>0</v>
      </c>
      <c r="F57" s="63">
        <f t="shared" si="12"/>
        <v>0</v>
      </c>
      <c r="G57" s="63">
        <f t="shared" si="6"/>
        <v>0</v>
      </c>
      <c r="H57" s="63">
        <f t="shared" si="13"/>
        <v>0</v>
      </c>
      <c r="I57" s="64">
        <f t="shared" si="7"/>
        <v>0</v>
      </c>
      <c r="J57" s="65"/>
      <c r="K57" s="65"/>
      <c r="L57" s="83"/>
      <c r="M57" s="67"/>
      <c r="N57" s="68"/>
      <c r="O57" s="62"/>
      <c r="P57" s="69"/>
      <c r="Q57" s="70"/>
      <c r="R57" s="50">
        <f t="shared" si="8"/>
        <v>0</v>
      </c>
      <c r="S57" s="71"/>
      <c r="T57" s="94"/>
      <c r="U57" s="72"/>
      <c r="V57" s="73"/>
      <c r="W57" s="74"/>
      <c r="X57" s="75"/>
      <c r="Y57" s="75"/>
      <c r="Z57" s="76"/>
      <c r="AA57" s="77"/>
      <c r="AB57" s="73"/>
      <c r="AC57" s="74"/>
      <c r="AD57" s="75"/>
      <c r="AE57" s="75"/>
      <c r="AF57" s="75"/>
      <c r="AG57" s="75"/>
      <c r="AH57" s="75"/>
      <c r="AI57" s="75"/>
      <c r="AJ57" s="78"/>
      <c r="AK57" s="79"/>
      <c r="AL57" s="75"/>
      <c r="AM57" s="75"/>
      <c r="AN57" s="75"/>
      <c r="AO57" s="75"/>
      <c r="AP57" s="75"/>
      <c r="AQ57" s="75"/>
      <c r="AR57" s="75"/>
      <c r="AS57" s="77"/>
      <c r="AT57" s="74"/>
      <c r="AU57" s="78"/>
      <c r="AV57" s="79"/>
      <c r="AW57" s="75"/>
      <c r="AX57" s="75"/>
      <c r="AY57" s="75"/>
      <c r="AZ57" s="77"/>
      <c r="BA57" s="74"/>
      <c r="BB57" s="75"/>
      <c r="BC57" s="75"/>
      <c r="BD57" s="77"/>
      <c r="BE57" s="6">
        <f t="shared" si="14"/>
        <v>0</v>
      </c>
    </row>
    <row r="58" spans="1:57">
      <c r="A58" s="61"/>
      <c r="B58" s="40"/>
      <c r="C58" s="62">
        <f t="shared" si="9"/>
        <v>0</v>
      </c>
      <c r="D58" s="63">
        <f t="shared" si="10"/>
        <v>0</v>
      </c>
      <c r="E58" s="63">
        <f t="shared" si="11"/>
        <v>0</v>
      </c>
      <c r="F58" s="63">
        <f t="shared" si="12"/>
        <v>0</v>
      </c>
      <c r="G58" s="63">
        <f t="shared" si="6"/>
        <v>0</v>
      </c>
      <c r="H58" s="63">
        <f t="shared" si="13"/>
        <v>0</v>
      </c>
      <c r="I58" s="64">
        <f t="shared" si="7"/>
        <v>0</v>
      </c>
      <c r="J58" s="65"/>
      <c r="K58" s="65"/>
      <c r="L58" s="83"/>
      <c r="M58" s="67"/>
      <c r="N58" s="68"/>
      <c r="O58" s="62"/>
      <c r="P58" s="69"/>
      <c r="Q58" s="70"/>
      <c r="R58" s="50">
        <f t="shared" si="8"/>
        <v>0</v>
      </c>
      <c r="S58" s="71"/>
      <c r="T58" s="85"/>
      <c r="U58" s="72"/>
      <c r="V58" s="73"/>
      <c r="W58" s="74"/>
      <c r="X58" s="75"/>
      <c r="Y58" s="75"/>
      <c r="Z58" s="76"/>
      <c r="AA58" s="77"/>
      <c r="AB58" s="87"/>
      <c r="AC58" s="88"/>
      <c r="AD58" s="89"/>
      <c r="AE58" s="89"/>
      <c r="AF58" s="89"/>
      <c r="AG58" s="89"/>
      <c r="AH58" s="89"/>
      <c r="AI58" s="89"/>
      <c r="AJ58" s="90"/>
      <c r="AK58" s="79"/>
      <c r="AL58" s="75"/>
      <c r="AM58" s="75"/>
      <c r="AN58" s="75"/>
      <c r="AO58" s="75"/>
      <c r="AP58" s="75"/>
      <c r="AQ58" s="75"/>
      <c r="AR58" s="75"/>
      <c r="AS58" s="77"/>
      <c r="AT58" s="74"/>
      <c r="AU58" s="78"/>
      <c r="AV58" s="79"/>
      <c r="AW58" s="75"/>
      <c r="AX58" s="75"/>
      <c r="AY58" s="75"/>
      <c r="AZ58" s="77"/>
      <c r="BA58" s="74"/>
      <c r="BB58" s="75"/>
      <c r="BC58" s="75"/>
      <c r="BD58" s="77"/>
      <c r="BE58" s="6">
        <f t="shared" si="14"/>
        <v>0</v>
      </c>
    </row>
    <row r="59" spans="1:57">
      <c r="A59" s="61"/>
      <c r="B59" s="40"/>
      <c r="C59" s="62">
        <f t="shared" si="9"/>
        <v>0</v>
      </c>
      <c r="D59" s="63">
        <f t="shared" si="10"/>
        <v>0</v>
      </c>
      <c r="E59" s="63">
        <f t="shared" si="11"/>
        <v>0</v>
      </c>
      <c r="F59" s="63">
        <f t="shared" si="12"/>
        <v>0</v>
      </c>
      <c r="G59" s="63">
        <f t="shared" si="6"/>
        <v>0</v>
      </c>
      <c r="H59" s="63">
        <f t="shared" si="13"/>
        <v>0</v>
      </c>
      <c r="I59" s="64">
        <f t="shared" si="7"/>
        <v>0</v>
      </c>
      <c r="J59" s="65"/>
      <c r="K59" s="65"/>
      <c r="L59" s="83"/>
      <c r="M59" s="67"/>
      <c r="N59" s="68"/>
      <c r="O59" s="62"/>
      <c r="P59" s="69"/>
      <c r="Q59" s="70"/>
      <c r="R59" s="50">
        <f t="shared" si="8"/>
        <v>0</v>
      </c>
      <c r="S59" s="71"/>
      <c r="T59" s="94"/>
      <c r="U59" s="72"/>
      <c r="V59" s="73"/>
      <c r="W59" s="74"/>
      <c r="X59" s="75"/>
      <c r="Y59" s="75"/>
      <c r="Z59" s="76"/>
      <c r="AA59" s="77"/>
      <c r="AB59" s="74"/>
      <c r="AC59" s="74"/>
      <c r="AD59" s="75"/>
      <c r="AE59" s="75"/>
      <c r="AF59" s="75"/>
      <c r="AG59" s="75"/>
      <c r="AH59" s="75"/>
      <c r="AI59" s="75"/>
      <c r="AJ59" s="78"/>
      <c r="AK59" s="79"/>
      <c r="AL59" s="75"/>
      <c r="AM59" s="75"/>
      <c r="AN59" s="75"/>
      <c r="AO59" s="75"/>
      <c r="AP59" s="75"/>
      <c r="AQ59" s="75"/>
      <c r="AR59" s="75"/>
      <c r="AS59" s="77"/>
      <c r="AT59" s="74"/>
      <c r="AU59" s="78"/>
      <c r="AV59" s="79"/>
      <c r="AW59" s="75"/>
      <c r="AX59" s="75"/>
      <c r="AY59" s="75"/>
      <c r="AZ59" s="77"/>
      <c r="BA59" s="74"/>
      <c r="BB59" s="75"/>
      <c r="BC59" s="75"/>
      <c r="BD59" s="77"/>
      <c r="BE59" s="6">
        <f t="shared" si="14"/>
        <v>0</v>
      </c>
    </row>
    <row r="60" spans="1:57" ht="15" customHeight="1">
      <c r="A60" s="61"/>
      <c r="B60" s="40"/>
      <c r="C60" s="62">
        <f t="shared" si="9"/>
        <v>0</v>
      </c>
      <c r="D60" s="63">
        <f t="shared" si="10"/>
        <v>0</v>
      </c>
      <c r="E60" s="63">
        <f t="shared" si="11"/>
        <v>0</v>
      </c>
      <c r="F60" s="63">
        <f t="shared" si="12"/>
        <v>0</v>
      </c>
      <c r="G60" s="63">
        <f t="shared" si="6"/>
        <v>0</v>
      </c>
      <c r="H60" s="63">
        <f t="shared" si="13"/>
        <v>0</v>
      </c>
      <c r="I60" s="64">
        <f t="shared" si="7"/>
        <v>0</v>
      </c>
      <c r="J60" s="65"/>
      <c r="K60" s="65"/>
      <c r="L60" s="83"/>
      <c r="M60" s="67"/>
      <c r="N60" s="68"/>
      <c r="O60" s="62"/>
      <c r="P60" s="69"/>
      <c r="Q60" s="70"/>
      <c r="R60" s="50">
        <f t="shared" si="8"/>
        <v>0</v>
      </c>
      <c r="S60" s="71"/>
      <c r="T60" s="94"/>
      <c r="U60" s="72"/>
      <c r="V60" s="73"/>
      <c r="W60" s="74"/>
      <c r="X60" s="75"/>
      <c r="Y60" s="75"/>
      <c r="Z60" s="76"/>
      <c r="AA60" s="77"/>
      <c r="AB60" s="74"/>
      <c r="AC60" s="74"/>
      <c r="AD60" s="75"/>
      <c r="AE60" s="75"/>
      <c r="AF60" s="75"/>
      <c r="AG60" s="75"/>
      <c r="AH60" s="75"/>
      <c r="AI60" s="75"/>
      <c r="AJ60" s="78"/>
      <c r="AK60" s="79"/>
      <c r="AL60" s="75"/>
      <c r="AM60" s="75"/>
      <c r="AN60" s="75"/>
      <c r="AO60" s="75"/>
      <c r="AP60" s="75"/>
      <c r="AQ60" s="75"/>
      <c r="AR60" s="75"/>
      <c r="AS60" s="77"/>
      <c r="AT60" s="74"/>
      <c r="AU60" s="78"/>
      <c r="AV60" s="79"/>
      <c r="AW60" s="75"/>
      <c r="AX60" s="75"/>
      <c r="AY60" s="75"/>
      <c r="AZ60" s="77"/>
      <c r="BA60" s="74"/>
      <c r="BB60" s="75"/>
      <c r="BC60" s="75"/>
      <c r="BD60" s="77"/>
      <c r="BE60" s="6">
        <f t="shared" si="14"/>
        <v>0</v>
      </c>
    </row>
    <row r="61" spans="1:57">
      <c r="A61" s="61"/>
      <c r="B61" s="40"/>
      <c r="C61" s="62">
        <f t="shared" si="9"/>
        <v>0</v>
      </c>
      <c r="D61" s="63">
        <f t="shared" si="10"/>
        <v>0</v>
      </c>
      <c r="E61" s="63">
        <f t="shared" si="11"/>
        <v>0</v>
      </c>
      <c r="F61" s="63">
        <f t="shared" si="12"/>
        <v>0</v>
      </c>
      <c r="G61" s="63">
        <f t="shared" si="6"/>
        <v>0</v>
      </c>
      <c r="H61" s="63">
        <f t="shared" si="13"/>
        <v>0</v>
      </c>
      <c r="I61" s="64">
        <f t="shared" si="7"/>
        <v>0</v>
      </c>
      <c r="J61" s="65"/>
      <c r="K61" s="65"/>
      <c r="L61" s="83"/>
      <c r="M61" s="67"/>
      <c r="N61" s="68"/>
      <c r="O61" s="62"/>
      <c r="P61" s="69"/>
      <c r="Q61" s="70"/>
      <c r="R61" s="50">
        <f t="shared" si="8"/>
        <v>0</v>
      </c>
      <c r="S61" s="71"/>
      <c r="T61" s="94"/>
      <c r="U61" s="72"/>
      <c r="V61" s="73"/>
      <c r="W61" s="74"/>
      <c r="X61" s="75"/>
      <c r="Y61" s="75"/>
      <c r="Z61" s="76"/>
      <c r="AA61" s="77"/>
      <c r="AB61" s="74"/>
      <c r="AC61" s="74"/>
      <c r="AD61" s="75"/>
      <c r="AE61" s="75"/>
      <c r="AF61" s="75"/>
      <c r="AG61" s="75"/>
      <c r="AH61" s="75"/>
      <c r="AI61" s="75"/>
      <c r="AJ61" s="78"/>
      <c r="AK61" s="79"/>
      <c r="AL61" s="75"/>
      <c r="AM61" s="75"/>
      <c r="AN61" s="75"/>
      <c r="AO61" s="75"/>
      <c r="AP61" s="75"/>
      <c r="AQ61" s="75"/>
      <c r="AR61" s="75"/>
      <c r="AS61" s="77"/>
      <c r="AT61" s="74"/>
      <c r="AU61" s="78"/>
      <c r="AV61" s="79"/>
      <c r="AW61" s="75"/>
      <c r="AX61" s="75"/>
      <c r="AY61" s="75"/>
      <c r="AZ61" s="77"/>
      <c r="BA61" s="74"/>
      <c r="BB61" s="75"/>
      <c r="BC61" s="75"/>
      <c r="BD61" s="77"/>
      <c r="BE61" s="6">
        <f t="shared" si="14"/>
        <v>0</v>
      </c>
    </row>
    <row r="62" spans="1:57">
      <c r="A62" s="61"/>
      <c r="B62" s="40"/>
      <c r="C62" s="62">
        <f t="shared" si="9"/>
        <v>0</v>
      </c>
      <c r="D62" s="63">
        <f t="shared" si="10"/>
        <v>0</v>
      </c>
      <c r="E62" s="63">
        <f t="shared" si="11"/>
        <v>0</v>
      </c>
      <c r="F62" s="63">
        <f t="shared" si="12"/>
        <v>0</v>
      </c>
      <c r="G62" s="63">
        <f t="shared" si="6"/>
        <v>0</v>
      </c>
      <c r="H62" s="63">
        <f t="shared" si="13"/>
        <v>0</v>
      </c>
      <c r="I62" s="64">
        <f t="shared" si="7"/>
        <v>0</v>
      </c>
      <c r="J62" s="65"/>
      <c r="K62" s="65"/>
      <c r="L62" s="83"/>
      <c r="M62" s="67"/>
      <c r="N62" s="68"/>
      <c r="O62" s="62"/>
      <c r="P62" s="69"/>
      <c r="Q62" s="70"/>
      <c r="R62" s="50">
        <f t="shared" si="8"/>
        <v>0</v>
      </c>
      <c r="S62" s="71"/>
      <c r="T62" s="69"/>
      <c r="U62" s="72"/>
      <c r="V62" s="73"/>
      <c r="W62" s="74"/>
      <c r="X62" s="75"/>
      <c r="Y62" s="75"/>
      <c r="Z62" s="76"/>
      <c r="AA62" s="77"/>
      <c r="AB62" s="106"/>
      <c r="AC62" s="106"/>
      <c r="AD62" s="89"/>
      <c r="AE62" s="89"/>
      <c r="AF62" s="89"/>
      <c r="AG62" s="89"/>
      <c r="AH62" s="89"/>
      <c r="AI62" s="89"/>
      <c r="AJ62" s="90"/>
      <c r="AK62" s="79"/>
      <c r="AL62" s="75"/>
      <c r="AM62" s="75"/>
      <c r="AN62" s="75"/>
      <c r="AO62" s="75"/>
      <c r="AP62" s="75"/>
      <c r="AQ62" s="75"/>
      <c r="AR62" s="75"/>
      <c r="AS62" s="77"/>
      <c r="AT62" s="74"/>
      <c r="AU62" s="78"/>
      <c r="AV62" s="79"/>
      <c r="AW62" s="75"/>
      <c r="AX62" s="75"/>
      <c r="AY62" s="75"/>
      <c r="AZ62" s="77"/>
      <c r="BA62" s="74"/>
      <c r="BB62" s="75"/>
      <c r="BC62" s="75"/>
      <c r="BD62" s="77"/>
      <c r="BE62" s="6">
        <f t="shared" si="14"/>
        <v>0</v>
      </c>
    </row>
    <row r="63" spans="1:57">
      <c r="A63" s="61"/>
      <c r="B63" s="40"/>
      <c r="C63" s="62">
        <f t="shared" si="9"/>
        <v>0</v>
      </c>
      <c r="D63" s="63">
        <f t="shared" si="10"/>
        <v>0</v>
      </c>
      <c r="E63" s="63">
        <f t="shared" si="11"/>
        <v>0</v>
      </c>
      <c r="F63" s="63">
        <f t="shared" si="12"/>
        <v>0</v>
      </c>
      <c r="G63" s="63">
        <f t="shared" si="6"/>
        <v>0</v>
      </c>
      <c r="H63" s="63">
        <f t="shared" si="13"/>
        <v>0</v>
      </c>
      <c r="I63" s="64">
        <f t="shared" si="7"/>
        <v>0</v>
      </c>
      <c r="J63" s="65"/>
      <c r="K63" s="65"/>
      <c r="L63" s="83"/>
      <c r="M63" s="67"/>
      <c r="N63" s="68"/>
      <c r="O63" s="62"/>
      <c r="P63" s="69"/>
      <c r="Q63" s="70"/>
      <c r="R63" s="50">
        <f t="shared" si="8"/>
        <v>0</v>
      </c>
      <c r="S63" s="71"/>
      <c r="T63" s="69"/>
      <c r="U63" s="72"/>
      <c r="V63" s="73"/>
      <c r="W63" s="74"/>
      <c r="X63" s="75"/>
      <c r="Y63" s="75"/>
      <c r="Z63" s="76"/>
      <c r="AA63" s="77"/>
      <c r="AB63" s="74"/>
      <c r="AC63" s="74"/>
      <c r="AD63" s="75"/>
      <c r="AE63" s="75"/>
      <c r="AF63" s="75"/>
      <c r="AG63" s="75"/>
      <c r="AH63" s="75"/>
      <c r="AI63" s="75"/>
      <c r="AJ63" s="78"/>
      <c r="AK63" s="79"/>
      <c r="AL63" s="75"/>
      <c r="AM63" s="75"/>
      <c r="AN63" s="75"/>
      <c r="AO63" s="75"/>
      <c r="AP63" s="75"/>
      <c r="AQ63" s="75"/>
      <c r="AR63" s="75"/>
      <c r="AS63" s="77"/>
      <c r="AT63" s="74"/>
      <c r="AU63" s="78"/>
      <c r="AV63" s="79"/>
      <c r="AW63" s="75"/>
      <c r="AX63" s="75"/>
      <c r="AY63" s="75"/>
      <c r="AZ63" s="77"/>
      <c r="BA63" s="74"/>
      <c r="BB63" s="75"/>
      <c r="BC63" s="75"/>
      <c r="BD63" s="77"/>
      <c r="BE63" s="6">
        <f t="shared" si="14"/>
        <v>0</v>
      </c>
    </row>
    <row r="64" spans="1:57">
      <c r="A64" s="61"/>
      <c r="B64" s="40"/>
      <c r="C64" s="62">
        <f t="shared" si="9"/>
        <v>0</v>
      </c>
      <c r="D64" s="63">
        <f t="shared" si="10"/>
        <v>0</v>
      </c>
      <c r="E64" s="63">
        <f t="shared" si="11"/>
        <v>0</v>
      </c>
      <c r="F64" s="63">
        <f t="shared" si="12"/>
        <v>0</v>
      </c>
      <c r="G64" s="63">
        <f t="shared" si="6"/>
        <v>0</v>
      </c>
      <c r="H64" s="63">
        <f t="shared" si="13"/>
        <v>0</v>
      </c>
      <c r="I64" s="64">
        <f t="shared" si="7"/>
        <v>0</v>
      </c>
      <c r="J64" s="65"/>
      <c r="K64" s="65"/>
      <c r="L64" s="83"/>
      <c r="M64" s="67"/>
      <c r="N64" s="68"/>
      <c r="O64" s="62"/>
      <c r="P64" s="69"/>
      <c r="Q64" s="70"/>
      <c r="R64" s="50">
        <f t="shared" si="8"/>
        <v>0</v>
      </c>
      <c r="S64" s="71"/>
      <c r="T64" s="69"/>
      <c r="U64" s="72"/>
      <c r="V64" s="73"/>
      <c r="W64" s="74"/>
      <c r="X64" s="75"/>
      <c r="Y64" s="75"/>
      <c r="Z64" s="76"/>
      <c r="AA64" s="77"/>
      <c r="AB64" s="106"/>
      <c r="AC64" s="106"/>
      <c r="AD64" s="89"/>
      <c r="AE64" s="89"/>
      <c r="AF64" s="89"/>
      <c r="AG64" s="89"/>
      <c r="AH64" s="89"/>
      <c r="AI64" s="89"/>
      <c r="AJ64" s="90"/>
      <c r="AK64" s="79"/>
      <c r="AL64" s="75"/>
      <c r="AM64" s="75"/>
      <c r="AN64" s="75"/>
      <c r="AO64" s="75"/>
      <c r="AP64" s="75"/>
      <c r="AQ64" s="75"/>
      <c r="AR64" s="75"/>
      <c r="AS64" s="77"/>
      <c r="AT64" s="74"/>
      <c r="AU64" s="78"/>
      <c r="AV64" s="79"/>
      <c r="AW64" s="75"/>
      <c r="AX64" s="75"/>
      <c r="AY64" s="75"/>
      <c r="AZ64" s="77"/>
      <c r="BA64" s="74"/>
      <c r="BB64" s="75"/>
      <c r="BC64" s="75"/>
      <c r="BD64" s="77"/>
      <c r="BE64" s="6">
        <f t="shared" si="14"/>
        <v>0</v>
      </c>
    </row>
    <row r="65" spans="1:57">
      <c r="A65" s="61"/>
      <c r="B65" s="40"/>
      <c r="C65" s="62">
        <f t="shared" si="9"/>
        <v>0</v>
      </c>
      <c r="D65" s="63">
        <f t="shared" si="10"/>
        <v>0</v>
      </c>
      <c r="E65" s="63">
        <f t="shared" si="11"/>
        <v>0</v>
      </c>
      <c r="F65" s="63">
        <f t="shared" si="12"/>
        <v>0</v>
      </c>
      <c r="G65" s="63">
        <f t="shared" si="6"/>
        <v>0</v>
      </c>
      <c r="H65" s="63">
        <f t="shared" si="13"/>
        <v>0</v>
      </c>
      <c r="I65" s="64">
        <f t="shared" si="7"/>
        <v>0</v>
      </c>
      <c r="J65" s="65"/>
      <c r="K65" s="65"/>
      <c r="L65" s="83"/>
      <c r="M65" s="67"/>
      <c r="N65" s="68"/>
      <c r="O65" s="62"/>
      <c r="P65" s="69"/>
      <c r="Q65" s="70"/>
      <c r="R65" s="50">
        <f t="shared" si="8"/>
        <v>0</v>
      </c>
      <c r="S65" s="71"/>
      <c r="T65" s="69"/>
      <c r="U65" s="72"/>
      <c r="V65" s="73"/>
      <c r="W65" s="74"/>
      <c r="X65" s="75"/>
      <c r="Y65" s="75"/>
      <c r="Z65" s="76"/>
      <c r="AA65" s="77"/>
      <c r="AB65" s="74"/>
      <c r="AC65" s="74"/>
      <c r="AD65" s="75"/>
      <c r="AE65" s="75"/>
      <c r="AF65" s="75"/>
      <c r="AG65" s="75"/>
      <c r="AH65" s="75"/>
      <c r="AI65" s="75"/>
      <c r="AJ65" s="78"/>
      <c r="AK65" s="79"/>
      <c r="AL65" s="75"/>
      <c r="AM65" s="75"/>
      <c r="AN65" s="75"/>
      <c r="AO65" s="75"/>
      <c r="AP65" s="75"/>
      <c r="AQ65" s="75"/>
      <c r="AR65" s="75"/>
      <c r="AS65" s="77"/>
      <c r="AT65" s="74"/>
      <c r="AU65" s="78"/>
      <c r="AV65" s="79"/>
      <c r="AW65" s="75"/>
      <c r="AX65" s="75"/>
      <c r="AY65" s="75"/>
      <c r="AZ65" s="77"/>
      <c r="BA65" s="74"/>
      <c r="BB65" s="75"/>
      <c r="BC65" s="75"/>
      <c r="BD65" s="77"/>
      <c r="BE65" s="6">
        <f t="shared" si="14"/>
        <v>0</v>
      </c>
    </row>
    <row r="66" spans="1:57">
      <c r="A66" s="61"/>
      <c r="B66" s="40"/>
      <c r="C66" s="62">
        <f t="shared" si="9"/>
        <v>0</v>
      </c>
      <c r="D66" s="63">
        <f t="shared" si="10"/>
        <v>0</v>
      </c>
      <c r="E66" s="63">
        <f t="shared" si="11"/>
        <v>0</v>
      </c>
      <c r="F66" s="63">
        <f t="shared" si="12"/>
        <v>0</v>
      </c>
      <c r="G66" s="63">
        <f t="shared" si="6"/>
        <v>0</v>
      </c>
      <c r="H66" s="63">
        <f t="shared" si="13"/>
        <v>0</v>
      </c>
      <c r="I66" s="64">
        <f t="shared" si="7"/>
        <v>0</v>
      </c>
      <c r="J66" s="65"/>
      <c r="K66" s="65"/>
      <c r="L66" s="83"/>
      <c r="M66" s="67"/>
      <c r="N66" s="68"/>
      <c r="O66" s="62"/>
      <c r="P66" s="69"/>
      <c r="Q66" s="70"/>
      <c r="R66" s="50">
        <f t="shared" si="8"/>
        <v>0</v>
      </c>
      <c r="S66" s="71"/>
      <c r="T66" s="69"/>
      <c r="U66" s="72"/>
      <c r="V66" s="73"/>
      <c r="W66" s="74"/>
      <c r="X66" s="75"/>
      <c r="Y66" s="75"/>
      <c r="Z66" s="76"/>
      <c r="AA66" s="77"/>
      <c r="AB66" s="106"/>
      <c r="AC66" s="106"/>
      <c r="AD66" s="75"/>
      <c r="AE66" s="75"/>
      <c r="AF66" s="75"/>
      <c r="AG66" s="75"/>
      <c r="AH66" s="75"/>
      <c r="AI66" s="75"/>
      <c r="AJ66" s="78"/>
      <c r="AK66" s="79"/>
      <c r="AL66" s="75"/>
      <c r="AM66" s="75"/>
      <c r="AN66" s="75"/>
      <c r="AO66" s="75"/>
      <c r="AP66" s="75"/>
      <c r="AQ66" s="75"/>
      <c r="AR66" s="75"/>
      <c r="AS66" s="77"/>
      <c r="AT66" s="74"/>
      <c r="AU66" s="78"/>
      <c r="AV66" s="79"/>
      <c r="AW66" s="75"/>
      <c r="AX66" s="75"/>
      <c r="AY66" s="75"/>
      <c r="AZ66" s="77"/>
      <c r="BA66" s="74"/>
      <c r="BB66" s="75"/>
      <c r="BC66" s="75"/>
      <c r="BD66" s="77"/>
      <c r="BE66" s="6">
        <f t="shared" si="14"/>
        <v>0</v>
      </c>
    </row>
    <row r="67" spans="1:57">
      <c r="A67" s="61"/>
      <c r="B67" s="40"/>
      <c r="C67" s="62">
        <f t="shared" si="9"/>
        <v>0</v>
      </c>
      <c r="D67" s="63">
        <f t="shared" si="10"/>
        <v>0</v>
      </c>
      <c r="E67" s="63">
        <f t="shared" si="11"/>
        <v>0</v>
      </c>
      <c r="F67" s="63">
        <f t="shared" si="12"/>
        <v>0</v>
      </c>
      <c r="G67" s="63">
        <f t="shared" si="6"/>
        <v>0</v>
      </c>
      <c r="H67" s="63">
        <f t="shared" si="13"/>
        <v>0</v>
      </c>
      <c r="I67" s="64">
        <f t="shared" si="7"/>
        <v>0</v>
      </c>
      <c r="J67" s="65"/>
      <c r="K67" s="65"/>
      <c r="L67" s="83"/>
      <c r="M67" s="67"/>
      <c r="N67" s="68"/>
      <c r="O67" s="62"/>
      <c r="P67" s="69"/>
      <c r="Q67" s="70"/>
      <c r="R67" s="50">
        <f t="shared" si="8"/>
        <v>0</v>
      </c>
      <c r="S67" s="71"/>
      <c r="T67" s="69"/>
      <c r="U67" s="72"/>
      <c r="V67" s="73"/>
      <c r="W67" s="74"/>
      <c r="X67" s="75"/>
      <c r="Y67" s="75"/>
      <c r="Z67" s="76"/>
      <c r="AA67" s="77"/>
      <c r="AB67" s="74"/>
      <c r="AC67" s="74"/>
      <c r="AD67" s="75"/>
      <c r="AE67" s="75"/>
      <c r="AF67" s="75"/>
      <c r="AG67" s="75"/>
      <c r="AH67" s="75"/>
      <c r="AI67" s="75"/>
      <c r="AJ67" s="78"/>
      <c r="AK67" s="79"/>
      <c r="AL67" s="75"/>
      <c r="AM67" s="75"/>
      <c r="AN67" s="75"/>
      <c r="AO67" s="75"/>
      <c r="AP67" s="75"/>
      <c r="AQ67" s="75"/>
      <c r="AR67" s="75"/>
      <c r="AS67" s="77"/>
      <c r="AT67" s="74"/>
      <c r="AU67" s="78"/>
      <c r="AV67" s="79"/>
      <c r="AW67" s="75"/>
      <c r="AX67" s="75"/>
      <c r="AY67" s="75"/>
      <c r="AZ67" s="77"/>
      <c r="BA67" s="74"/>
      <c r="BB67" s="75"/>
      <c r="BC67" s="75"/>
      <c r="BD67" s="77"/>
      <c r="BE67" s="6">
        <f t="shared" si="14"/>
        <v>0</v>
      </c>
    </row>
    <row r="68" spans="1:57">
      <c r="A68" s="61"/>
      <c r="B68" s="40"/>
      <c r="C68" s="62">
        <f t="shared" si="9"/>
        <v>0</v>
      </c>
      <c r="D68" s="63">
        <f t="shared" si="10"/>
        <v>0</v>
      </c>
      <c r="E68" s="63">
        <f t="shared" si="11"/>
        <v>0</v>
      </c>
      <c r="F68" s="63">
        <f t="shared" si="12"/>
        <v>0</v>
      </c>
      <c r="G68" s="63">
        <f t="shared" si="6"/>
        <v>0</v>
      </c>
      <c r="H68" s="63">
        <f t="shared" si="13"/>
        <v>0</v>
      </c>
      <c r="I68" s="64">
        <f t="shared" si="7"/>
        <v>0</v>
      </c>
      <c r="J68" s="65"/>
      <c r="K68" s="65"/>
      <c r="L68" s="83"/>
      <c r="M68" s="67"/>
      <c r="N68" s="68"/>
      <c r="O68" s="62"/>
      <c r="P68" s="69"/>
      <c r="Q68" s="70"/>
      <c r="R68" s="50">
        <f t="shared" si="8"/>
        <v>0</v>
      </c>
      <c r="S68" s="71"/>
      <c r="T68" s="69"/>
      <c r="U68" s="72"/>
      <c r="V68" s="73"/>
      <c r="W68" s="74"/>
      <c r="X68" s="75"/>
      <c r="Y68" s="75"/>
      <c r="Z68" s="76"/>
      <c r="AA68" s="77"/>
      <c r="AB68" s="106"/>
      <c r="AC68" s="106"/>
      <c r="AD68" s="75"/>
      <c r="AE68" s="75"/>
      <c r="AF68" s="75"/>
      <c r="AG68" s="75"/>
      <c r="AH68" s="75"/>
      <c r="AI68" s="75"/>
      <c r="AJ68" s="78"/>
      <c r="AK68" s="79"/>
      <c r="AL68" s="75"/>
      <c r="AM68" s="75"/>
      <c r="AN68" s="75"/>
      <c r="AO68" s="75"/>
      <c r="AP68" s="75"/>
      <c r="AQ68" s="75"/>
      <c r="AR68" s="75"/>
      <c r="AS68" s="77"/>
      <c r="AT68" s="74"/>
      <c r="AU68" s="78"/>
      <c r="AV68" s="79"/>
      <c r="AW68" s="75"/>
      <c r="AX68" s="75"/>
      <c r="AY68" s="75"/>
      <c r="AZ68" s="77"/>
      <c r="BA68" s="74"/>
      <c r="BB68" s="75"/>
      <c r="BC68" s="75"/>
      <c r="BD68" s="77"/>
      <c r="BE68" s="6">
        <f t="shared" si="14"/>
        <v>0</v>
      </c>
    </row>
    <row r="69" spans="1:57">
      <c r="A69" s="61"/>
      <c r="B69" s="40"/>
      <c r="C69" s="62">
        <f t="shared" ref="C69:C100" si="15">SUM(AB69:AJ69)</f>
        <v>0</v>
      </c>
      <c r="D69" s="63">
        <f t="shared" ref="D69:D100" si="16">SUM(AK69:AS69)</f>
        <v>0</v>
      </c>
      <c r="E69" s="63">
        <f t="shared" ref="E69:E100" si="17">SUM(AT69:AU69)</f>
        <v>0</v>
      </c>
      <c r="F69" s="63">
        <f t="shared" ref="F69:F100" si="18">SUM(AV69:AZ69)</f>
        <v>0</v>
      </c>
      <c r="G69" s="63">
        <f t="shared" si="6"/>
        <v>0</v>
      </c>
      <c r="H69" s="63">
        <f t="shared" ref="H69:H100" si="19">SUM(V69:AA69)</f>
        <v>0</v>
      </c>
      <c r="I69" s="64">
        <f t="shared" si="7"/>
        <v>0</v>
      </c>
      <c r="J69" s="65"/>
      <c r="K69" s="65"/>
      <c r="L69" s="83"/>
      <c r="M69" s="67"/>
      <c r="N69" s="68"/>
      <c r="O69" s="62"/>
      <c r="P69" s="69"/>
      <c r="Q69" s="70"/>
      <c r="R69" s="50">
        <f t="shared" si="8"/>
        <v>0</v>
      </c>
      <c r="S69" s="71"/>
      <c r="T69" s="69"/>
      <c r="U69" s="72"/>
      <c r="V69" s="73"/>
      <c r="W69" s="74"/>
      <c r="X69" s="75"/>
      <c r="Y69" s="75"/>
      <c r="Z69" s="76"/>
      <c r="AA69" s="77"/>
      <c r="AB69" s="74"/>
      <c r="AC69" s="74"/>
      <c r="AD69" s="75"/>
      <c r="AE69" s="75"/>
      <c r="AF69" s="75"/>
      <c r="AG69" s="75"/>
      <c r="AH69" s="75"/>
      <c r="AI69" s="75"/>
      <c r="AJ69" s="78"/>
      <c r="AK69" s="79"/>
      <c r="AL69" s="75"/>
      <c r="AM69" s="75"/>
      <c r="AN69" s="75"/>
      <c r="AO69" s="75"/>
      <c r="AP69" s="75"/>
      <c r="AQ69" s="75"/>
      <c r="AR69" s="75"/>
      <c r="AS69" s="77"/>
      <c r="AT69" s="74"/>
      <c r="AU69" s="78"/>
      <c r="AV69" s="79"/>
      <c r="AW69" s="75"/>
      <c r="AX69" s="75"/>
      <c r="AY69" s="75"/>
      <c r="AZ69" s="77"/>
      <c r="BA69" s="74"/>
      <c r="BB69" s="75"/>
      <c r="BC69" s="75"/>
      <c r="BD69" s="77"/>
      <c r="BE69" s="6">
        <f t="shared" si="14"/>
        <v>0</v>
      </c>
    </row>
    <row r="70" spans="1:57">
      <c r="A70" s="61"/>
      <c r="B70" s="40"/>
      <c r="C70" s="62">
        <f t="shared" si="15"/>
        <v>0</v>
      </c>
      <c r="D70" s="63">
        <f t="shared" si="16"/>
        <v>0</v>
      </c>
      <c r="E70" s="63">
        <f t="shared" si="17"/>
        <v>0</v>
      </c>
      <c r="F70" s="63">
        <f t="shared" si="18"/>
        <v>0</v>
      </c>
      <c r="G70" s="63">
        <f t="shared" ref="G70:G113" si="20">SUM(BA70:BD70)</f>
        <v>0</v>
      </c>
      <c r="H70" s="63">
        <f t="shared" si="19"/>
        <v>0</v>
      </c>
      <c r="I70" s="64">
        <f t="shared" ref="I70:I113" si="21">SUM(C70:H70)</f>
        <v>0</v>
      </c>
      <c r="J70" s="65"/>
      <c r="K70" s="65"/>
      <c r="L70" s="91"/>
      <c r="M70" s="67"/>
      <c r="N70" s="68"/>
      <c r="O70" s="62"/>
      <c r="P70" s="69"/>
      <c r="Q70" s="70"/>
      <c r="R70" s="50">
        <f t="shared" ref="R70:R113" si="22">R69+SUM(N70:Q70)-SUM(I70:M70)</f>
        <v>0</v>
      </c>
      <c r="S70" s="71"/>
      <c r="T70" s="69"/>
      <c r="U70" s="72"/>
      <c r="V70" s="73"/>
      <c r="W70" s="74"/>
      <c r="X70" s="75"/>
      <c r="Y70" s="75"/>
      <c r="Z70" s="76"/>
      <c r="AA70" s="77"/>
      <c r="AB70" s="73"/>
      <c r="AC70" s="74"/>
      <c r="AD70" s="75"/>
      <c r="AE70" s="75"/>
      <c r="AF70" s="75"/>
      <c r="AG70" s="75"/>
      <c r="AH70" s="75"/>
      <c r="AI70" s="75"/>
      <c r="AJ70" s="78"/>
      <c r="AK70" s="79"/>
      <c r="AL70" s="75"/>
      <c r="AM70" s="75"/>
      <c r="AN70" s="75"/>
      <c r="AO70" s="75"/>
      <c r="AP70" s="75"/>
      <c r="AQ70" s="75"/>
      <c r="AR70" s="75"/>
      <c r="AS70" s="77"/>
      <c r="AT70" s="74"/>
      <c r="AU70" s="78"/>
      <c r="AV70" s="79"/>
      <c r="AW70" s="75"/>
      <c r="AX70" s="75"/>
      <c r="AY70" s="75"/>
      <c r="AZ70" s="77"/>
      <c r="BA70" s="74"/>
      <c r="BB70" s="75"/>
      <c r="BC70" s="75"/>
      <c r="BD70" s="77"/>
      <c r="BE70" s="6">
        <f t="shared" si="14"/>
        <v>0</v>
      </c>
    </row>
    <row r="71" spans="1:57">
      <c r="A71" s="61"/>
      <c r="B71" s="40"/>
      <c r="C71" s="62">
        <f t="shared" si="15"/>
        <v>0</v>
      </c>
      <c r="D71" s="63">
        <f t="shared" si="16"/>
        <v>0</v>
      </c>
      <c r="E71" s="63">
        <f t="shared" si="17"/>
        <v>0</v>
      </c>
      <c r="F71" s="63">
        <f t="shared" si="18"/>
        <v>0</v>
      </c>
      <c r="G71" s="63">
        <f t="shared" si="20"/>
        <v>0</v>
      </c>
      <c r="H71" s="63">
        <f t="shared" si="19"/>
        <v>0</v>
      </c>
      <c r="I71" s="64">
        <f t="shared" si="21"/>
        <v>0</v>
      </c>
      <c r="J71" s="65"/>
      <c r="K71" s="65"/>
      <c r="L71" s="83"/>
      <c r="M71" s="67"/>
      <c r="N71" s="68"/>
      <c r="O71" s="62"/>
      <c r="P71" s="69"/>
      <c r="Q71" s="70"/>
      <c r="R71" s="50">
        <f t="shared" si="22"/>
        <v>0</v>
      </c>
      <c r="S71" s="71"/>
      <c r="T71" s="69"/>
      <c r="U71" s="72"/>
      <c r="V71" s="73"/>
      <c r="W71" s="74"/>
      <c r="X71" s="75"/>
      <c r="Y71" s="75"/>
      <c r="Z71" s="76"/>
      <c r="AA71" s="77"/>
      <c r="AB71" s="73"/>
      <c r="AC71" s="74"/>
      <c r="AD71" s="75"/>
      <c r="AE71" s="75"/>
      <c r="AF71" s="75"/>
      <c r="AG71" s="75"/>
      <c r="AH71" s="75"/>
      <c r="AI71" s="75"/>
      <c r="AJ71" s="78"/>
      <c r="AK71" s="79"/>
      <c r="AL71" s="75"/>
      <c r="AM71" s="75"/>
      <c r="AN71" s="75"/>
      <c r="AO71" s="75"/>
      <c r="AP71" s="75"/>
      <c r="AQ71" s="75"/>
      <c r="AR71" s="75"/>
      <c r="AS71" s="77"/>
      <c r="AT71" s="74"/>
      <c r="AU71" s="78"/>
      <c r="AV71" s="79"/>
      <c r="AW71" s="75"/>
      <c r="AX71" s="75"/>
      <c r="AY71" s="75"/>
      <c r="AZ71" s="77"/>
      <c r="BA71" s="74"/>
      <c r="BB71" s="75"/>
      <c r="BC71" s="75"/>
      <c r="BD71" s="77"/>
      <c r="BE71" s="6">
        <f t="shared" si="14"/>
        <v>0</v>
      </c>
    </row>
    <row r="72" spans="1:57">
      <c r="A72" s="61"/>
      <c r="B72" s="40"/>
      <c r="C72" s="62">
        <f t="shared" si="15"/>
        <v>0</v>
      </c>
      <c r="D72" s="63">
        <f t="shared" si="16"/>
        <v>0</v>
      </c>
      <c r="E72" s="63">
        <f t="shared" si="17"/>
        <v>0</v>
      </c>
      <c r="F72" s="63">
        <f t="shared" si="18"/>
        <v>0</v>
      </c>
      <c r="G72" s="63">
        <f t="shared" si="20"/>
        <v>0</v>
      </c>
      <c r="H72" s="63">
        <f t="shared" si="19"/>
        <v>0</v>
      </c>
      <c r="I72" s="64">
        <f t="shared" si="21"/>
        <v>0</v>
      </c>
      <c r="J72" s="65"/>
      <c r="K72" s="65"/>
      <c r="L72" s="83"/>
      <c r="M72" s="67"/>
      <c r="N72" s="68"/>
      <c r="O72" s="62"/>
      <c r="P72" s="69"/>
      <c r="Q72" s="70"/>
      <c r="R72" s="50">
        <f t="shared" si="22"/>
        <v>0</v>
      </c>
      <c r="S72" s="71"/>
      <c r="T72" s="69"/>
      <c r="U72" s="72"/>
      <c r="V72" s="73"/>
      <c r="W72" s="74"/>
      <c r="X72" s="75"/>
      <c r="Y72" s="75"/>
      <c r="Z72" s="76"/>
      <c r="AA72" s="77"/>
      <c r="AB72" s="73"/>
      <c r="AC72" s="74"/>
      <c r="AD72" s="75"/>
      <c r="AE72" s="75"/>
      <c r="AF72" s="75"/>
      <c r="AG72" s="75"/>
      <c r="AH72" s="75"/>
      <c r="AI72" s="75"/>
      <c r="AJ72" s="78"/>
      <c r="AK72" s="79"/>
      <c r="AL72" s="75"/>
      <c r="AM72" s="75"/>
      <c r="AN72" s="75"/>
      <c r="AO72" s="75"/>
      <c r="AP72" s="75"/>
      <c r="AQ72" s="75"/>
      <c r="AR72" s="75"/>
      <c r="AS72" s="77"/>
      <c r="AT72" s="74"/>
      <c r="AU72" s="78"/>
      <c r="AV72" s="79"/>
      <c r="AW72" s="75"/>
      <c r="AX72" s="75"/>
      <c r="AY72" s="75"/>
      <c r="AZ72" s="77"/>
      <c r="BA72" s="74"/>
      <c r="BB72" s="75"/>
      <c r="BC72" s="75"/>
      <c r="BD72" s="77"/>
      <c r="BE72" s="6">
        <f t="shared" si="14"/>
        <v>0</v>
      </c>
    </row>
    <row r="73" spans="1:57">
      <c r="A73" s="61"/>
      <c r="B73" s="40"/>
      <c r="C73" s="62">
        <f t="shared" si="15"/>
        <v>0</v>
      </c>
      <c r="D73" s="63">
        <f t="shared" si="16"/>
        <v>0</v>
      </c>
      <c r="E73" s="63">
        <f t="shared" si="17"/>
        <v>0</v>
      </c>
      <c r="F73" s="63">
        <f t="shared" si="18"/>
        <v>0</v>
      </c>
      <c r="G73" s="63">
        <f t="shared" si="20"/>
        <v>0</v>
      </c>
      <c r="H73" s="63">
        <f t="shared" si="19"/>
        <v>0</v>
      </c>
      <c r="I73" s="64">
        <f t="shared" si="21"/>
        <v>0</v>
      </c>
      <c r="J73" s="65"/>
      <c r="K73" s="65"/>
      <c r="L73" s="83"/>
      <c r="M73" s="67"/>
      <c r="N73" s="68"/>
      <c r="O73" s="62"/>
      <c r="P73" s="69"/>
      <c r="Q73" s="70"/>
      <c r="R73" s="50">
        <f t="shared" si="22"/>
        <v>0</v>
      </c>
      <c r="S73" s="71"/>
      <c r="T73" s="69"/>
      <c r="U73" s="72"/>
      <c r="V73" s="73"/>
      <c r="W73" s="74"/>
      <c r="X73" s="75"/>
      <c r="Y73" s="75"/>
      <c r="Z73" s="76"/>
      <c r="AA73" s="77"/>
      <c r="AB73" s="73"/>
      <c r="AC73" s="74"/>
      <c r="AD73" s="75"/>
      <c r="AE73" s="75"/>
      <c r="AF73" s="75"/>
      <c r="AG73" s="75"/>
      <c r="AH73" s="75"/>
      <c r="AI73" s="75"/>
      <c r="AJ73" s="78"/>
      <c r="AK73" s="79"/>
      <c r="AL73" s="75"/>
      <c r="AM73" s="75"/>
      <c r="AN73" s="75"/>
      <c r="AO73" s="75"/>
      <c r="AP73" s="75"/>
      <c r="AQ73" s="75"/>
      <c r="AR73" s="75"/>
      <c r="AS73" s="77"/>
      <c r="AT73" s="74"/>
      <c r="AU73" s="78"/>
      <c r="AV73" s="79"/>
      <c r="AW73" s="75"/>
      <c r="AX73" s="75"/>
      <c r="AY73" s="75"/>
      <c r="AZ73" s="77"/>
      <c r="BA73" s="74"/>
      <c r="BB73" s="75"/>
      <c r="BC73" s="75"/>
      <c r="BD73" s="77"/>
      <c r="BE73" s="6">
        <f t="shared" si="14"/>
        <v>0</v>
      </c>
    </row>
    <row r="74" spans="1:57">
      <c r="A74" s="61"/>
      <c r="B74" s="40"/>
      <c r="C74" s="62">
        <f t="shared" si="15"/>
        <v>0</v>
      </c>
      <c r="D74" s="63">
        <f t="shared" si="16"/>
        <v>0</v>
      </c>
      <c r="E74" s="63">
        <f t="shared" si="17"/>
        <v>0</v>
      </c>
      <c r="F74" s="63">
        <f t="shared" si="18"/>
        <v>0</v>
      </c>
      <c r="G74" s="63">
        <f t="shared" si="20"/>
        <v>0</v>
      </c>
      <c r="H74" s="63">
        <f t="shared" si="19"/>
        <v>0</v>
      </c>
      <c r="I74" s="64">
        <f t="shared" si="21"/>
        <v>0</v>
      </c>
      <c r="J74" s="65"/>
      <c r="K74" s="65"/>
      <c r="L74" s="100"/>
      <c r="M74" s="67"/>
      <c r="N74" s="68"/>
      <c r="O74" s="62"/>
      <c r="P74" s="69"/>
      <c r="Q74" s="70"/>
      <c r="R74" s="50">
        <f t="shared" si="22"/>
        <v>0</v>
      </c>
      <c r="S74" s="71"/>
      <c r="T74" s="69"/>
      <c r="U74" s="72"/>
      <c r="V74" s="73"/>
      <c r="W74" s="74"/>
      <c r="X74" s="75"/>
      <c r="Y74" s="75"/>
      <c r="Z74" s="76"/>
      <c r="AA74" s="77"/>
      <c r="AB74" s="73"/>
      <c r="AC74" s="74"/>
      <c r="AD74" s="75"/>
      <c r="AE74" s="75"/>
      <c r="AF74" s="75"/>
      <c r="AG74" s="75"/>
      <c r="AH74" s="75"/>
      <c r="AI74" s="75"/>
      <c r="AJ74" s="78"/>
      <c r="AK74" s="79"/>
      <c r="AL74" s="75"/>
      <c r="AM74" s="75"/>
      <c r="AN74" s="75"/>
      <c r="AO74" s="75"/>
      <c r="AP74" s="75"/>
      <c r="AQ74" s="75"/>
      <c r="AR74" s="75"/>
      <c r="AS74" s="77"/>
      <c r="AT74" s="74"/>
      <c r="AU74" s="78"/>
      <c r="AV74" s="79"/>
      <c r="AW74" s="75"/>
      <c r="AX74" s="75"/>
      <c r="AY74" s="75"/>
      <c r="AZ74" s="77"/>
      <c r="BA74" s="74"/>
      <c r="BB74" s="75"/>
      <c r="BC74" s="75"/>
      <c r="BD74" s="77"/>
      <c r="BE74" s="6">
        <f t="shared" si="14"/>
        <v>0</v>
      </c>
    </row>
    <row r="75" spans="1:57">
      <c r="A75" s="61"/>
      <c r="B75" s="40"/>
      <c r="C75" s="62">
        <f t="shared" si="15"/>
        <v>0</v>
      </c>
      <c r="D75" s="63">
        <f t="shared" si="16"/>
        <v>0</v>
      </c>
      <c r="E75" s="63">
        <f t="shared" si="17"/>
        <v>0</v>
      </c>
      <c r="F75" s="63">
        <f t="shared" si="18"/>
        <v>0</v>
      </c>
      <c r="G75" s="63">
        <f t="shared" si="20"/>
        <v>0</v>
      </c>
      <c r="H75" s="63">
        <f t="shared" si="19"/>
        <v>0</v>
      </c>
      <c r="I75" s="64">
        <f t="shared" si="21"/>
        <v>0</v>
      </c>
      <c r="J75" s="65"/>
      <c r="K75" s="65"/>
      <c r="L75" s="83"/>
      <c r="M75" s="67"/>
      <c r="N75" s="68"/>
      <c r="O75" s="62"/>
      <c r="P75" s="69"/>
      <c r="Q75" s="70"/>
      <c r="R75" s="50">
        <f t="shared" si="22"/>
        <v>0</v>
      </c>
      <c r="S75" s="71"/>
      <c r="T75" s="69"/>
      <c r="U75" s="72"/>
      <c r="V75" s="73"/>
      <c r="W75" s="74"/>
      <c r="X75" s="75"/>
      <c r="Y75" s="75"/>
      <c r="Z75" s="76"/>
      <c r="AA75" s="77"/>
      <c r="AB75" s="73"/>
      <c r="AC75" s="74"/>
      <c r="AD75" s="75"/>
      <c r="AE75" s="75"/>
      <c r="AF75" s="75"/>
      <c r="AG75" s="75"/>
      <c r="AH75" s="75"/>
      <c r="AI75" s="75"/>
      <c r="AJ75" s="78"/>
      <c r="AK75" s="79"/>
      <c r="AL75" s="75"/>
      <c r="AM75" s="75"/>
      <c r="AN75" s="75"/>
      <c r="AO75" s="75"/>
      <c r="AP75" s="75"/>
      <c r="AQ75" s="75"/>
      <c r="AR75" s="75"/>
      <c r="AS75" s="77"/>
      <c r="AT75" s="74"/>
      <c r="AU75" s="78"/>
      <c r="AV75" s="79"/>
      <c r="AW75" s="75"/>
      <c r="AX75" s="75"/>
      <c r="AY75" s="75"/>
      <c r="AZ75" s="77"/>
      <c r="BA75" s="74"/>
      <c r="BB75" s="75"/>
      <c r="BC75" s="75"/>
      <c r="BD75" s="77"/>
      <c r="BE75" s="6">
        <f t="shared" si="14"/>
        <v>0</v>
      </c>
    </row>
    <row r="76" spans="1:57">
      <c r="A76" s="61"/>
      <c r="B76" s="40"/>
      <c r="C76" s="62">
        <f t="shared" si="15"/>
        <v>0</v>
      </c>
      <c r="D76" s="63">
        <f t="shared" si="16"/>
        <v>0</v>
      </c>
      <c r="E76" s="63">
        <f t="shared" si="17"/>
        <v>0</v>
      </c>
      <c r="F76" s="63">
        <f t="shared" si="18"/>
        <v>0</v>
      </c>
      <c r="G76" s="63">
        <f t="shared" si="20"/>
        <v>0</v>
      </c>
      <c r="H76" s="63">
        <f t="shared" si="19"/>
        <v>0</v>
      </c>
      <c r="I76" s="64">
        <f t="shared" si="21"/>
        <v>0</v>
      </c>
      <c r="J76" s="65"/>
      <c r="K76" s="65"/>
      <c r="L76" s="83"/>
      <c r="M76" s="67"/>
      <c r="N76" s="68"/>
      <c r="O76" s="62"/>
      <c r="P76" s="69"/>
      <c r="Q76" s="70"/>
      <c r="R76" s="50">
        <f t="shared" si="22"/>
        <v>0</v>
      </c>
      <c r="S76" s="71"/>
      <c r="T76" s="85"/>
      <c r="U76" s="72"/>
      <c r="V76" s="73"/>
      <c r="W76" s="74"/>
      <c r="X76" s="75"/>
      <c r="Y76" s="75"/>
      <c r="Z76" s="76"/>
      <c r="AA76" s="77"/>
      <c r="AB76" s="73"/>
      <c r="AC76" s="74"/>
      <c r="AD76" s="75"/>
      <c r="AE76" s="75"/>
      <c r="AF76" s="75"/>
      <c r="AG76" s="75"/>
      <c r="AH76" s="75"/>
      <c r="AI76" s="75"/>
      <c r="AJ76" s="78"/>
      <c r="AK76" s="79"/>
      <c r="AL76" s="75"/>
      <c r="AM76" s="75"/>
      <c r="AN76" s="75"/>
      <c r="AO76" s="75"/>
      <c r="AP76" s="75"/>
      <c r="AQ76" s="75"/>
      <c r="AR76" s="75"/>
      <c r="AS76" s="77"/>
      <c r="AT76" s="74"/>
      <c r="AU76" s="78"/>
      <c r="AV76" s="79"/>
      <c r="AW76" s="75"/>
      <c r="AX76" s="75"/>
      <c r="AY76" s="75"/>
      <c r="AZ76" s="77"/>
      <c r="BA76" s="74"/>
      <c r="BB76" s="75"/>
      <c r="BC76" s="75"/>
      <c r="BD76" s="77"/>
      <c r="BE76" s="6">
        <f t="shared" si="14"/>
        <v>0</v>
      </c>
    </row>
    <row r="77" spans="1:57">
      <c r="A77" s="61"/>
      <c r="B77" s="40"/>
      <c r="C77" s="62">
        <f t="shared" si="15"/>
        <v>0</v>
      </c>
      <c r="D77" s="63">
        <f t="shared" si="16"/>
        <v>0</v>
      </c>
      <c r="E77" s="63">
        <f t="shared" si="17"/>
        <v>0</v>
      </c>
      <c r="F77" s="63">
        <f t="shared" si="18"/>
        <v>0</v>
      </c>
      <c r="G77" s="63">
        <f t="shared" si="20"/>
        <v>0</v>
      </c>
      <c r="H77" s="63">
        <f t="shared" si="19"/>
        <v>0</v>
      </c>
      <c r="I77" s="64">
        <f t="shared" si="21"/>
        <v>0</v>
      </c>
      <c r="J77" s="65"/>
      <c r="K77" s="65"/>
      <c r="L77" s="83"/>
      <c r="M77" s="67"/>
      <c r="N77" s="68"/>
      <c r="O77" s="62"/>
      <c r="P77" s="69"/>
      <c r="Q77" s="70"/>
      <c r="R77" s="50">
        <f t="shared" si="22"/>
        <v>0</v>
      </c>
      <c r="S77" s="71"/>
      <c r="T77" s="94"/>
      <c r="U77" s="72"/>
      <c r="V77" s="73"/>
      <c r="W77" s="74"/>
      <c r="X77" s="75"/>
      <c r="Y77" s="75"/>
      <c r="Z77" s="76"/>
      <c r="AA77" s="77"/>
      <c r="AB77" s="73"/>
      <c r="AC77" s="74"/>
      <c r="AD77" s="75"/>
      <c r="AE77" s="75"/>
      <c r="AF77" s="75"/>
      <c r="AG77" s="75"/>
      <c r="AH77" s="75"/>
      <c r="AI77" s="75"/>
      <c r="AJ77" s="78"/>
      <c r="AK77" s="79"/>
      <c r="AL77" s="75"/>
      <c r="AM77" s="75"/>
      <c r="AN77" s="75"/>
      <c r="AO77" s="75"/>
      <c r="AP77" s="75"/>
      <c r="AQ77" s="75"/>
      <c r="AR77" s="75"/>
      <c r="AS77" s="77"/>
      <c r="AT77" s="74"/>
      <c r="AU77" s="78"/>
      <c r="AV77" s="79"/>
      <c r="AW77" s="75"/>
      <c r="AX77" s="75"/>
      <c r="AY77" s="75"/>
      <c r="AZ77" s="77"/>
      <c r="BA77" s="74"/>
      <c r="BB77" s="75"/>
      <c r="BC77" s="75"/>
      <c r="BD77" s="77"/>
      <c r="BE77" s="6">
        <f t="shared" si="14"/>
        <v>0</v>
      </c>
    </row>
    <row r="78" spans="1:57">
      <c r="A78" s="61"/>
      <c r="B78" s="40"/>
      <c r="C78" s="62">
        <f t="shared" si="15"/>
        <v>0</v>
      </c>
      <c r="D78" s="63">
        <f t="shared" si="16"/>
        <v>0</v>
      </c>
      <c r="E78" s="63">
        <f t="shared" si="17"/>
        <v>0</v>
      </c>
      <c r="F78" s="63">
        <f t="shared" si="18"/>
        <v>0</v>
      </c>
      <c r="G78" s="63">
        <f t="shared" si="20"/>
        <v>0</v>
      </c>
      <c r="H78" s="63">
        <f t="shared" si="19"/>
        <v>0</v>
      </c>
      <c r="I78" s="64">
        <f t="shared" si="21"/>
        <v>0</v>
      </c>
      <c r="J78" s="65"/>
      <c r="K78" s="91"/>
      <c r="L78" s="83"/>
      <c r="M78" s="67"/>
      <c r="N78" s="68"/>
      <c r="O78" s="62"/>
      <c r="P78" s="69"/>
      <c r="Q78" s="70"/>
      <c r="R78" s="50">
        <f t="shared" si="22"/>
        <v>0</v>
      </c>
      <c r="S78" s="71"/>
      <c r="T78" s="94"/>
      <c r="U78" s="72"/>
      <c r="V78" s="73"/>
      <c r="W78" s="74"/>
      <c r="X78" s="75"/>
      <c r="Y78" s="75"/>
      <c r="Z78" s="76"/>
      <c r="AA78" s="77"/>
      <c r="AB78" s="73"/>
      <c r="AC78" s="74"/>
      <c r="AD78" s="75"/>
      <c r="AE78" s="75"/>
      <c r="AF78" s="75"/>
      <c r="AG78" s="75"/>
      <c r="AH78" s="75"/>
      <c r="AI78" s="75"/>
      <c r="AJ78" s="78"/>
      <c r="AK78" s="79"/>
      <c r="AL78" s="75"/>
      <c r="AM78" s="75"/>
      <c r="AN78" s="75"/>
      <c r="AO78" s="75"/>
      <c r="AP78" s="75"/>
      <c r="AQ78" s="75"/>
      <c r="AR78" s="75"/>
      <c r="AS78" s="77"/>
      <c r="AT78" s="74"/>
      <c r="AU78" s="78"/>
      <c r="AV78" s="79"/>
      <c r="AW78" s="75"/>
      <c r="AX78" s="75"/>
      <c r="AY78" s="75"/>
      <c r="AZ78" s="77"/>
      <c r="BA78" s="74"/>
      <c r="BB78" s="75"/>
      <c r="BC78" s="75"/>
      <c r="BD78" s="77"/>
      <c r="BE78" s="6">
        <f t="shared" si="14"/>
        <v>0</v>
      </c>
    </row>
    <row r="79" spans="1:57">
      <c r="A79" s="61"/>
      <c r="B79" s="40"/>
      <c r="C79" s="62">
        <f t="shared" si="15"/>
        <v>0</v>
      </c>
      <c r="D79" s="63">
        <f t="shared" si="16"/>
        <v>0</v>
      </c>
      <c r="E79" s="63">
        <f t="shared" si="17"/>
        <v>0</v>
      </c>
      <c r="F79" s="63">
        <f t="shared" si="18"/>
        <v>0</v>
      </c>
      <c r="G79" s="63">
        <f t="shared" si="20"/>
        <v>0</v>
      </c>
      <c r="H79" s="63">
        <f t="shared" si="19"/>
        <v>0</v>
      </c>
      <c r="I79" s="64">
        <f t="shared" si="21"/>
        <v>0</v>
      </c>
      <c r="J79" s="65"/>
      <c r="K79" s="65"/>
      <c r="L79" s="83"/>
      <c r="M79" s="67"/>
      <c r="N79" s="68"/>
      <c r="O79" s="62"/>
      <c r="P79" s="69"/>
      <c r="Q79" s="70"/>
      <c r="R79" s="50">
        <f t="shared" si="22"/>
        <v>0</v>
      </c>
      <c r="S79" s="92"/>
      <c r="T79" s="69"/>
      <c r="U79" s="72"/>
      <c r="V79" s="73"/>
      <c r="W79" s="74"/>
      <c r="X79" s="75"/>
      <c r="Y79" s="75"/>
      <c r="Z79" s="76"/>
      <c r="AA79" s="77"/>
      <c r="AB79" s="73"/>
      <c r="AC79" s="74"/>
      <c r="AD79" s="75"/>
      <c r="AE79" s="75"/>
      <c r="AF79" s="75"/>
      <c r="AG79" s="75"/>
      <c r="AH79" s="75"/>
      <c r="AI79" s="75"/>
      <c r="AJ79" s="78"/>
      <c r="AK79" s="79"/>
      <c r="AL79" s="75"/>
      <c r="AM79" s="75"/>
      <c r="AN79" s="75"/>
      <c r="AO79" s="75"/>
      <c r="AP79" s="75"/>
      <c r="AQ79" s="75"/>
      <c r="AR79" s="75"/>
      <c r="AS79" s="77"/>
      <c r="AT79" s="74"/>
      <c r="AU79" s="78"/>
      <c r="AV79" s="79"/>
      <c r="AW79" s="75"/>
      <c r="AX79" s="75"/>
      <c r="AY79" s="75"/>
      <c r="AZ79" s="77"/>
      <c r="BA79" s="74"/>
      <c r="BB79" s="75"/>
      <c r="BC79" s="75"/>
      <c r="BD79" s="77"/>
      <c r="BE79" s="6">
        <f t="shared" ref="BE79:BE110" si="23">I79-SUM(AB79:BD79)</f>
        <v>0</v>
      </c>
    </row>
    <row r="80" spans="1:57">
      <c r="A80" s="61"/>
      <c r="B80" s="40"/>
      <c r="C80" s="62">
        <f t="shared" si="15"/>
        <v>0</v>
      </c>
      <c r="D80" s="63">
        <f t="shared" si="16"/>
        <v>0</v>
      </c>
      <c r="E80" s="63">
        <f t="shared" si="17"/>
        <v>0</v>
      </c>
      <c r="F80" s="63">
        <f t="shared" si="18"/>
        <v>0</v>
      </c>
      <c r="G80" s="63">
        <f t="shared" si="20"/>
        <v>0</v>
      </c>
      <c r="H80" s="63">
        <f t="shared" si="19"/>
        <v>0</v>
      </c>
      <c r="I80" s="64">
        <f t="shared" si="21"/>
        <v>0</v>
      </c>
      <c r="J80" s="65"/>
      <c r="K80" s="65"/>
      <c r="L80" s="83"/>
      <c r="M80" s="67"/>
      <c r="N80" s="68"/>
      <c r="O80" s="62"/>
      <c r="P80" s="69"/>
      <c r="Q80" s="70"/>
      <c r="R80" s="50">
        <f t="shared" si="22"/>
        <v>0</v>
      </c>
      <c r="S80" s="71"/>
      <c r="T80" s="69"/>
      <c r="U80" s="72"/>
      <c r="V80" s="73"/>
      <c r="W80" s="74"/>
      <c r="X80" s="75"/>
      <c r="Y80" s="75"/>
      <c r="Z80" s="76"/>
      <c r="AA80" s="77"/>
      <c r="AB80" s="73"/>
      <c r="AC80" s="74"/>
      <c r="AD80" s="75"/>
      <c r="AE80" s="75"/>
      <c r="AF80" s="75"/>
      <c r="AG80" s="75"/>
      <c r="AH80" s="75"/>
      <c r="AI80" s="75"/>
      <c r="AJ80" s="78"/>
      <c r="AK80" s="79"/>
      <c r="AL80" s="75"/>
      <c r="AM80" s="75"/>
      <c r="AN80" s="75"/>
      <c r="AO80" s="75"/>
      <c r="AP80" s="75"/>
      <c r="AQ80" s="75"/>
      <c r="AR80" s="75"/>
      <c r="AS80" s="77"/>
      <c r="AT80" s="74"/>
      <c r="AU80" s="78"/>
      <c r="AV80" s="79"/>
      <c r="AW80" s="75"/>
      <c r="AX80" s="75"/>
      <c r="AY80" s="75"/>
      <c r="AZ80" s="77"/>
      <c r="BA80" s="74"/>
      <c r="BB80" s="75"/>
      <c r="BC80" s="75"/>
      <c r="BD80" s="77"/>
      <c r="BE80" s="6">
        <f t="shared" si="23"/>
        <v>0</v>
      </c>
    </row>
    <row r="81" spans="1:57">
      <c r="A81" s="61"/>
      <c r="B81" s="40"/>
      <c r="C81" s="62">
        <f t="shared" si="15"/>
        <v>0</v>
      </c>
      <c r="D81" s="63">
        <f t="shared" si="16"/>
        <v>0</v>
      </c>
      <c r="E81" s="63">
        <f t="shared" si="17"/>
        <v>0</v>
      </c>
      <c r="F81" s="63">
        <f t="shared" si="18"/>
        <v>0</v>
      </c>
      <c r="G81" s="63">
        <f t="shared" si="20"/>
        <v>0</v>
      </c>
      <c r="H81" s="63">
        <f t="shared" si="19"/>
        <v>0</v>
      </c>
      <c r="I81" s="64">
        <f t="shared" si="21"/>
        <v>0</v>
      </c>
      <c r="J81" s="65"/>
      <c r="K81" s="65"/>
      <c r="L81" s="83"/>
      <c r="M81" s="67"/>
      <c r="N81" s="68"/>
      <c r="O81" s="62"/>
      <c r="P81" s="69"/>
      <c r="Q81" s="70"/>
      <c r="R81" s="50">
        <f t="shared" si="22"/>
        <v>0</v>
      </c>
      <c r="S81" s="71"/>
      <c r="T81" s="94"/>
      <c r="U81" s="72"/>
      <c r="V81" s="73"/>
      <c r="W81" s="74"/>
      <c r="X81" s="75"/>
      <c r="Y81" s="75"/>
      <c r="Z81" s="76"/>
      <c r="AA81" s="77"/>
      <c r="AB81" s="73"/>
      <c r="AC81" s="74"/>
      <c r="AD81" s="75"/>
      <c r="AE81" s="75"/>
      <c r="AF81" s="75"/>
      <c r="AG81" s="75"/>
      <c r="AH81" s="75"/>
      <c r="AI81" s="75"/>
      <c r="AJ81" s="78"/>
      <c r="AK81" s="79"/>
      <c r="AL81" s="75"/>
      <c r="AM81" s="75"/>
      <c r="AN81" s="75"/>
      <c r="AO81" s="75"/>
      <c r="AP81" s="75"/>
      <c r="AQ81" s="75"/>
      <c r="AR81" s="75"/>
      <c r="AS81" s="77"/>
      <c r="AT81" s="74"/>
      <c r="AU81" s="78"/>
      <c r="AV81" s="79"/>
      <c r="AW81" s="75"/>
      <c r="AX81" s="75"/>
      <c r="AY81" s="75"/>
      <c r="AZ81" s="77"/>
      <c r="BA81" s="74"/>
      <c r="BB81" s="75"/>
      <c r="BC81" s="75"/>
      <c r="BD81" s="77"/>
      <c r="BE81" s="6">
        <f t="shared" si="23"/>
        <v>0</v>
      </c>
    </row>
    <row r="82" spans="1:57">
      <c r="A82" s="61"/>
      <c r="B82" s="40"/>
      <c r="C82" s="62">
        <f t="shared" si="15"/>
        <v>0</v>
      </c>
      <c r="D82" s="63">
        <f t="shared" si="16"/>
        <v>0</v>
      </c>
      <c r="E82" s="63">
        <f t="shared" si="17"/>
        <v>0</v>
      </c>
      <c r="F82" s="63">
        <f t="shared" si="18"/>
        <v>0</v>
      </c>
      <c r="G82" s="63">
        <f t="shared" si="20"/>
        <v>0</v>
      </c>
      <c r="H82" s="63">
        <f t="shared" si="19"/>
        <v>0</v>
      </c>
      <c r="I82" s="64">
        <f t="shared" si="21"/>
        <v>0</v>
      </c>
      <c r="J82" s="65"/>
      <c r="K82" s="91"/>
      <c r="L82" s="83"/>
      <c r="M82" s="67"/>
      <c r="N82" s="68"/>
      <c r="O82" s="62"/>
      <c r="P82" s="69"/>
      <c r="Q82" s="70"/>
      <c r="R82" s="50">
        <f t="shared" si="22"/>
        <v>0</v>
      </c>
      <c r="S82" s="71"/>
      <c r="T82" s="94"/>
      <c r="U82" s="72"/>
      <c r="V82" s="73"/>
      <c r="W82" s="74"/>
      <c r="X82" s="75"/>
      <c r="Y82" s="75"/>
      <c r="Z82" s="76"/>
      <c r="AA82" s="77"/>
      <c r="AB82" s="73"/>
      <c r="AC82" s="74"/>
      <c r="AD82" s="75"/>
      <c r="AE82" s="75"/>
      <c r="AF82" s="75"/>
      <c r="AG82" s="75"/>
      <c r="AH82" s="75"/>
      <c r="AI82" s="75"/>
      <c r="AJ82" s="78"/>
      <c r="AK82" s="79"/>
      <c r="AL82" s="75"/>
      <c r="AM82" s="75"/>
      <c r="AN82" s="75"/>
      <c r="AO82" s="75"/>
      <c r="AP82" s="75"/>
      <c r="AQ82" s="75"/>
      <c r="AR82" s="75"/>
      <c r="AS82" s="77"/>
      <c r="AT82" s="74"/>
      <c r="AU82" s="78"/>
      <c r="AV82" s="79"/>
      <c r="AW82" s="75"/>
      <c r="AX82" s="75"/>
      <c r="AY82" s="75"/>
      <c r="AZ82" s="77"/>
      <c r="BA82" s="74"/>
      <c r="BB82" s="75"/>
      <c r="BC82" s="75"/>
      <c r="BD82" s="77"/>
      <c r="BE82" s="6">
        <f t="shared" si="23"/>
        <v>0</v>
      </c>
    </row>
    <row r="83" spans="1:57">
      <c r="A83" s="61"/>
      <c r="B83" s="40"/>
      <c r="C83" s="62">
        <f t="shared" si="15"/>
        <v>0</v>
      </c>
      <c r="D83" s="63">
        <f t="shared" si="16"/>
        <v>0</v>
      </c>
      <c r="E83" s="63">
        <f t="shared" si="17"/>
        <v>0</v>
      </c>
      <c r="F83" s="63">
        <f t="shared" si="18"/>
        <v>0</v>
      </c>
      <c r="G83" s="63">
        <f t="shared" si="20"/>
        <v>0</v>
      </c>
      <c r="H83" s="63">
        <f t="shared" si="19"/>
        <v>0</v>
      </c>
      <c r="I83" s="64">
        <f t="shared" si="21"/>
        <v>0</v>
      </c>
      <c r="J83" s="65"/>
      <c r="K83" s="91"/>
      <c r="L83" s="83"/>
      <c r="M83" s="67"/>
      <c r="N83" s="68"/>
      <c r="O83" s="62"/>
      <c r="P83" s="69"/>
      <c r="Q83" s="70"/>
      <c r="R83" s="50">
        <f t="shared" si="22"/>
        <v>0</v>
      </c>
      <c r="S83" s="71"/>
      <c r="T83" s="69"/>
      <c r="U83" s="72"/>
      <c r="V83" s="73"/>
      <c r="W83" s="74"/>
      <c r="X83" s="75"/>
      <c r="Y83" s="75"/>
      <c r="Z83" s="76"/>
      <c r="AA83" s="77"/>
      <c r="AB83" s="73"/>
      <c r="AC83" s="74"/>
      <c r="AD83" s="75"/>
      <c r="AE83" s="75"/>
      <c r="AF83" s="75"/>
      <c r="AG83" s="75"/>
      <c r="AH83" s="75"/>
      <c r="AI83" s="75"/>
      <c r="AJ83" s="78"/>
      <c r="AK83" s="79"/>
      <c r="AL83" s="75"/>
      <c r="AM83" s="75"/>
      <c r="AN83" s="75"/>
      <c r="AO83" s="75"/>
      <c r="AP83" s="75"/>
      <c r="AQ83" s="75"/>
      <c r="AR83" s="75"/>
      <c r="AS83" s="77"/>
      <c r="AT83" s="74"/>
      <c r="AU83" s="78"/>
      <c r="AV83" s="79"/>
      <c r="AW83" s="75"/>
      <c r="AX83" s="75"/>
      <c r="AY83" s="75"/>
      <c r="AZ83" s="77"/>
      <c r="BA83" s="74"/>
      <c r="BB83" s="75"/>
      <c r="BC83" s="75"/>
      <c r="BD83" s="77"/>
      <c r="BE83" s="6">
        <f t="shared" si="23"/>
        <v>0</v>
      </c>
    </row>
    <row r="84" spans="1:57">
      <c r="A84" s="61"/>
      <c r="B84" s="40"/>
      <c r="C84" s="62">
        <f t="shared" si="15"/>
        <v>0</v>
      </c>
      <c r="D84" s="63">
        <f t="shared" si="16"/>
        <v>0</v>
      </c>
      <c r="E84" s="63">
        <f t="shared" si="17"/>
        <v>0</v>
      </c>
      <c r="F84" s="63">
        <f t="shared" si="18"/>
        <v>0</v>
      </c>
      <c r="G84" s="63">
        <f t="shared" si="20"/>
        <v>0</v>
      </c>
      <c r="H84" s="63">
        <f t="shared" si="19"/>
        <v>0</v>
      </c>
      <c r="I84" s="64">
        <f t="shared" si="21"/>
        <v>0</v>
      </c>
      <c r="J84" s="65"/>
      <c r="K84" s="65"/>
      <c r="L84" s="83"/>
      <c r="M84" s="67"/>
      <c r="N84" s="68"/>
      <c r="O84" s="62"/>
      <c r="P84" s="69"/>
      <c r="Q84" s="70"/>
      <c r="R84" s="50">
        <f t="shared" si="22"/>
        <v>0</v>
      </c>
      <c r="S84" s="71"/>
      <c r="T84" s="94"/>
      <c r="U84" s="72"/>
      <c r="V84" s="73"/>
      <c r="W84" s="74"/>
      <c r="X84" s="75"/>
      <c r="Y84" s="75"/>
      <c r="Z84" s="76"/>
      <c r="AA84" s="77"/>
      <c r="AB84" s="73"/>
      <c r="AC84" s="74"/>
      <c r="AD84" s="75"/>
      <c r="AE84" s="75"/>
      <c r="AF84" s="75"/>
      <c r="AG84" s="75"/>
      <c r="AH84" s="75"/>
      <c r="AI84" s="75"/>
      <c r="AJ84" s="78"/>
      <c r="AK84" s="79"/>
      <c r="AL84" s="75"/>
      <c r="AM84" s="75"/>
      <c r="AN84" s="75"/>
      <c r="AO84" s="75"/>
      <c r="AP84" s="75"/>
      <c r="AQ84" s="75"/>
      <c r="AR84" s="75"/>
      <c r="AS84" s="77"/>
      <c r="AT84" s="74"/>
      <c r="AU84" s="78"/>
      <c r="AV84" s="79"/>
      <c r="AW84" s="75"/>
      <c r="AX84" s="75"/>
      <c r="AY84" s="75"/>
      <c r="AZ84" s="77"/>
      <c r="BA84" s="74"/>
      <c r="BB84" s="75"/>
      <c r="BC84" s="75"/>
      <c r="BD84" s="77"/>
      <c r="BE84" s="6">
        <f t="shared" si="23"/>
        <v>0</v>
      </c>
    </row>
    <row r="85" spans="1:57">
      <c r="A85" s="61"/>
      <c r="B85" s="40"/>
      <c r="C85" s="62">
        <f t="shared" si="15"/>
        <v>0</v>
      </c>
      <c r="D85" s="63">
        <f t="shared" si="16"/>
        <v>0</v>
      </c>
      <c r="E85" s="63">
        <f t="shared" si="17"/>
        <v>0</v>
      </c>
      <c r="F85" s="63">
        <f t="shared" si="18"/>
        <v>0</v>
      </c>
      <c r="G85" s="63">
        <f t="shared" si="20"/>
        <v>0</v>
      </c>
      <c r="H85" s="63">
        <f t="shared" si="19"/>
        <v>0</v>
      </c>
      <c r="I85" s="64">
        <f t="shared" si="21"/>
        <v>0</v>
      </c>
      <c r="J85" s="65"/>
      <c r="K85" s="65"/>
      <c r="L85" s="83"/>
      <c r="M85" s="67"/>
      <c r="N85" s="68"/>
      <c r="O85" s="62"/>
      <c r="P85" s="69"/>
      <c r="Q85" s="70"/>
      <c r="R85" s="50">
        <f t="shared" si="22"/>
        <v>0</v>
      </c>
      <c r="S85" s="71"/>
      <c r="T85" s="94"/>
      <c r="U85" s="72"/>
      <c r="V85" s="73"/>
      <c r="W85" s="74"/>
      <c r="X85" s="75"/>
      <c r="Y85" s="75"/>
      <c r="Z85" s="76"/>
      <c r="AA85" s="77"/>
      <c r="AB85" s="73"/>
      <c r="AC85" s="74"/>
      <c r="AD85" s="75"/>
      <c r="AE85" s="75"/>
      <c r="AF85" s="75"/>
      <c r="AG85" s="75"/>
      <c r="AH85" s="75"/>
      <c r="AI85" s="75"/>
      <c r="AJ85" s="78"/>
      <c r="AK85" s="79"/>
      <c r="AL85" s="75"/>
      <c r="AM85" s="75"/>
      <c r="AN85" s="75"/>
      <c r="AO85" s="75"/>
      <c r="AP85" s="75"/>
      <c r="AQ85" s="75"/>
      <c r="AR85" s="75"/>
      <c r="AS85" s="77"/>
      <c r="AT85" s="74"/>
      <c r="AU85" s="78"/>
      <c r="AV85" s="79"/>
      <c r="AW85" s="75"/>
      <c r="AX85" s="75"/>
      <c r="AY85" s="75"/>
      <c r="AZ85" s="77"/>
      <c r="BA85" s="74"/>
      <c r="BB85" s="75"/>
      <c r="BC85" s="75"/>
      <c r="BD85" s="77"/>
      <c r="BE85" s="6">
        <f t="shared" si="23"/>
        <v>0</v>
      </c>
    </row>
    <row r="86" spans="1:57">
      <c r="A86" s="61"/>
      <c r="B86" s="40"/>
      <c r="C86" s="62">
        <f t="shared" si="15"/>
        <v>0</v>
      </c>
      <c r="D86" s="63">
        <f t="shared" si="16"/>
        <v>0</v>
      </c>
      <c r="E86" s="63">
        <f t="shared" si="17"/>
        <v>0</v>
      </c>
      <c r="F86" s="63">
        <f t="shared" si="18"/>
        <v>0</v>
      </c>
      <c r="G86" s="63">
        <f t="shared" si="20"/>
        <v>0</v>
      </c>
      <c r="H86" s="63">
        <f t="shared" si="19"/>
        <v>0</v>
      </c>
      <c r="I86" s="64">
        <f t="shared" si="21"/>
        <v>0</v>
      </c>
      <c r="J86" s="65"/>
      <c r="K86" s="65"/>
      <c r="L86" s="83"/>
      <c r="M86" s="67"/>
      <c r="N86" s="68"/>
      <c r="O86" s="62"/>
      <c r="P86" s="69"/>
      <c r="Q86" s="70"/>
      <c r="R86" s="50">
        <f t="shared" si="22"/>
        <v>0</v>
      </c>
      <c r="S86" s="71"/>
      <c r="T86" s="94"/>
      <c r="U86" s="72"/>
      <c r="V86" s="73"/>
      <c r="W86" s="74"/>
      <c r="X86" s="75"/>
      <c r="Y86" s="75"/>
      <c r="Z86" s="76"/>
      <c r="AA86" s="77"/>
      <c r="AB86" s="73"/>
      <c r="AC86" s="74"/>
      <c r="AD86" s="75"/>
      <c r="AE86" s="75"/>
      <c r="AF86" s="75"/>
      <c r="AG86" s="75"/>
      <c r="AH86" s="75"/>
      <c r="AI86" s="75"/>
      <c r="AJ86" s="78"/>
      <c r="AK86" s="79"/>
      <c r="AL86" s="75"/>
      <c r="AM86" s="75"/>
      <c r="AN86" s="75"/>
      <c r="AO86" s="75"/>
      <c r="AP86" s="75"/>
      <c r="AQ86" s="75"/>
      <c r="AR86" s="75"/>
      <c r="AS86" s="77"/>
      <c r="AT86" s="74"/>
      <c r="AU86" s="78"/>
      <c r="AV86" s="79"/>
      <c r="AW86" s="75"/>
      <c r="AX86" s="75"/>
      <c r="AY86" s="75"/>
      <c r="AZ86" s="77"/>
      <c r="BA86" s="74"/>
      <c r="BB86" s="75"/>
      <c r="BC86" s="75"/>
      <c r="BD86" s="77"/>
      <c r="BE86" s="6">
        <f t="shared" si="23"/>
        <v>0</v>
      </c>
    </row>
    <row r="87" spans="1:57">
      <c r="A87" s="61"/>
      <c r="B87" s="40"/>
      <c r="C87" s="62">
        <f t="shared" si="15"/>
        <v>0</v>
      </c>
      <c r="D87" s="63">
        <f t="shared" si="16"/>
        <v>0</v>
      </c>
      <c r="E87" s="63">
        <f t="shared" si="17"/>
        <v>0</v>
      </c>
      <c r="F87" s="63">
        <f t="shared" si="18"/>
        <v>0</v>
      </c>
      <c r="G87" s="63">
        <f t="shared" si="20"/>
        <v>0</v>
      </c>
      <c r="H87" s="63">
        <f t="shared" si="19"/>
        <v>0</v>
      </c>
      <c r="I87" s="64">
        <f t="shared" si="21"/>
        <v>0</v>
      </c>
      <c r="J87" s="65"/>
      <c r="K87" s="65"/>
      <c r="L87" s="83"/>
      <c r="M87" s="67"/>
      <c r="N87" s="68"/>
      <c r="O87" s="62"/>
      <c r="P87" s="69"/>
      <c r="Q87" s="70"/>
      <c r="R87" s="50">
        <f t="shared" si="22"/>
        <v>0</v>
      </c>
      <c r="S87" s="71"/>
      <c r="T87" s="69"/>
      <c r="U87" s="72"/>
      <c r="V87" s="73"/>
      <c r="W87" s="74"/>
      <c r="X87" s="75"/>
      <c r="Y87" s="75"/>
      <c r="Z87" s="76"/>
      <c r="AA87" s="77"/>
      <c r="AB87" s="73"/>
      <c r="AC87" s="74"/>
      <c r="AD87" s="75"/>
      <c r="AE87" s="75"/>
      <c r="AF87" s="75"/>
      <c r="AG87" s="75"/>
      <c r="AH87" s="75"/>
      <c r="AI87" s="75"/>
      <c r="AJ87" s="78"/>
      <c r="AK87" s="79"/>
      <c r="AL87" s="75"/>
      <c r="AM87" s="75"/>
      <c r="AN87" s="75"/>
      <c r="AO87" s="75"/>
      <c r="AP87" s="75"/>
      <c r="AQ87" s="75"/>
      <c r="AR87" s="75"/>
      <c r="AS87" s="77"/>
      <c r="AT87" s="74"/>
      <c r="AU87" s="78"/>
      <c r="AV87" s="79"/>
      <c r="AW87" s="75"/>
      <c r="AX87" s="75"/>
      <c r="AY87" s="75"/>
      <c r="AZ87" s="77"/>
      <c r="BA87" s="74"/>
      <c r="BB87" s="75"/>
      <c r="BC87" s="75"/>
      <c r="BD87" s="77"/>
      <c r="BE87" s="6">
        <f t="shared" si="23"/>
        <v>0</v>
      </c>
    </row>
    <row r="88" spans="1:57">
      <c r="A88" s="61"/>
      <c r="B88" s="40"/>
      <c r="C88" s="62">
        <f t="shared" si="15"/>
        <v>0</v>
      </c>
      <c r="D88" s="63">
        <f t="shared" si="16"/>
        <v>0</v>
      </c>
      <c r="E88" s="63">
        <f t="shared" si="17"/>
        <v>0</v>
      </c>
      <c r="F88" s="63">
        <f t="shared" si="18"/>
        <v>0</v>
      </c>
      <c r="G88" s="63">
        <f t="shared" si="20"/>
        <v>0</v>
      </c>
      <c r="H88" s="63">
        <f t="shared" si="19"/>
        <v>0</v>
      </c>
      <c r="I88" s="64">
        <f t="shared" si="21"/>
        <v>0</v>
      </c>
      <c r="J88" s="65"/>
      <c r="K88" s="65"/>
      <c r="L88" s="83"/>
      <c r="M88" s="67"/>
      <c r="N88" s="68"/>
      <c r="O88" s="62"/>
      <c r="P88" s="69"/>
      <c r="Q88" s="70"/>
      <c r="R88" s="50">
        <f t="shared" si="22"/>
        <v>0</v>
      </c>
      <c r="S88" s="71"/>
      <c r="T88" s="69"/>
      <c r="U88" s="72"/>
      <c r="V88" s="73"/>
      <c r="W88" s="74"/>
      <c r="X88" s="75"/>
      <c r="Y88" s="75"/>
      <c r="Z88" s="107"/>
      <c r="AA88" s="77"/>
      <c r="AB88" s="73"/>
      <c r="AC88" s="74"/>
      <c r="AD88" s="75"/>
      <c r="AE88" s="75"/>
      <c r="AF88" s="75"/>
      <c r="AG88" s="75"/>
      <c r="AH88" s="75"/>
      <c r="AI88" s="75"/>
      <c r="AJ88" s="78"/>
      <c r="AK88" s="79"/>
      <c r="AL88" s="75"/>
      <c r="AM88" s="75"/>
      <c r="AN88" s="75"/>
      <c r="AO88" s="75"/>
      <c r="AP88" s="75"/>
      <c r="AQ88" s="75"/>
      <c r="AR88" s="75"/>
      <c r="AS88" s="77"/>
      <c r="AT88" s="74"/>
      <c r="AU88" s="78"/>
      <c r="AV88" s="79"/>
      <c r="AW88" s="75"/>
      <c r="AX88" s="75"/>
      <c r="AY88" s="75"/>
      <c r="AZ88" s="77"/>
      <c r="BA88" s="74"/>
      <c r="BB88" s="75"/>
      <c r="BC88" s="75"/>
      <c r="BD88" s="77"/>
      <c r="BE88" s="6">
        <f t="shared" si="23"/>
        <v>0</v>
      </c>
    </row>
    <row r="89" spans="1:57">
      <c r="A89" s="61"/>
      <c r="B89" s="40"/>
      <c r="C89" s="62">
        <f t="shared" si="15"/>
        <v>0</v>
      </c>
      <c r="D89" s="63">
        <f t="shared" si="16"/>
        <v>0</v>
      </c>
      <c r="E89" s="63">
        <f t="shared" si="17"/>
        <v>0</v>
      </c>
      <c r="F89" s="63">
        <f t="shared" si="18"/>
        <v>0</v>
      </c>
      <c r="G89" s="63">
        <f t="shared" si="20"/>
        <v>0</v>
      </c>
      <c r="H89" s="63">
        <f t="shared" si="19"/>
        <v>0</v>
      </c>
      <c r="I89" s="64">
        <f t="shared" si="21"/>
        <v>0</v>
      </c>
      <c r="J89" s="65"/>
      <c r="K89" s="65"/>
      <c r="L89" s="83"/>
      <c r="M89" s="67"/>
      <c r="N89" s="68"/>
      <c r="O89" s="62"/>
      <c r="P89" s="69"/>
      <c r="Q89" s="70"/>
      <c r="R89" s="50">
        <f t="shared" si="22"/>
        <v>0</v>
      </c>
      <c r="S89" s="71"/>
      <c r="T89" s="94"/>
      <c r="U89" s="72"/>
      <c r="V89" s="73"/>
      <c r="W89" s="74"/>
      <c r="X89" s="75"/>
      <c r="Y89" s="75"/>
      <c r="Z89" s="76"/>
      <c r="AA89" s="77"/>
      <c r="AB89" s="73"/>
      <c r="AC89" s="74"/>
      <c r="AD89" s="75"/>
      <c r="AE89" s="75"/>
      <c r="AF89" s="75"/>
      <c r="AG89" s="75"/>
      <c r="AH89" s="75"/>
      <c r="AI89" s="75"/>
      <c r="AJ89" s="78"/>
      <c r="AK89" s="79"/>
      <c r="AL89" s="75"/>
      <c r="AM89" s="75"/>
      <c r="AN89" s="75"/>
      <c r="AO89" s="75"/>
      <c r="AP89" s="75"/>
      <c r="AQ89" s="75"/>
      <c r="AR89" s="75"/>
      <c r="AS89" s="77"/>
      <c r="AT89" s="74"/>
      <c r="AU89" s="78"/>
      <c r="AV89" s="79"/>
      <c r="AW89" s="75"/>
      <c r="AX89" s="75"/>
      <c r="AY89" s="75"/>
      <c r="AZ89" s="77"/>
      <c r="BA89" s="74"/>
      <c r="BB89" s="75"/>
      <c r="BC89" s="75"/>
      <c r="BD89" s="77"/>
      <c r="BE89" s="6">
        <f t="shared" si="23"/>
        <v>0</v>
      </c>
    </row>
    <row r="90" spans="1:57">
      <c r="A90" s="61"/>
      <c r="B90" s="40"/>
      <c r="C90" s="62">
        <f t="shared" si="15"/>
        <v>0</v>
      </c>
      <c r="D90" s="63">
        <f t="shared" si="16"/>
        <v>0</v>
      </c>
      <c r="E90" s="63">
        <f t="shared" si="17"/>
        <v>0</v>
      </c>
      <c r="F90" s="63">
        <f t="shared" si="18"/>
        <v>0</v>
      </c>
      <c r="G90" s="63">
        <f t="shared" si="20"/>
        <v>0</v>
      </c>
      <c r="H90" s="63">
        <f t="shared" si="19"/>
        <v>0</v>
      </c>
      <c r="I90" s="64">
        <f t="shared" si="21"/>
        <v>0</v>
      </c>
      <c r="J90" s="65"/>
      <c r="K90" s="65"/>
      <c r="L90" s="83"/>
      <c r="M90" s="67"/>
      <c r="N90" s="68"/>
      <c r="O90" s="62"/>
      <c r="P90" s="69"/>
      <c r="Q90" s="70"/>
      <c r="R90" s="50">
        <f t="shared" si="22"/>
        <v>0</v>
      </c>
      <c r="S90" s="71"/>
      <c r="T90" s="94"/>
      <c r="U90" s="72"/>
      <c r="V90" s="73"/>
      <c r="W90" s="74"/>
      <c r="X90" s="75"/>
      <c r="Y90" s="75"/>
      <c r="Z90" s="76"/>
      <c r="AA90" s="77"/>
      <c r="AB90" s="73"/>
      <c r="AC90" s="74"/>
      <c r="AD90" s="75"/>
      <c r="AE90" s="75"/>
      <c r="AF90" s="75"/>
      <c r="AG90" s="75"/>
      <c r="AH90" s="75"/>
      <c r="AI90" s="75"/>
      <c r="AJ90" s="78"/>
      <c r="AK90" s="79"/>
      <c r="AL90" s="75"/>
      <c r="AM90" s="75"/>
      <c r="AN90" s="75"/>
      <c r="AO90" s="75"/>
      <c r="AP90" s="75"/>
      <c r="AQ90" s="75"/>
      <c r="AR90" s="75"/>
      <c r="AS90" s="77"/>
      <c r="AT90" s="74"/>
      <c r="AU90" s="78"/>
      <c r="AV90" s="79"/>
      <c r="AW90" s="75"/>
      <c r="AX90" s="75"/>
      <c r="AY90" s="75"/>
      <c r="AZ90" s="77"/>
      <c r="BA90" s="74"/>
      <c r="BB90" s="75"/>
      <c r="BC90" s="75"/>
      <c r="BD90" s="77"/>
      <c r="BE90" s="6">
        <f t="shared" si="23"/>
        <v>0</v>
      </c>
    </row>
    <row r="91" spans="1:57">
      <c r="A91" s="61"/>
      <c r="B91" s="40"/>
      <c r="C91" s="62">
        <f t="shared" si="15"/>
        <v>0</v>
      </c>
      <c r="D91" s="63">
        <f t="shared" si="16"/>
        <v>0</v>
      </c>
      <c r="E91" s="63">
        <f t="shared" si="17"/>
        <v>0</v>
      </c>
      <c r="F91" s="63">
        <f t="shared" si="18"/>
        <v>0</v>
      </c>
      <c r="G91" s="63">
        <f t="shared" si="20"/>
        <v>0</v>
      </c>
      <c r="H91" s="63">
        <f t="shared" si="19"/>
        <v>0</v>
      </c>
      <c r="I91" s="64">
        <f t="shared" si="21"/>
        <v>0</v>
      </c>
      <c r="J91" s="65"/>
      <c r="K91" s="65"/>
      <c r="L91" s="83"/>
      <c r="M91" s="67"/>
      <c r="N91" s="68"/>
      <c r="O91" s="62"/>
      <c r="P91" s="69"/>
      <c r="Q91" s="70"/>
      <c r="R91" s="50">
        <f t="shared" si="22"/>
        <v>0</v>
      </c>
      <c r="S91" s="71"/>
      <c r="T91" s="85"/>
      <c r="U91" s="72"/>
      <c r="V91" s="73"/>
      <c r="W91" s="74"/>
      <c r="X91" s="75"/>
      <c r="Y91" s="75"/>
      <c r="Z91" s="76"/>
      <c r="AA91" s="77"/>
      <c r="AB91" s="73"/>
      <c r="AC91" s="74"/>
      <c r="AD91" s="75"/>
      <c r="AE91" s="75"/>
      <c r="AF91" s="75"/>
      <c r="AG91" s="75"/>
      <c r="AH91" s="75"/>
      <c r="AI91" s="75"/>
      <c r="AJ91" s="78"/>
      <c r="AK91" s="79"/>
      <c r="AL91" s="75"/>
      <c r="AM91" s="75"/>
      <c r="AN91" s="75"/>
      <c r="AO91" s="75"/>
      <c r="AP91" s="75"/>
      <c r="AQ91" s="75"/>
      <c r="AR91" s="75"/>
      <c r="AS91" s="77"/>
      <c r="AT91" s="74"/>
      <c r="AU91" s="78"/>
      <c r="AV91" s="79"/>
      <c r="AW91" s="75"/>
      <c r="AX91" s="75"/>
      <c r="AY91" s="75"/>
      <c r="AZ91" s="77"/>
      <c r="BA91" s="74"/>
      <c r="BB91" s="75"/>
      <c r="BC91" s="75"/>
      <c r="BD91" s="77"/>
      <c r="BE91" s="6">
        <f t="shared" si="23"/>
        <v>0</v>
      </c>
    </row>
    <row r="92" spans="1:57" ht="15" customHeight="1">
      <c r="A92" s="61"/>
      <c r="B92" s="40"/>
      <c r="C92" s="62">
        <f t="shared" si="15"/>
        <v>0</v>
      </c>
      <c r="D92" s="63">
        <f t="shared" si="16"/>
        <v>0</v>
      </c>
      <c r="E92" s="63">
        <f t="shared" si="17"/>
        <v>0</v>
      </c>
      <c r="F92" s="63">
        <f t="shared" si="18"/>
        <v>0</v>
      </c>
      <c r="G92" s="63">
        <f t="shared" si="20"/>
        <v>0</v>
      </c>
      <c r="H92" s="63">
        <f t="shared" si="19"/>
        <v>0</v>
      </c>
      <c r="I92" s="64">
        <f t="shared" si="21"/>
        <v>0</v>
      </c>
      <c r="J92" s="91"/>
      <c r="K92" s="65"/>
      <c r="L92" s="83"/>
      <c r="M92" s="67"/>
      <c r="N92" s="68"/>
      <c r="O92" s="62"/>
      <c r="P92" s="69"/>
      <c r="Q92" s="70"/>
      <c r="R92" s="50">
        <f t="shared" si="22"/>
        <v>0</v>
      </c>
      <c r="S92" s="71"/>
      <c r="T92" s="94"/>
      <c r="U92" s="72"/>
      <c r="V92" s="73"/>
      <c r="W92" s="74"/>
      <c r="X92" s="75"/>
      <c r="Y92" s="75"/>
      <c r="Z92" s="76"/>
      <c r="AA92" s="77"/>
      <c r="AB92" s="73"/>
      <c r="AC92" s="74"/>
      <c r="AD92" s="75"/>
      <c r="AE92" s="75"/>
      <c r="AF92" s="75"/>
      <c r="AG92" s="75"/>
      <c r="AH92" s="75"/>
      <c r="AI92" s="75"/>
      <c r="AJ92" s="78"/>
      <c r="AK92" s="79"/>
      <c r="AL92" s="75"/>
      <c r="AM92" s="75"/>
      <c r="AN92" s="75"/>
      <c r="AO92" s="75"/>
      <c r="AP92" s="75"/>
      <c r="AQ92" s="75"/>
      <c r="AR92" s="75"/>
      <c r="AS92" s="77"/>
      <c r="AT92" s="74"/>
      <c r="AU92" s="78"/>
      <c r="AV92" s="79"/>
      <c r="AW92" s="75"/>
      <c r="AX92" s="75"/>
      <c r="AY92" s="75"/>
      <c r="AZ92" s="77"/>
      <c r="BA92" s="74"/>
      <c r="BB92" s="75"/>
      <c r="BC92" s="75"/>
      <c r="BD92" s="77"/>
      <c r="BE92" s="6">
        <f t="shared" si="23"/>
        <v>0</v>
      </c>
    </row>
    <row r="93" spans="1:57">
      <c r="A93" s="61"/>
      <c r="B93" s="40"/>
      <c r="C93" s="62">
        <f t="shared" si="15"/>
        <v>0</v>
      </c>
      <c r="D93" s="63">
        <f t="shared" si="16"/>
        <v>0</v>
      </c>
      <c r="E93" s="63">
        <f t="shared" si="17"/>
        <v>0</v>
      </c>
      <c r="F93" s="63">
        <f t="shared" si="18"/>
        <v>0</v>
      </c>
      <c r="G93" s="63">
        <f t="shared" si="20"/>
        <v>0</v>
      </c>
      <c r="H93" s="63">
        <f t="shared" si="19"/>
        <v>0</v>
      </c>
      <c r="I93" s="64">
        <f t="shared" si="21"/>
        <v>0</v>
      </c>
      <c r="J93" s="65"/>
      <c r="K93" s="65"/>
      <c r="L93" s="83"/>
      <c r="M93" s="67"/>
      <c r="N93" s="68"/>
      <c r="O93" s="62"/>
      <c r="P93" s="69"/>
      <c r="Q93" s="70"/>
      <c r="R93" s="50">
        <f t="shared" si="22"/>
        <v>0</v>
      </c>
      <c r="S93" s="71"/>
      <c r="T93" s="94"/>
      <c r="U93" s="72"/>
      <c r="V93" s="73"/>
      <c r="W93" s="74"/>
      <c r="X93" s="75"/>
      <c r="Y93" s="75"/>
      <c r="Z93" s="76"/>
      <c r="AA93" s="77"/>
      <c r="AB93" s="73"/>
      <c r="AC93" s="74"/>
      <c r="AD93" s="75"/>
      <c r="AE93" s="75"/>
      <c r="AF93" s="75"/>
      <c r="AG93" s="75"/>
      <c r="AH93" s="75"/>
      <c r="AI93" s="75"/>
      <c r="AJ93" s="78"/>
      <c r="AK93" s="79"/>
      <c r="AL93" s="75"/>
      <c r="AM93" s="75"/>
      <c r="AN93" s="75"/>
      <c r="AO93" s="75"/>
      <c r="AP93" s="75"/>
      <c r="AQ93" s="75"/>
      <c r="AR93" s="75"/>
      <c r="AS93" s="77"/>
      <c r="AT93" s="74"/>
      <c r="AU93" s="78"/>
      <c r="AV93" s="79"/>
      <c r="AW93" s="75"/>
      <c r="AX93" s="75"/>
      <c r="AY93" s="75"/>
      <c r="AZ93" s="77"/>
      <c r="BA93" s="74"/>
      <c r="BB93" s="75"/>
      <c r="BC93" s="75"/>
      <c r="BD93" s="77"/>
      <c r="BE93" s="6">
        <f t="shared" si="23"/>
        <v>0</v>
      </c>
    </row>
    <row r="94" spans="1:57">
      <c r="A94" s="61"/>
      <c r="B94" s="40"/>
      <c r="C94" s="62">
        <f t="shared" si="15"/>
        <v>0</v>
      </c>
      <c r="D94" s="63">
        <f t="shared" si="16"/>
        <v>0</v>
      </c>
      <c r="E94" s="63">
        <f t="shared" si="17"/>
        <v>0</v>
      </c>
      <c r="F94" s="63">
        <f t="shared" si="18"/>
        <v>0</v>
      </c>
      <c r="G94" s="63">
        <f t="shared" si="20"/>
        <v>0</v>
      </c>
      <c r="H94" s="63">
        <f t="shared" si="19"/>
        <v>0</v>
      </c>
      <c r="I94" s="64">
        <f t="shared" si="21"/>
        <v>0</v>
      </c>
      <c r="J94" s="65"/>
      <c r="K94" s="65"/>
      <c r="L94" s="83"/>
      <c r="M94" s="67"/>
      <c r="N94" s="68"/>
      <c r="O94" s="62"/>
      <c r="P94" s="69"/>
      <c r="Q94" s="70"/>
      <c r="R94" s="50">
        <f t="shared" si="22"/>
        <v>0</v>
      </c>
      <c r="S94" s="71"/>
      <c r="T94" s="94"/>
      <c r="U94" s="72"/>
      <c r="V94" s="73"/>
      <c r="W94" s="74"/>
      <c r="X94" s="75"/>
      <c r="Y94" s="75"/>
      <c r="Z94" s="76"/>
      <c r="AA94" s="77"/>
      <c r="AB94" s="73"/>
      <c r="AC94" s="74"/>
      <c r="AD94" s="75"/>
      <c r="AE94" s="75"/>
      <c r="AF94" s="75"/>
      <c r="AG94" s="75"/>
      <c r="AH94" s="75"/>
      <c r="AI94" s="75"/>
      <c r="AJ94" s="78"/>
      <c r="AK94" s="79"/>
      <c r="AL94" s="75"/>
      <c r="AM94" s="75"/>
      <c r="AN94" s="75"/>
      <c r="AO94" s="75"/>
      <c r="AP94" s="75"/>
      <c r="AQ94" s="75"/>
      <c r="AR94" s="75"/>
      <c r="AS94" s="77"/>
      <c r="AT94" s="74"/>
      <c r="AU94" s="78"/>
      <c r="AV94" s="79"/>
      <c r="AW94" s="75"/>
      <c r="AX94" s="75"/>
      <c r="AY94" s="75"/>
      <c r="AZ94" s="77"/>
      <c r="BA94" s="74"/>
      <c r="BB94" s="75"/>
      <c r="BC94" s="75"/>
      <c r="BD94" s="77"/>
      <c r="BE94" s="6">
        <f t="shared" si="23"/>
        <v>0</v>
      </c>
    </row>
    <row r="95" spans="1:57">
      <c r="A95" s="61"/>
      <c r="B95" s="40"/>
      <c r="C95" s="62">
        <f t="shared" si="15"/>
        <v>0</v>
      </c>
      <c r="D95" s="63">
        <f t="shared" si="16"/>
        <v>0</v>
      </c>
      <c r="E95" s="63">
        <f t="shared" si="17"/>
        <v>0</v>
      </c>
      <c r="F95" s="63">
        <f t="shared" si="18"/>
        <v>0</v>
      </c>
      <c r="G95" s="63">
        <f t="shared" si="20"/>
        <v>0</v>
      </c>
      <c r="H95" s="63">
        <f t="shared" si="19"/>
        <v>0</v>
      </c>
      <c r="I95" s="64">
        <f t="shared" si="21"/>
        <v>0</v>
      </c>
      <c r="J95" s="65"/>
      <c r="K95" s="65"/>
      <c r="L95" s="83"/>
      <c r="M95" s="67"/>
      <c r="N95" s="68"/>
      <c r="O95" s="62"/>
      <c r="P95" s="69"/>
      <c r="Q95" s="70"/>
      <c r="R95" s="50">
        <f t="shared" si="22"/>
        <v>0</v>
      </c>
      <c r="S95" s="71"/>
      <c r="T95" s="94"/>
      <c r="U95" s="72"/>
      <c r="V95" s="73"/>
      <c r="W95" s="74"/>
      <c r="X95" s="75"/>
      <c r="Y95" s="75"/>
      <c r="Z95" s="76"/>
      <c r="AA95" s="77"/>
      <c r="AB95" s="73"/>
      <c r="AC95" s="74"/>
      <c r="AD95" s="75"/>
      <c r="AE95" s="75"/>
      <c r="AF95" s="75"/>
      <c r="AG95" s="75"/>
      <c r="AH95" s="75"/>
      <c r="AI95" s="75"/>
      <c r="AJ95" s="78"/>
      <c r="AK95" s="79"/>
      <c r="AL95" s="75"/>
      <c r="AM95" s="75"/>
      <c r="AN95" s="75"/>
      <c r="AO95" s="75"/>
      <c r="AP95" s="75"/>
      <c r="AQ95" s="75"/>
      <c r="AR95" s="75"/>
      <c r="AS95" s="77"/>
      <c r="AT95" s="74"/>
      <c r="AU95" s="78"/>
      <c r="AV95" s="79"/>
      <c r="AW95" s="75"/>
      <c r="AX95" s="75"/>
      <c r="AY95" s="75"/>
      <c r="AZ95" s="77"/>
      <c r="BA95" s="74"/>
      <c r="BB95" s="75"/>
      <c r="BC95" s="75"/>
      <c r="BD95" s="77"/>
      <c r="BE95" s="6">
        <f t="shared" si="23"/>
        <v>0</v>
      </c>
    </row>
    <row r="96" spans="1:57">
      <c r="A96" s="61"/>
      <c r="B96" s="40"/>
      <c r="C96" s="62">
        <f t="shared" si="15"/>
        <v>0</v>
      </c>
      <c r="D96" s="63">
        <f t="shared" si="16"/>
        <v>0</v>
      </c>
      <c r="E96" s="63">
        <f t="shared" si="17"/>
        <v>0</v>
      </c>
      <c r="F96" s="63">
        <f t="shared" si="18"/>
        <v>0</v>
      </c>
      <c r="G96" s="63">
        <f t="shared" si="20"/>
        <v>0</v>
      </c>
      <c r="H96" s="63">
        <f t="shared" si="19"/>
        <v>0</v>
      </c>
      <c r="I96" s="64">
        <f t="shared" si="21"/>
        <v>0</v>
      </c>
      <c r="J96" s="65"/>
      <c r="K96" s="65"/>
      <c r="L96" s="83"/>
      <c r="M96" s="67"/>
      <c r="N96" s="68"/>
      <c r="O96" s="62"/>
      <c r="P96" s="69"/>
      <c r="Q96" s="70"/>
      <c r="R96" s="50">
        <f t="shared" si="22"/>
        <v>0</v>
      </c>
      <c r="S96" s="71"/>
      <c r="T96" s="94"/>
      <c r="U96" s="72"/>
      <c r="V96" s="73"/>
      <c r="W96" s="74"/>
      <c r="X96" s="75"/>
      <c r="Y96" s="75"/>
      <c r="Z96" s="76"/>
      <c r="AA96" s="77"/>
      <c r="AB96" s="73"/>
      <c r="AC96" s="74"/>
      <c r="AD96" s="75"/>
      <c r="AE96" s="75"/>
      <c r="AF96" s="75"/>
      <c r="AG96" s="75"/>
      <c r="AH96" s="75"/>
      <c r="AI96" s="75"/>
      <c r="AJ96" s="78"/>
      <c r="AK96" s="79"/>
      <c r="AL96" s="75"/>
      <c r="AM96" s="75"/>
      <c r="AN96" s="75"/>
      <c r="AO96" s="75"/>
      <c r="AP96" s="75"/>
      <c r="AQ96" s="75"/>
      <c r="AR96" s="75"/>
      <c r="AS96" s="77"/>
      <c r="AT96" s="74"/>
      <c r="AU96" s="78"/>
      <c r="AV96" s="79"/>
      <c r="AW96" s="75"/>
      <c r="AX96" s="75"/>
      <c r="AY96" s="75"/>
      <c r="AZ96" s="77"/>
      <c r="BA96" s="74"/>
      <c r="BB96" s="75"/>
      <c r="BC96" s="75"/>
      <c r="BD96" s="77"/>
      <c r="BE96" s="6">
        <f t="shared" si="23"/>
        <v>0</v>
      </c>
    </row>
    <row r="97" spans="1:57">
      <c r="A97" s="61"/>
      <c r="B97" s="40"/>
      <c r="C97" s="62">
        <f t="shared" si="15"/>
        <v>0</v>
      </c>
      <c r="D97" s="63">
        <f t="shared" si="16"/>
        <v>0</v>
      </c>
      <c r="E97" s="63">
        <f t="shared" si="17"/>
        <v>0</v>
      </c>
      <c r="F97" s="63">
        <f t="shared" si="18"/>
        <v>0</v>
      </c>
      <c r="G97" s="63">
        <f t="shared" si="20"/>
        <v>0</v>
      </c>
      <c r="H97" s="63">
        <f t="shared" si="19"/>
        <v>0</v>
      </c>
      <c r="I97" s="64">
        <f t="shared" si="21"/>
        <v>0</v>
      </c>
      <c r="J97" s="65"/>
      <c r="K97" s="65"/>
      <c r="L97" s="83"/>
      <c r="M97" s="67"/>
      <c r="N97" s="68"/>
      <c r="O97" s="62"/>
      <c r="P97" s="69"/>
      <c r="Q97" s="70"/>
      <c r="R97" s="50">
        <f t="shared" si="22"/>
        <v>0</v>
      </c>
      <c r="S97" s="71"/>
      <c r="T97" s="94"/>
      <c r="U97" s="72"/>
      <c r="V97" s="73"/>
      <c r="W97" s="74"/>
      <c r="X97" s="75"/>
      <c r="Y97" s="75"/>
      <c r="Z97" s="76"/>
      <c r="AA97" s="77"/>
      <c r="AB97" s="73"/>
      <c r="AC97" s="74"/>
      <c r="AD97" s="75"/>
      <c r="AE97" s="75"/>
      <c r="AF97" s="75"/>
      <c r="AG97" s="75"/>
      <c r="AH97" s="75"/>
      <c r="AI97" s="75"/>
      <c r="AJ97" s="78"/>
      <c r="AK97" s="79"/>
      <c r="AL97" s="75"/>
      <c r="AM97" s="75"/>
      <c r="AN97" s="75"/>
      <c r="AO97" s="75"/>
      <c r="AP97" s="75"/>
      <c r="AQ97" s="75"/>
      <c r="AR97" s="75"/>
      <c r="AS97" s="77"/>
      <c r="AT97" s="74"/>
      <c r="AU97" s="78"/>
      <c r="AV97" s="79"/>
      <c r="AW97" s="75"/>
      <c r="AX97" s="75"/>
      <c r="AY97" s="75"/>
      <c r="AZ97" s="77"/>
      <c r="BA97" s="74"/>
      <c r="BB97" s="75"/>
      <c r="BC97" s="75"/>
      <c r="BD97" s="77"/>
      <c r="BE97" s="6">
        <f t="shared" si="23"/>
        <v>0</v>
      </c>
    </row>
    <row r="98" spans="1:57">
      <c r="A98" s="61"/>
      <c r="B98" s="40"/>
      <c r="C98" s="62">
        <f t="shared" si="15"/>
        <v>0</v>
      </c>
      <c r="D98" s="63">
        <f t="shared" si="16"/>
        <v>0</v>
      </c>
      <c r="E98" s="63">
        <f t="shared" si="17"/>
        <v>0</v>
      </c>
      <c r="F98" s="63">
        <f t="shared" si="18"/>
        <v>0</v>
      </c>
      <c r="G98" s="63">
        <f t="shared" si="20"/>
        <v>0</v>
      </c>
      <c r="H98" s="63">
        <f t="shared" si="19"/>
        <v>0</v>
      </c>
      <c r="I98" s="64">
        <f t="shared" si="21"/>
        <v>0</v>
      </c>
      <c r="J98" s="65"/>
      <c r="K98" s="65"/>
      <c r="L98" s="83"/>
      <c r="M98" s="67"/>
      <c r="N98" s="68"/>
      <c r="O98" s="62"/>
      <c r="P98" s="69"/>
      <c r="Q98" s="70"/>
      <c r="R98" s="50">
        <f t="shared" si="22"/>
        <v>0</v>
      </c>
      <c r="S98" s="71"/>
      <c r="T98" s="94"/>
      <c r="U98" s="72"/>
      <c r="V98" s="73"/>
      <c r="W98" s="74"/>
      <c r="X98" s="75"/>
      <c r="Y98" s="75"/>
      <c r="Z98" s="76"/>
      <c r="AA98" s="77"/>
      <c r="AB98" s="73"/>
      <c r="AC98" s="74"/>
      <c r="AD98" s="75"/>
      <c r="AE98" s="75"/>
      <c r="AF98" s="75"/>
      <c r="AG98" s="75"/>
      <c r="AH98" s="75"/>
      <c r="AI98" s="75"/>
      <c r="AJ98" s="78"/>
      <c r="AK98" s="79"/>
      <c r="AL98" s="75"/>
      <c r="AM98" s="75"/>
      <c r="AN98" s="75"/>
      <c r="AO98" s="75"/>
      <c r="AP98" s="75"/>
      <c r="AQ98" s="75"/>
      <c r="AR98" s="75"/>
      <c r="AS98" s="77"/>
      <c r="AT98" s="74"/>
      <c r="AU98" s="78"/>
      <c r="AV98" s="79"/>
      <c r="AW98" s="75"/>
      <c r="AX98" s="75"/>
      <c r="AY98" s="75"/>
      <c r="AZ98" s="77"/>
      <c r="BA98" s="74"/>
      <c r="BB98" s="75"/>
      <c r="BC98" s="75"/>
      <c r="BD98" s="77"/>
      <c r="BE98" s="6">
        <f t="shared" si="23"/>
        <v>0</v>
      </c>
    </row>
    <row r="99" spans="1:57">
      <c r="A99" s="61"/>
      <c r="B99" s="40"/>
      <c r="C99" s="62">
        <f t="shared" si="15"/>
        <v>0</v>
      </c>
      <c r="D99" s="63">
        <f t="shared" si="16"/>
        <v>0</v>
      </c>
      <c r="E99" s="63">
        <f t="shared" si="17"/>
        <v>0</v>
      </c>
      <c r="F99" s="63">
        <f t="shared" si="18"/>
        <v>0</v>
      </c>
      <c r="G99" s="63">
        <f t="shared" si="20"/>
        <v>0</v>
      </c>
      <c r="H99" s="63">
        <f t="shared" si="19"/>
        <v>0</v>
      </c>
      <c r="I99" s="64">
        <f t="shared" si="21"/>
        <v>0</v>
      </c>
      <c r="J99" s="65"/>
      <c r="K99" s="65"/>
      <c r="L99" s="83"/>
      <c r="M99" s="108"/>
      <c r="N99" s="68"/>
      <c r="O99" s="62"/>
      <c r="P99" s="69"/>
      <c r="Q99" s="70"/>
      <c r="R99" s="50">
        <f t="shared" si="22"/>
        <v>0</v>
      </c>
      <c r="S99" s="71"/>
      <c r="T99" s="94"/>
      <c r="U99" s="72"/>
      <c r="V99" s="73"/>
      <c r="W99" s="74"/>
      <c r="X99" s="75"/>
      <c r="Y99" s="75"/>
      <c r="Z99" s="76"/>
      <c r="AA99" s="77"/>
      <c r="AB99" s="73"/>
      <c r="AC99" s="74"/>
      <c r="AD99" s="75"/>
      <c r="AE99" s="75"/>
      <c r="AF99" s="75"/>
      <c r="AG99" s="75"/>
      <c r="AH99" s="75"/>
      <c r="AI99" s="75"/>
      <c r="AJ99" s="78"/>
      <c r="AK99" s="79"/>
      <c r="AL99" s="75"/>
      <c r="AM99" s="75"/>
      <c r="AN99" s="75"/>
      <c r="AO99" s="75"/>
      <c r="AP99" s="75"/>
      <c r="AQ99" s="75"/>
      <c r="AR99" s="75"/>
      <c r="AS99" s="77"/>
      <c r="AT99" s="74"/>
      <c r="AU99" s="78"/>
      <c r="AV99" s="79"/>
      <c r="AW99" s="75"/>
      <c r="AX99" s="75"/>
      <c r="AY99" s="75"/>
      <c r="AZ99" s="77"/>
      <c r="BA99" s="74"/>
      <c r="BB99" s="75"/>
      <c r="BC99" s="75"/>
      <c r="BD99" s="77"/>
      <c r="BE99" s="6">
        <f t="shared" si="23"/>
        <v>0</v>
      </c>
    </row>
    <row r="100" spans="1:57">
      <c r="A100" s="61"/>
      <c r="B100" s="40"/>
      <c r="C100" s="62">
        <f t="shared" si="15"/>
        <v>0</v>
      </c>
      <c r="D100" s="63">
        <f t="shared" si="16"/>
        <v>0</v>
      </c>
      <c r="E100" s="63">
        <f t="shared" si="17"/>
        <v>0</v>
      </c>
      <c r="F100" s="63">
        <f t="shared" si="18"/>
        <v>0</v>
      </c>
      <c r="G100" s="63">
        <f t="shared" si="20"/>
        <v>0</v>
      </c>
      <c r="H100" s="63">
        <f t="shared" si="19"/>
        <v>0</v>
      </c>
      <c r="I100" s="64">
        <f t="shared" si="21"/>
        <v>0</v>
      </c>
      <c r="J100" s="65"/>
      <c r="K100" s="65"/>
      <c r="L100" s="83"/>
      <c r="M100" s="67"/>
      <c r="N100" s="68"/>
      <c r="O100" s="62"/>
      <c r="P100" s="69"/>
      <c r="Q100" s="70"/>
      <c r="R100" s="50">
        <f t="shared" si="22"/>
        <v>0</v>
      </c>
      <c r="S100" s="71"/>
      <c r="T100" s="94"/>
      <c r="U100" s="72"/>
      <c r="V100" s="73"/>
      <c r="W100" s="74"/>
      <c r="X100" s="75"/>
      <c r="Y100" s="75"/>
      <c r="Z100" s="76"/>
      <c r="AA100" s="77"/>
      <c r="AB100" s="73"/>
      <c r="AC100" s="74"/>
      <c r="AD100" s="75"/>
      <c r="AE100" s="75"/>
      <c r="AF100" s="75"/>
      <c r="AG100" s="75"/>
      <c r="AH100" s="75"/>
      <c r="AI100" s="75"/>
      <c r="AJ100" s="78"/>
      <c r="AK100" s="79"/>
      <c r="AL100" s="75"/>
      <c r="AM100" s="75"/>
      <c r="AN100" s="75"/>
      <c r="AO100" s="75"/>
      <c r="AP100" s="75"/>
      <c r="AQ100" s="75"/>
      <c r="AR100" s="75"/>
      <c r="AS100" s="77"/>
      <c r="AT100" s="74"/>
      <c r="AU100" s="78"/>
      <c r="AV100" s="79"/>
      <c r="AW100" s="75"/>
      <c r="AX100" s="75"/>
      <c r="AY100" s="75"/>
      <c r="AZ100" s="77"/>
      <c r="BA100" s="74"/>
      <c r="BB100" s="75"/>
      <c r="BC100" s="75"/>
      <c r="BD100" s="77"/>
      <c r="BE100" s="6">
        <f t="shared" si="23"/>
        <v>0</v>
      </c>
    </row>
    <row r="101" spans="1:57">
      <c r="A101" s="61"/>
      <c r="B101" s="40"/>
      <c r="C101" s="62">
        <f t="shared" ref="C101:C113" si="24">SUM(AB101:AJ101)</f>
        <v>0</v>
      </c>
      <c r="D101" s="63">
        <f t="shared" ref="D101:D113" si="25">SUM(AK101:AS101)</f>
        <v>0</v>
      </c>
      <c r="E101" s="63">
        <f t="shared" ref="E101:E113" si="26">SUM(AT101:AU101)</f>
        <v>0</v>
      </c>
      <c r="F101" s="63">
        <f t="shared" ref="F101:F113" si="27">SUM(AV101:AZ101)</f>
        <v>0</v>
      </c>
      <c r="G101" s="63">
        <f t="shared" si="20"/>
        <v>0</v>
      </c>
      <c r="H101" s="63">
        <f t="shared" ref="H101:H113" si="28">SUM(V101:AA101)</f>
        <v>0</v>
      </c>
      <c r="I101" s="64">
        <f t="shared" si="21"/>
        <v>0</v>
      </c>
      <c r="J101" s="65"/>
      <c r="K101" s="65"/>
      <c r="L101" s="83"/>
      <c r="M101" s="67"/>
      <c r="N101" s="68"/>
      <c r="O101" s="62"/>
      <c r="P101" s="69"/>
      <c r="Q101" s="70"/>
      <c r="R101" s="50">
        <f t="shared" si="22"/>
        <v>0</v>
      </c>
      <c r="S101" s="71"/>
      <c r="T101" s="94"/>
      <c r="U101" s="72"/>
      <c r="V101" s="73"/>
      <c r="W101" s="74"/>
      <c r="X101" s="75"/>
      <c r="Y101" s="75"/>
      <c r="Z101" s="76"/>
      <c r="AA101" s="77"/>
      <c r="AB101" s="73"/>
      <c r="AC101" s="74"/>
      <c r="AD101" s="75"/>
      <c r="AE101" s="75"/>
      <c r="AF101" s="75"/>
      <c r="AG101" s="75"/>
      <c r="AH101" s="75"/>
      <c r="AI101" s="75"/>
      <c r="AJ101" s="78"/>
      <c r="AK101" s="79"/>
      <c r="AL101" s="75"/>
      <c r="AM101" s="75"/>
      <c r="AN101" s="75"/>
      <c r="AO101" s="75"/>
      <c r="AP101" s="75"/>
      <c r="AQ101" s="75"/>
      <c r="AR101" s="75"/>
      <c r="AS101" s="77"/>
      <c r="AT101" s="74"/>
      <c r="AU101" s="78"/>
      <c r="AV101" s="79"/>
      <c r="AW101" s="75"/>
      <c r="AX101" s="75"/>
      <c r="AY101" s="75"/>
      <c r="AZ101" s="77"/>
      <c r="BA101" s="74"/>
      <c r="BB101" s="75"/>
      <c r="BC101" s="75"/>
      <c r="BD101" s="77"/>
      <c r="BE101" s="6">
        <f t="shared" si="23"/>
        <v>0</v>
      </c>
    </row>
    <row r="102" spans="1:57">
      <c r="A102" s="61"/>
      <c r="B102" s="40"/>
      <c r="C102" s="62">
        <f t="shared" si="24"/>
        <v>0</v>
      </c>
      <c r="D102" s="63">
        <f t="shared" si="25"/>
        <v>0</v>
      </c>
      <c r="E102" s="63">
        <f t="shared" si="26"/>
        <v>0</v>
      </c>
      <c r="F102" s="63">
        <f t="shared" si="27"/>
        <v>0</v>
      </c>
      <c r="G102" s="63">
        <f t="shared" si="20"/>
        <v>0</v>
      </c>
      <c r="H102" s="63">
        <f t="shared" si="28"/>
        <v>0</v>
      </c>
      <c r="I102" s="64">
        <f t="shared" si="21"/>
        <v>0</v>
      </c>
      <c r="J102" s="65"/>
      <c r="K102" s="65"/>
      <c r="L102" s="83"/>
      <c r="M102" s="67"/>
      <c r="N102" s="68"/>
      <c r="O102" s="62"/>
      <c r="P102" s="69"/>
      <c r="Q102" s="70"/>
      <c r="R102" s="50">
        <f t="shared" si="22"/>
        <v>0</v>
      </c>
      <c r="S102" s="71"/>
      <c r="T102" s="94"/>
      <c r="U102" s="72"/>
      <c r="V102" s="73"/>
      <c r="W102" s="74"/>
      <c r="X102" s="75"/>
      <c r="Y102" s="75"/>
      <c r="Z102" s="76"/>
      <c r="AA102" s="77"/>
      <c r="AB102" s="73"/>
      <c r="AC102" s="74"/>
      <c r="AD102" s="75"/>
      <c r="AE102" s="75"/>
      <c r="AF102" s="75"/>
      <c r="AG102" s="75"/>
      <c r="AH102" s="75"/>
      <c r="AI102" s="75"/>
      <c r="AJ102" s="78"/>
      <c r="AK102" s="79"/>
      <c r="AL102" s="75"/>
      <c r="AM102" s="75"/>
      <c r="AN102" s="75"/>
      <c r="AO102" s="75"/>
      <c r="AP102" s="75"/>
      <c r="AQ102" s="75"/>
      <c r="AR102" s="75"/>
      <c r="AS102" s="77"/>
      <c r="AT102" s="74"/>
      <c r="AU102" s="78"/>
      <c r="AV102" s="79"/>
      <c r="AW102" s="75"/>
      <c r="AX102" s="75"/>
      <c r="AY102" s="75"/>
      <c r="AZ102" s="77"/>
      <c r="BA102" s="74"/>
      <c r="BB102" s="75"/>
      <c r="BC102" s="75"/>
      <c r="BD102" s="77"/>
      <c r="BE102" s="6">
        <f t="shared" si="23"/>
        <v>0</v>
      </c>
    </row>
    <row r="103" spans="1:57">
      <c r="A103" s="61"/>
      <c r="B103" s="40"/>
      <c r="C103" s="62">
        <f t="shared" si="24"/>
        <v>0</v>
      </c>
      <c r="D103" s="63">
        <f t="shared" si="25"/>
        <v>0</v>
      </c>
      <c r="E103" s="63">
        <f t="shared" si="26"/>
        <v>0</v>
      </c>
      <c r="F103" s="63">
        <f t="shared" si="27"/>
        <v>0</v>
      </c>
      <c r="G103" s="63">
        <f t="shared" si="20"/>
        <v>0</v>
      </c>
      <c r="H103" s="63">
        <f t="shared" si="28"/>
        <v>0</v>
      </c>
      <c r="I103" s="64">
        <f t="shared" si="21"/>
        <v>0</v>
      </c>
      <c r="J103" s="65"/>
      <c r="K103" s="65"/>
      <c r="L103" s="83"/>
      <c r="M103" s="67"/>
      <c r="N103" s="68"/>
      <c r="O103" s="62"/>
      <c r="P103" s="69"/>
      <c r="Q103" s="70"/>
      <c r="R103" s="50">
        <f t="shared" si="22"/>
        <v>0</v>
      </c>
      <c r="S103" s="71"/>
      <c r="T103" s="94"/>
      <c r="U103" s="72"/>
      <c r="V103" s="73"/>
      <c r="W103" s="74"/>
      <c r="X103" s="75"/>
      <c r="Y103" s="74"/>
      <c r="Z103" s="73"/>
      <c r="AA103" s="77"/>
      <c r="AB103" s="73"/>
      <c r="AC103" s="74"/>
      <c r="AD103" s="75"/>
      <c r="AE103" s="75"/>
      <c r="AF103" s="75"/>
      <c r="AG103" s="75"/>
      <c r="AH103" s="75"/>
      <c r="AI103" s="75"/>
      <c r="AJ103" s="78"/>
      <c r="AK103" s="79"/>
      <c r="AL103" s="75"/>
      <c r="AM103" s="75"/>
      <c r="AN103" s="75"/>
      <c r="AO103" s="75"/>
      <c r="AP103" s="75"/>
      <c r="AQ103" s="75"/>
      <c r="AR103" s="75"/>
      <c r="AS103" s="77"/>
      <c r="AT103" s="74"/>
      <c r="AU103" s="78"/>
      <c r="AV103" s="79"/>
      <c r="AW103" s="75"/>
      <c r="AX103" s="75"/>
      <c r="AY103" s="75"/>
      <c r="AZ103" s="77"/>
      <c r="BA103" s="74"/>
      <c r="BB103" s="75"/>
      <c r="BC103" s="75"/>
      <c r="BD103" s="77"/>
      <c r="BE103" s="6">
        <f t="shared" si="23"/>
        <v>0</v>
      </c>
    </row>
    <row r="104" spans="1:57">
      <c r="A104" s="61"/>
      <c r="B104" s="40"/>
      <c r="C104" s="62">
        <f t="shared" si="24"/>
        <v>0</v>
      </c>
      <c r="D104" s="63">
        <f t="shared" si="25"/>
        <v>0</v>
      </c>
      <c r="E104" s="63">
        <f t="shared" si="26"/>
        <v>0</v>
      </c>
      <c r="F104" s="63">
        <f t="shared" si="27"/>
        <v>0</v>
      </c>
      <c r="G104" s="63">
        <f t="shared" si="20"/>
        <v>0</v>
      </c>
      <c r="H104" s="63">
        <f t="shared" si="28"/>
        <v>0</v>
      </c>
      <c r="I104" s="64">
        <f t="shared" si="21"/>
        <v>0</v>
      </c>
      <c r="J104" s="65"/>
      <c r="K104" s="65"/>
      <c r="L104" s="83"/>
      <c r="M104" s="67"/>
      <c r="N104" s="68"/>
      <c r="O104" s="62"/>
      <c r="P104" s="69"/>
      <c r="Q104" s="70"/>
      <c r="R104" s="50">
        <f t="shared" si="22"/>
        <v>0</v>
      </c>
      <c r="S104" s="71"/>
      <c r="T104" s="94"/>
      <c r="U104" s="72"/>
      <c r="V104" s="73"/>
      <c r="W104" s="74"/>
      <c r="X104" s="75"/>
      <c r="Y104" s="74"/>
      <c r="Z104" s="73"/>
      <c r="AA104" s="77"/>
      <c r="AB104" s="73"/>
      <c r="AC104" s="74"/>
      <c r="AD104" s="75"/>
      <c r="AE104" s="75"/>
      <c r="AF104" s="75"/>
      <c r="AG104" s="75"/>
      <c r="AH104" s="75"/>
      <c r="AI104" s="75"/>
      <c r="AJ104" s="78"/>
      <c r="AK104" s="79"/>
      <c r="AL104" s="75"/>
      <c r="AM104" s="75"/>
      <c r="AN104" s="75"/>
      <c r="AO104" s="75"/>
      <c r="AP104" s="75"/>
      <c r="AQ104" s="75"/>
      <c r="AR104" s="75"/>
      <c r="AS104" s="77"/>
      <c r="AT104" s="74"/>
      <c r="AU104" s="78"/>
      <c r="AV104" s="79"/>
      <c r="AW104" s="75"/>
      <c r="AX104" s="75"/>
      <c r="AY104" s="75"/>
      <c r="AZ104" s="77"/>
      <c r="BA104" s="74"/>
      <c r="BB104" s="75"/>
      <c r="BC104" s="75"/>
      <c r="BD104" s="77"/>
      <c r="BE104" s="6">
        <f t="shared" si="23"/>
        <v>0</v>
      </c>
    </row>
    <row r="105" spans="1:57">
      <c r="A105" s="61"/>
      <c r="B105" s="40"/>
      <c r="C105" s="62">
        <f t="shared" si="24"/>
        <v>0</v>
      </c>
      <c r="D105" s="63">
        <f t="shared" si="25"/>
        <v>0</v>
      </c>
      <c r="E105" s="63">
        <f t="shared" si="26"/>
        <v>0</v>
      </c>
      <c r="F105" s="63">
        <f t="shared" si="27"/>
        <v>0</v>
      </c>
      <c r="G105" s="63">
        <f t="shared" si="20"/>
        <v>0</v>
      </c>
      <c r="H105" s="63">
        <f t="shared" si="28"/>
        <v>0</v>
      </c>
      <c r="I105" s="64">
        <f t="shared" si="21"/>
        <v>0</v>
      </c>
      <c r="J105" s="65"/>
      <c r="K105" s="65"/>
      <c r="L105" s="83"/>
      <c r="M105" s="67"/>
      <c r="N105" s="68"/>
      <c r="O105" s="62"/>
      <c r="P105" s="69"/>
      <c r="Q105" s="70"/>
      <c r="R105" s="50">
        <f t="shared" si="22"/>
        <v>0</v>
      </c>
      <c r="S105" s="71"/>
      <c r="T105" s="94"/>
      <c r="U105" s="72"/>
      <c r="V105" s="73"/>
      <c r="W105" s="74"/>
      <c r="X105" s="75"/>
      <c r="Y105" s="74"/>
      <c r="Z105" s="73"/>
      <c r="AA105" s="77"/>
      <c r="AB105" s="73"/>
      <c r="AC105" s="74"/>
      <c r="AD105" s="75"/>
      <c r="AE105" s="75"/>
      <c r="AF105" s="75"/>
      <c r="AG105" s="75"/>
      <c r="AH105" s="75"/>
      <c r="AI105" s="75"/>
      <c r="AJ105" s="78"/>
      <c r="AK105" s="79"/>
      <c r="AL105" s="75"/>
      <c r="AM105" s="75"/>
      <c r="AN105" s="75"/>
      <c r="AO105" s="75"/>
      <c r="AP105" s="75"/>
      <c r="AQ105" s="75"/>
      <c r="AR105" s="75"/>
      <c r="AS105" s="77"/>
      <c r="AT105" s="74"/>
      <c r="AU105" s="78"/>
      <c r="AV105" s="79"/>
      <c r="AW105" s="75"/>
      <c r="AX105" s="75"/>
      <c r="AY105" s="75"/>
      <c r="AZ105" s="77"/>
      <c r="BA105" s="74"/>
      <c r="BB105" s="75"/>
      <c r="BC105" s="75"/>
      <c r="BD105" s="77"/>
      <c r="BE105" s="6">
        <f t="shared" si="23"/>
        <v>0</v>
      </c>
    </row>
    <row r="106" spans="1:57" ht="16.2" customHeight="1">
      <c r="A106" s="61"/>
      <c r="B106" s="40"/>
      <c r="C106" s="62">
        <f t="shared" si="24"/>
        <v>0</v>
      </c>
      <c r="D106" s="63">
        <f t="shared" si="25"/>
        <v>0</v>
      </c>
      <c r="E106" s="63">
        <f t="shared" si="26"/>
        <v>0</v>
      </c>
      <c r="F106" s="63">
        <f t="shared" si="27"/>
        <v>0</v>
      </c>
      <c r="G106" s="63">
        <f t="shared" si="20"/>
        <v>0</v>
      </c>
      <c r="H106" s="63">
        <f t="shared" si="28"/>
        <v>0</v>
      </c>
      <c r="I106" s="64">
        <f t="shared" si="21"/>
        <v>0</v>
      </c>
      <c r="J106" s="65"/>
      <c r="K106" s="65"/>
      <c r="L106" s="83"/>
      <c r="M106" s="67"/>
      <c r="N106" s="68"/>
      <c r="O106" s="62"/>
      <c r="P106" s="69"/>
      <c r="Q106" s="70"/>
      <c r="R106" s="50">
        <f t="shared" si="22"/>
        <v>0</v>
      </c>
      <c r="S106" s="71"/>
      <c r="T106" s="94"/>
      <c r="U106" s="72"/>
      <c r="V106" s="73"/>
      <c r="W106" s="74"/>
      <c r="X106" s="75"/>
      <c r="Y106" s="74"/>
      <c r="Z106" s="73"/>
      <c r="AA106" s="77"/>
      <c r="AB106" s="73"/>
      <c r="AC106" s="74"/>
      <c r="AD106" s="75"/>
      <c r="AE106" s="75"/>
      <c r="AF106" s="75"/>
      <c r="AG106" s="75"/>
      <c r="AH106" s="75"/>
      <c r="AI106" s="75"/>
      <c r="AJ106" s="78"/>
      <c r="AK106" s="79"/>
      <c r="AL106" s="75"/>
      <c r="AM106" s="75"/>
      <c r="AN106" s="75"/>
      <c r="AO106" s="75"/>
      <c r="AP106" s="75"/>
      <c r="AQ106" s="75"/>
      <c r="AR106" s="75"/>
      <c r="AS106" s="77"/>
      <c r="AT106" s="74"/>
      <c r="AU106" s="78"/>
      <c r="AV106" s="79"/>
      <c r="AW106" s="75"/>
      <c r="AX106" s="75"/>
      <c r="AY106" s="75"/>
      <c r="AZ106" s="77"/>
      <c r="BA106" s="74"/>
      <c r="BB106" s="75"/>
      <c r="BC106" s="75"/>
      <c r="BD106" s="77"/>
      <c r="BE106" s="6">
        <f t="shared" si="23"/>
        <v>0</v>
      </c>
    </row>
    <row r="107" spans="1:57">
      <c r="A107" s="61"/>
      <c r="B107" s="40"/>
      <c r="C107" s="62">
        <f t="shared" si="24"/>
        <v>0</v>
      </c>
      <c r="D107" s="63">
        <f t="shared" si="25"/>
        <v>0</v>
      </c>
      <c r="E107" s="63">
        <f t="shared" si="26"/>
        <v>0</v>
      </c>
      <c r="F107" s="63">
        <f t="shared" si="27"/>
        <v>0</v>
      </c>
      <c r="G107" s="63">
        <f t="shared" si="20"/>
        <v>0</v>
      </c>
      <c r="H107" s="63">
        <f t="shared" si="28"/>
        <v>0</v>
      </c>
      <c r="I107" s="64">
        <f t="shared" si="21"/>
        <v>0</v>
      </c>
      <c r="J107" s="65"/>
      <c r="K107" s="65"/>
      <c r="L107" s="83"/>
      <c r="M107" s="67"/>
      <c r="N107" s="68"/>
      <c r="O107" s="62"/>
      <c r="P107" s="69"/>
      <c r="Q107" s="70"/>
      <c r="R107" s="50">
        <f t="shared" si="22"/>
        <v>0</v>
      </c>
      <c r="S107" s="109"/>
      <c r="T107" s="94"/>
      <c r="U107" s="72"/>
      <c r="V107" s="73"/>
      <c r="W107" s="74"/>
      <c r="X107" s="75"/>
      <c r="Y107" s="75"/>
      <c r="Z107" s="76"/>
      <c r="AA107" s="77"/>
      <c r="AB107" s="73"/>
      <c r="AC107" s="74"/>
      <c r="AD107" s="75"/>
      <c r="AE107" s="75"/>
      <c r="AF107" s="75"/>
      <c r="AG107" s="75"/>
      <c r="AH107" s="75"/>
      <c r="AI107" s="75"/>
      <c r="AJ107" s="78"/>
      <c r="AK107" s="79"/>
      <c r="AL107" s="75"/>
      <c r="AM107" s="75"/>
      <c r="AN107" s="75"/>
      <c r="AO107" s="75"/>
      <c r="AP107" s="75"/>
      <c r="AQ107" s="75"/>
      <c r="AR107" s="75"/>
      <c r="AS107" s="77"/>
      <c r="AT107" s="74"/>
      <c r="AU107" s="78"/>
      <c r="AV107" s="79"/>
      <c r="AW107" s="75"/>
      <c r="AX107" s="75"/>
      <c r="AY107" s="75"/>
      <c r="AZ107" s="77"/>
      <c r="BA107" s="74"/>
      <c r="BB107" s="75"/>
      <c r="BC107" s="75"/>
      <c r="BD107" s="77"/>
      <c r="BE107" s="6">
        <f t="shared" si="23"/>
        <v>0</v>
      </c>
    </row>
    <row r="108" spans="1:57">
      <c r="A108" s="61"/>
      <c r="B108" s="40"/>
      <c r="C108" s="62">
        <f t="shared" si="24"/>
        <v>0</v>
      </c>
      <c r="D108" s="63">
        <f t="shared" si="25"/>
        <v>0</v>
      </c>
      <c r="E108" s="63">
        <f t="shared" si="26"/>
        <v>0</v>
      </c>
      <c r="F108" s="63">
        <f t="shared" si="27"/>
        <v>0</v>
      </c>
      <c r="G108" s="63">
        <f t="shared" si="20"/>
        <v>0</v>
      </c>
      <c r="H108" s="63">
        <f t="shared" si="28"/>
        <v>0</v>
      </c>
      <c r="I108" s="64">
        <f t="shared" si="21"/>
        <v>0</v>
      </c>
      <c r="J108" s="65"/>
      <c r="K108" s="65"/>
      <c r="L108" s="83"/>
      <c r="M108" s="67"/>
      <c r="N108" s="68"/>
      <c r="O108" s="62"/>
      <c r="P108" s="69"/>
      <c r="Q108" s="70"/>
      <c r="R108" s="50">
        <f t="shared" si="22"/>
        <v>0</v>
      </c>
      <c r="S108" s="71"/>
      <c r="T108" s="94"/>
      <c r="U108" s="72"/>
      <c r="V108" s="73"/>
      <c r="W108" s="74"/>
      <c r="X108" s="75"/>
      <c r="Y108" s="75"/>
      <c r="Z108" s="76"/>
      <c r="AA108" s="77"/>
      <c r="AB108" s="73"/>
      <c r="AC108" s="74"/>
      <c r="AD108" s="75"/>
      <c r="AE108" s="75"/>
      <c r="AF108" s="75"/>
      <c r="AG108" s="75"/>
      <c r="AH108" s="75"/>
      <c r="AI108" s="75"/>
      <c r="AJ108" s="78"/>
      <c r="AK108" s="79"/>
      <c r="AL108" s="75"/>
      <c r="AM108" s="75"/>
      <c r="AN108" s="75"/>
      <c r="AO108" s="75"/>
      <c r="AP108" s="75"/>
      <c r="AQ108" s="75"/>
      <c r="AR108" s="75"/>
      <c r="AS108" s="77"/>
      <c r="AT108" s="74"/>
      <c r="AU108" s="78"/>
      <c r="AV108" s="79"/>
      <c r="AW108" s="75"/>
      <c r="AX108" s="75"/>
      <c r="AY108" s="75"/>
      <c r="AZ108" s="77"/>
      <c r="BA108" s="74"/>
      <c r="BB108" s="75"/>
      <c r="BC108" s="75"/>
      <c r="BD108" s="77"/>
      <c r="BE108" s="6">
        <f t="shared" si="23"/>
        <v>0</v>
      </c>
    </row>
    <row r="109" spans="1:57">
      <c r="A109" s="61"/>
      <c r="B109" s="40"/>
      <c r="C109" s="62">
        <f t="shared" si="24"/>
        <v>0</v>
      </c>
      <c r="D109" s="63">
        <f t="shared" si="25"/>
        <v>0</v>
      </c>
      <c r="E109" s="63">
        <f t="shared" si="26"/>
        <v>0</v>
      </c>
      <c r="F109" s="63">
        <f t="shared" si="27"/>
        <v>0</v>
      </c>
      <c r="G109" s="63">
        <f t="shared" si="20"/>
        <v>0</v>
      </c>
      <c r="H109" s="63">
        <f t="shared" si="28"/>
        <v>0</v>
      </c>
      <c r="I109" s="64">
        <f t="shared" si="21"/>
        <v>0</v>
      </c>
      <c r="J109" s="65"/>
      <c r="K109" s="65"/>
      <c r="L109" s="83"/>
      <c r="M109" s="67"/>
      <c r="N109" s="68"/>
      <c r="O109" s="62"/>
      <c r="P109" s="69"/>
      <c r="Q109" s="70"/>
      <c r="R109" s="50">
        <f t="shared" si="22"/>
        <v>0</v>
      </c>
      <c r="S109" s="71"/>
      <c r="T109" s="94"/>
      <c r="U109" s="72"/>
      <c r="V109" s="73"/>
      <c r="W109" s="74"/>
      <c r="X109" s="75"/>
      <c r="Y109" s="75"/>
      <c r="Z109" s="76"/>
      <c r="AA109" s="77"/>
      <c r="AB109" s="73"/>
      <c r="AC109" s="74"/>
      <c r="AD109" s="75"/>
      <c r="AE109" s="75"/>
      <c r="AF109" s="75"/>
      <c r="AG109" s="75"/>
      <c r="AH109" s="75"/>
      <c r="AI109" s="75"/>
      <c r="AJ109" s="78"/>
      <c r="AK109" s="79"/>
      <c r="AL109" s="75"/>
      <c r="AM109" s="75"/>
      <c r="AN109" s="75"/>
      <c r="AO109" s="75"/>
      <c r="AP109" s="75"/>
      <c r="AQ109" s="75"/>
      <c r="AR109" s="75"/>
      <c r="AS109" s="77"/>
      <c r="AT109" s="74"/>
      <c r="AU109" s="78"/>
      <c r="AV109" s="79"/>
      <c r="AW109" s="75"/>
      <c r="AX109" s="75"/>
      <c r="AY109" s="75"/>
      <c r="AZ109" s="77"/>
      <c r="BA109" s="74"/>
      <c r="BB109" s="75"/>
      <c r="BC109" s="75"/>
      <c r="BD109" s="77"/>
      <c r="BE109" s="6">
        <f t="shared" si="23"/>
        <v>0</v>
      </c>
    </row>
    <row r="110" spans="1:57">
      <c r="A110" s="61"/>
      <c r="B110" s="40"/>
      <c r="C110" s="62">
        <f t="shared" si="24"/>
        <v>0</v>
      </c>
      <c r="D110" s="63">
        <f t="shared" si="25"/>
        <v>0</v>
      </c>
      <c r="E110" s="63">
        <f t="shared" si="26"/>
        <v>0</v>
      </c>
      <c r="F110" s="63">
        <f t="shared" si="27"/>
        <v>0</v>
      </c>
      <c r="G110" s="63">
        <f t="shared" si="20"/>
        <v>0</v>
      </c>
      <c r="H110" s="63">
        <f t="shared" si="28"/>
        <v>0</v>
      </c>
      <c r="I110" s="64">
        <f t="shared" si="21"/>
        <v>0</v>
      </c>
      <c r="J110" s="65"/>
      <c r="K110" s="65"/>
      <c r="L110" s="83"/>
      <c r="M110" s="67"/>
      <c r="N110" s="68"/>
      <c r="O110" s="62"/>
      <c r="P110" s="69"/>
      <c r="Q110" s="70"/>
      <c r="R110" s="50">
        <f t="shared" si="22"/>
        <v>0</v>
      </c>
      <c r="S110" s="71"/>
      <c r="T110" s="94"/>
      <c r="U110" s="72"/>
      <c r="V110" s="73"/>
      <c r="W110" s="74"/>
      <c r="X110" s="75"/>
      <c r="Y110" s="75"/>
      <c r="Z110" s="76"/>
      <c r="AA110" s="77"/>
      <c r="AB110" s="73"/>
      <c r="AC110" s="74"/>
      <c r="AD110" s="75"/>
      <c r="AE110" s="75"/>
      <c r="AF110" s="75"/>
      <c r="AG110" s="75"/>
      <c r="AH110" s="75"/>
      <c r="AI110" s="75"/>
      <c r="AJ110" s="78"/>
      <c r="AK110" s="79"/>
      <c r="AL110" s="75"/>
      <c r="AM110" s="75"/>
      <c r="AN110" s="75"/>
      <c r="AO110" s="75"/>
      <c r="AP110" s="75"/>
      <c r="AQ110" s="75"/>
      <c r="AR110" s="75"/>
      <c r="AS110" s="77"/>
      <c r="AT110" s="74"/>
      <c r="AU110" s="78"/>
      <c r="AV110" s="79"/>
      <c r="AW110" s="75"/>
      <c r="AX110" s="75"/>
      <c r="AY110" s="75"/>
      <c r="AZ110" s="77"/>
      <c r="BA110" s="74"/>
      <c r="BB110" s="75"/>
      <c r="BC110" s="75"/>
      <c r="BD110" s="77"/>
      <c r="BE110" s="6">
        <f t="shared" si="23"/>
        <v>0</v>
      </c>
    </row>
    <row r="111" spans="1:57">
      <c r="A111" s="61"/>
      <c r="B111" s="40"/>
      <c r="C111" s="62">
        <f t="shared" si="24"/>
        <v>0</v>
      </c>
      <c r="D111" s="63">
        <f t="shared" si="25"/>
        <v>0</v>
      </c>
      <c r="E111" s="63">
        <f t="shared" si="26"/>
        <v>0</v>
      </c>
      <c r="F111" s="63">
        <f t="shared" si="27"/>
        <v>0</v>
      </c>
      <c r="G111" s="63">
        <f t="shared" si="20"/>
        <v>0</v>
      </c>
      <c r="H111" s="63">
        <f t="shared" si="28"/>
        <v>0</v>
      </c>
      <c r="I111" s="64">
        <f t="shared" si="21"/>
        <v>0</v>
      </c>
      <c r="J111" s="65"/>
      <c r="K111" s="65"/>
      <c r="L111" s="83"/>
      <c r="M111" s="67"/>
      <c r="N111" s="68"/>
      <c r="O111" s="62"/>
      <c r="P111" s="69"/>
      <c r="Q111" s="70"/>
      <c r="R111" s="50">
        <f t="shared" si="22"/>
        <v>0</v>
      </c>
      <c r="S111" s="71"/>
      <c r="T111" s="94"/>
      <c r="U111" s="72"/>
      <c r="V111" s="73"/>
      <c r="W111" s="74"/>
      <c r="X111" s="75"/>
      <c r="Y111" s="75"/>
      <c r="Z111" s="76"/>
      <c r="AA111" s="77"/>
      <c r="AB111" s="106"/>
      <c r="AC111" s="106"/>
      <c r="AD111" s="75"/>
      <c r="AE111" s="75"/>
      <c r="AF111" s="75"/>
      <c r="AG111" s="75"/>
      <c r="AH111" s="75"/>
      <c r="AI111" s="75"/>
      <c r="AJ111" s="78"/>
      <c r="AK111" s="79"/>
      <c r="AL111" s="75"/>
      <c r="AM111" s="75"/>
      <c r="AN111" s="75"/>
      <c r="AO111" s="75"/>
      <c r="AP111" s="75"/>
      <c r="AQ111" s="75"/>
      <c r="AR111" s="75"/>
      <c r="AS111" s="77"/>
      <c r="AT111" s="74"/>
      <c r="AU111" s="78"/>
      <c r="AV111" s="79"/>
      <c r="AW111" s="75"/>
      <c r="AX111" s="75"/>
      <c r="AY111" s="75"/>
      <c r="AZ111" s="77"/>
      <c r="BA111" s="74"/>
      <c r="BB111" s="75"/>
      <c r="BC111" s="75"/>
      <c r="BD111" s="77"/>
      <c r="BE111" s="6">
        <f t="shared" ref="BE111:BE114" si="29">I111-SUM(AB111:BD111)</f>
        <v>0</v>
      </c>
    </row>
    <row r="112" spans="1:57" ht="16.2" customHeight="1">
      <c r="A112" s="61"/>
      <c r="B112" s="40"/>
      <c r="C112" s="62">
        <f t="shared" si="24"/>
        <v>0</v>
      </c>
      <c r="D112" s="63">
        <f t="shared" si="25"/>
        <v>0</v>
      </c>
      <c r="E112" s="63">
        <f t="shared" si="26"/>
        <v>0</v>
      </c>
      <c r="F112" s="63">
        <f t="shared" si="27"/>
        <v>0</v>
      </c>
      <c r="G112" s="63">
        <f t="shared" si="20"/>
        <v>0</v>
      </c>
      <c r="H112" s="63">
        <f t="shared" si="28"/>
        <v>0</v>
      </c>
      <c r="I112" s="64">
        <f t="shared" si="21"/>
        <v>0</v>
      </c>
      <c r="J112" s="65"/>
      <c r="K112" s="65"/>
      <c r="L112" s="83"/>
      <c r="M112" s="67"/>
      <c r="N112" s="68"/>
      <c r="O112" s="62"/>
      <c r="P112" s="69"/>
      <c r="Q112" s="70"/>
      <c r="R112" s="50">
        <f t="shared" si="22"/>
        <v>0</v>
      </c>
      <c r="S112" s="71"/>
      <c r="T112" s="94"/>
      <c r="U112" s="72"/>
      <c r="V112" s="73"/>
      <c r="W112" s="74"/>
      <c r="X112" s="75"/>
      <c r="Y112" s="75"/>
      <c r="Z112" s="76"/>
      <c r="AA112" s="77"/>
      <c r="AB112" s="73"/>
      <c r="AC112" s="74"/>
      <c r="AD112" s="75"/>
      <c r="AE112" s="75"/>
      <c r="AF112" s="75"/>
      <c r="AG112" s="75"/>
      <c r="AH112" s="75"/>
      <c r="AI112" s="75"/>
      <c r="AJ112" s="78"/>
      <c r="AK112" s="79"/>
      <c r="AL112" s="75"/>
      <c r="AM112" s="75"/>
      <c r="AN112" s="75"/>
      <c r="AO112" s="75"/>
      <c r="AP112" s="75"/>
      <c r="AQ112" s="75"/>
      <c r="AR112" s="75"/>
      <c r="AS112" s="77"/>
      <c r="AT112" s="74"/>
      <c r="AU112" s="78"/>
      <c r="AV112" s="79"/>
      <c r="AW112" s="75"/>
      <c r="AX112" s="75"/>
      <c r="AY112" s="75"/>
      <c r="AZ112" s="77"/>
      <c r="BA112" s="74"/>
      <c r="BB112" s="75"/>
      <c r="BC112" s="75"/>
      <c r="BD112" s="77"/>
      <c r="BE112" s="6">
        <f t="shared" si="29"/>
        <v>0</v>
      </c>
    </row>
    <row r="113" spans="1:57">
      <c r="A113" s="61"/>
      <c r="B113" s="40"/>
      <c r="C113" s="62">
        <f t="shared" si="24"/>
        <v>0</v>
      </c>
      <c r="D113" s="63">
        <f t="shared" si="25"/>
        <v>0</v>
      </c>
      <c r="E113" s="63">
        <f t="shared" si="26"/>
        <v>0</v>
      </c>
      <c r="F113" s="63">
        <f t="shared" si="27"/>
        <v>0</v>
      </c>
      <c r="G113" s="63">
        <f t="shared" si="20"/>
        <v>0</v>
      </c>
      <c r="H113" s="63">
        <f t="shared" si="28"/>
        <v>0</v>
      </c>
      <c r="I113" s="64">
        <f t="shared" si="21"/>
        <v>0</v>
      </c>
      <c r="J113" s="65"/>
      <c r="K113" s="65"/>
      <c r="L113" s="83"/>
      <c r="M113" s="67"/>
      <c r="N113" s="68"/>
      <c r="O113" s="62"/>
      <c r="P113" s="69"/>
      <c r="Q113" s="70"/>
      <c r="R113" s="50">
        <f t="shared" si="22"/>
        <v>0</v>
      </c>
      <c r="S113" s="71"/>
      <c r="T113" s="94"/>
      <c r="U113" s="72"/>
      <c r="V113" s="73"/>
      <c r="W113" s="74"/>
      <c r="X113" s="75"/>
      <c r="Y113" s="75"/>
      <c r="Z113" s="76"/>
      <c r="AA113" s="77"/>
      <c r="AB113" s="73"/>
      <c r="AC113" s="74"/>
      <c r="AD113" s="75"/>
      <c r="AE113" s="75"/>
      <c r="AF113" s="75"/>
      <c r="AG113" s="75"/>
      <c r="AH113" s="75"/>
      <c r="AI113" s="75"/>
      <c r="AJ113" s="78"/>
      <c r="AK113" s="79"/>
      <c r="AL113" s="75"/>
      <c r="AM113" s="75"/>
      <c r="AN113" s="75"/>
      <c r="AO113" s="75"/>
      <c r="AP113" s="75"/>
      <c r="AQ113" s="75"/>
      <c r="AR113" s="75"/>
      <c r="AS113" s="77"/>
      <c r="AT113" s="74"/>
      <c r="AU113" s="78"/>
      <c r="AV113" s="79"/>
      <c r="AW113" s="75"/>
      <c r="AX113" s="75"/>
      <c r="AY113" s="75"/>
      <c r="AZ113" s="77"/>
      <c r="BA113" s="74"/>
      <c r="BB113" s="75"/>
      <c r="BC113" s="75"/>
      <c r="BD113" s="77"/>
      <c r="BE113" s="6">
        <f t="shared" si="29"/>
        <v>0</v>
      </c>
    </row>
    <row r="114" spans="1:57" s="3" customFormat="1" ht="31.2" customHeight="1">
      <c r="A114" s="554" t="s">
        <v>97</v>
      </c>
      <c r="B114" s="555"/>
      <c r="C114" s="110">
        <f>SUM(C5:C113)</f>
        <v>0</v>
      </c>
      <c r="D114" s="110">
        <f t="shared" ref="D114:J114" si="30">SUM(D5:D113)</f>
        <v>0</v>
      </c>
      <c r="E114" s="110">
        <f t="shared" si="30"/>
        <v>0</v>
      </c>
      <c r="F114" s="110">
        <f t="shared" si="30"/>
        <v>0</v>
      </c>
      <c r="G114" s="110">
        <f t="shared" si="30"/>
        <v>0</v>
      </c>
      <c r="H114" s="110">
        <f t="shared" si="30"/>
        <v>0</v>
      </c>
      <c r="I114" s="110">
        <f t="shared" si="30"/>
        <v>0</v>
      </c>
      <c r="J114" s="110">
        <f t="shared" si="30"/>
        <v>0</v>
      </c>
      <c r="K114" s="110">
        <f t="shared" ref="K114:N114" si="31">SUM(K5:K113)</f>
        <v>0</v>
      </c>
      <c r="L114" s="110">
        <f t="shared" si="31"/>
        <v>0</v>
      </c>
      <c r="M114" s="110">
        <f t="shared" si="31"/>
        <v>0</v>
      </c>
      <c r="N114" s="110">
        <f t="shared" si="31"/>
        <v>0</v>
      </c>
      <c r="O114" s="110"/>
      <c r="P114" s="111">
        <f>SUM(P5:P113)</f>
        <v>0</v>
      </c>
      <c r="Q114" s="110">
        <f>SUM(Q5:Q113)</f>
        <v>0</v>
      </c>
      <c r="R114" s="112">
        <f>R4+N114+P114+Q114-M114-L114-K114-J114-I114</f>
        <v>0</v>
      </c>
      <c r="S114" s="110"/>
      <c r="T114" s="111"/>
      <c r="U114" s="111"/>
      <c r="V114" s="113">
        <f>SUM(V5:V113)</f>
        <v>0</v>
      </c>
      <c r="W114" s="113">
        <f>SUM(W5:W113)</f>
        <v>0</v>
      </c>
      <c r="X114" s="113">
        <f>SUM(X5:X113)</f>
        <v>0</v>
      </c>
      <c r="Y114" s="113">
        <f t="shared" ref="Y114:AD114" si="32">SUM(Y5:Y113)</f>
        <v>0</v>
      </c>
      <c r="Z114" s="113">
        <f t="shared" si="32"/>
        <v>0</v>
      </c>
      <c r="AA114" s="113">
        <f t="shared" si="32"/>
        <v>0</v>
      </c>
      <c r="AB114" s="114">
        <f t="shared" si="32"/>
        <v>0</v>
      </c>
      <c r="AC114" s="114">
        <f t="shared" si="32"/>
        <v>0</v>
      </c>
      <c r="AD114" s="114">
        <f t="shared" si="32"/>
        <v>0</v>
      </c>
      <c r="AE114" s="114">
        <f t="shared" ref="AE114:BD114" si="33">SUM(AE5:AE113)</f>
        <v>0</v>
      </c>
      <c r="AF114" s="114">
        <f t="shared" si="33"/>
        <v>0</v>
      </c>
      <c r="AG114" s="114">
        <f t="shared" si="33"/>
        <v>0</v>
      </c>
      <c r="AH114" s="114">
        <f t="shared" si="33"/>
        <v>0</v>
      </c>
      <c r="AI114" s="114">
        <f t="shared" si="33"/>
        <v>0</v>
      </c>
      <c r="AJ114" s="114">
        <f t="shared" si="33"/>
        <v>0</v>
      </c>
      <c r="AK114" s="114">
        <f t="shared" si="33"/>
        <v>0</v>
      </c>
      <c r="AL114" s="114">
        <f t="shared" si="33"/>
        <v>0</v>
      </c>
      <c r="AM114" s="114">
        <f t="shared" si="33"/>
        <v>0</v>
      </c>
      <c r="AN114" s="114">
        <f t="shared" si="33"/>
        <v>0</v>
      </c>
      <c r="AO114" s="114">
        <f t="shared" si="33"/>
        <v>0</v>
      </c>
      <c r="AP114" s="114">
        <f t="shared" si="33"/>
        <v>0</v>
      </c>
      <c r="AQ114" s="114">
        <f t="shared" si="33"/>
        <v>0</v>
      </c>
      <c r="AR114" s="114">
        <f t="shared" si="33"/>
        <v>0</v>
      </c>
      <c r="AS114" s="114">
        <f t="shared" si="33"/>
        <v>0</v>
      </c>
      <c r="AT114" s="114">
        <f t="shared" si="33"/>
        <v>0</v>
      </c>
      <c r="AU114" s="114">
        <f t="shared" si="33"/>
        <v>0</v>
      </c>
      <c r="AV114" s="114">
        <f t="shared" si="33"/>
        <v>0</v>
      </c>
      <c r="AW114" s="114">
        <f t="shared" si="33"/>
        <v>0</v>
      </c>
      <c r="AX114" s="114">
        <f t="shared" si="33"/>
        <v>0</v>
      </c>
      <c r="AY114" s="114">
        <f t="shared" si="33"/>
        <v>0</v>
      </c>
      <c r="AZ114" s="114">
        <f t="shared" si="33"/>
        <v>0</v>
      </c>
      <c r="BA114" s="114">
        <f t="shared" si="33"/>
        <v>0</v>
      </c>
      <c r="BB114" s="114">
        <f t="shared" si="33"/>
        <v>0</v>
      </c>
      <c r="BC114" s="114">
        <f t="shared" si="33"/>
        <v>0</v>
      </c>
      <c r="BD114" s="115">
        <f t="shared" si="33"/>
        <v>0</v>
      </c>
      <c r="BE114" s="6">
        <f t="shared" si="29"/>
        <v>0</v>
      </c>
    </row>
    <row r="115" spans="1:57" s="3" customFormat="1" ht="22.95" customHeight="1">
      <c r="A115" s="116" t="s">
        <v>118</v>
      </c>
      <c r="B115" s="117"/>
      <c r="C115" s="118"/>
      <c r="D115" s="119"/>
      <c r="E115" s="119"/>
      <c r="F115" s="119"/>
      <c r="G115" s="119"/>
      <c r="H115" s="119"/>
      <c r="I115" s="120">
        <f t="shared" ref="I115:I120" si="34">SUM(C115:H115)</f>
        <v>0</v>
      </c>
      <c r="J115" s="121"/>
      <c r="K115" s="121"/>
      <c r="L115" s="122"/>
      <c r="M115" s="123"/>
      <c r="N115" s="124"/>
      <c r="O115" s="118"/>
      <c r="P115" s="125"/>
      <c r="Q115" s="126"/>
      <c r="R115" s="50">
        <f t="shared" ref="R115:R122" si="35">R114+SUM(N115:Q115)-SUM(I115:M115)</f>
        <v>0</v>
      </c>
      <c r="S115" s="127"/>
      <c r="T115" s="128"/>
      <c r="U115" s="129"/>
      <c r="V115" s="130"/>
      <c r="W115" s="131"/>
      <c r="X115" s="132"/>
      <c r="Y115" s="132"/>
      <c r="Z115" s="133"/>
      <c r="AA115" s="134"/>
      <c r="AB115" s="130"/>
      <c r="AC115" s="131"/>
      <c r="AD115" s="132"/>
      <c r="AE115" s="132"/>
      <c r="AF115" s="132"/>
      <c r="AG115" s="132"/>
      <c r="AH115" s="132"/>
      <c r="AI115" s="132"/>
      <c r="AJ115" s="135"/>
      <c r="AK115" s="130"/>
      <c r="AL115" s="132"/>
      <c r="AM115" s="132"/>
      <c r="AN115" s="132"/>
      <c r="AO115" s="132"/>
      <c r="AP115" s="132"/>
      <c r="AQ115" s="132"/>
      <c r="AR115" s="132"/>
      <c r="AS115" s="135"/>
      <c r="AT115" s="130"/>
      <c r="AU115" s="135"/>
      <c r="AV115" s="130"/>
      <c r="AW115" s="132"/>
      <c r="AX115" s="132"/>
      <c r="AY115" s="132"/>
      <c r="AZ115" s="135"/>
      <c r="BA115" s="130"/>
      <c r="BB115" s="132"/>
      <c r="BC115" s="132"/>
      <c r="BD115" s="134"/>
      <c r="BE115" s="6"/>
    </row>
    <row r="116" spans="1:57" ht="15" customHeight="1">
      <c r="A116" s="136"/>
      <c r="B116" s="40"/>
      <c r="C116" s="62">
        <f>SUM(AB116:AJ116)</f>
        <v>0</v>
      </c>
      <c r="D116" s="63">
        <f>SUM(AK116:AS116)</f>
        <v>0</v>
      </c>
      <c r="E116" s="63">
        <f>SUM(AT116:AU116)</f>
        <v>0</v>
      </c>
      <c r="F116" s="63">
        <f>SUM(AV116:AZ116)</f>
        <v>0</v>
      </c>
      <c r="G116" s="63">
        <f t="shared" ref="G116:G118" si="36">SUM(BA116:BD116)</f>
        <v>0</v>
      </c>
      <c r="H116" s="63">
        <f>SUM(V116:AA116)</f>
        <v>0</v>
      </c>
      <c r="I116" s="64">
        <f t="shared" si="34"/>
        <v>0</v>
      </c>
      <c r="J116" s="65"/>
      <c r="K116" s="137"/>
      <c r="L116" s="83"/>
      <c r="M116" s="67"/>
      <c r="N116" s="68"/>
      <c r="O116" s="62"/>
      <c r="P116" s="69"/>
      <c r="Q116" s="70"/>
      <c r="R116" s="50">
        <f t="shared" si="35"/>
        <v>0</v>
      </c>
      <c r="S116" s="138"/>
      <c r="T116" s="69"/>
      <c r="U116" s="72"/>
      <c r="V116" s="139"/>
      <c r="W116" s="140"/>
      <c r="X116" s="141"/>
      <c r="Y116" s="141"/>
      <c r="Z116" s="142"/>
      <c r="AA116" s="143"/>
      <c r="AB116" s="139"/>
      <c r="AC116" s="140"/>
      <c r="AD116" s="141"/>
      <c r="AE116" s="141"/>
      <c r="AF116" s="141"/>
      <c r="AG116" s="141"/>
      <c r="AH116" s="141"/>
      <c r="AI116" s="141"/>
      <c r="AJ116" s="144"/>
      <c r="AK116" s="139"/>
      <c r="AL116" s="141"/>
      <c r="AM116" s="141"/>
      <c r="AN116" s="141"/>
      <c r="AO116" s="141"/>
      <c r="AP116" s="141"/>
      <c r="AQ116" s="141"/>
      <c r="AR116" s="141"/>
      <c r="AS116" s="144"/>
      <c r="AT116" s="139"/>
      <c r="AU116" s="144"/>
      <c r="AV116" s="139"/>
      <c r="AW116" s="141"/>
      <c r="AX116" s="141"/>
      <c r="AY116" s="141"/>
      <c r="AZ116" s="144"/>
      <c r="BA116" s="139"/>
      <c r="BB116" s="141"/>
      <c r="BC116" s="141"/>
      <c r="BD116" s="143"/>
      <c r="BE116" s="6">
        <f>I116-SUM(AB116:BD116)</f>
        <v>0</v>
      </c>
    </row>
    <row r="117" spans="1:57" ht="15" customHeight="1">
      <c r="A117" s="136"/>
      <c r="B117" s="40"/>
      <c r="C117" s="62">
        <f>SUM(AB117:AJ117)</f>
        <v>0</v>
      </c>
      <c r="D117" s="63">
        <f>SUM(AK117:AS117)</f>
        <v>0</v>
      </c>
      <c r="E117" s="63">
        <f>SUM(AT117:AU117)</f>
        <v>0</v>
      </c>
      <c r="F117" s="63">
        <f>SUM(AV117:AZ117)</f>
        <v>0</v>
      </c>
      <c r="G117" s="63">
        <f t="shared" si="36"/>
        <v>0</v>
      </c>
      <c r="H117" s="63">
        <f>SUM(V117:AA117)</f>
        <v>0</v>
      </c>
      <c r="I117" s="64">
        <f t="shared" si="34"/>
        <v>0</v>
      </c>
      <c r="J117" s="65"/>
      <c r="K117" s="137"/>
      <c r="L117" s="83"/>
      <c r="M117" s="67"/>
      <c r="N117" s="68"/>
      <c r="O117" s="62"/>
      <c r="P117" s="69"/>
      <c r="Q117" s="70"/>
      <c r="R117" s="50">
        <f t="shared" si="35"/>
        <v>0</v>
      </c>
      <c r="S117" s="138"/>
      <c r="T117" s="69"/>
      <c r="U117" s="145"/>
      <c r="V117" s="139"/>
      <c r="W117" s="140"/>
      <c r="X117" s="141"/>
      <c r="Y117" s="141"/>
      <c r="Z117" s="142"/>
      <c r="AA117" s="143"/>
      <c r="AB117" s="106"/>
      <c r="AC117" s="106"/>
      <c r="AD117" s="141"/>
      <c r="AE117" s="141"/>
      <c r="AF117" s="141"/>
      <c r="AG117" s="141"/>
      <c r="AH117" s="141"/>
      <c r="AI117" s="141"/>
      <c r="AJ117" s="144"/>
      <c r="AK117" s="139"/>
      <c r="AL117" s="141"/>
      <c r="AM117" s="141"/>
      <c r="AN117" s="141"/>
      <c r="AO117" s="141"/>
      <c r="AP117" s="141"/>
      <c r="AQ117" s="141"/>
      <c r="AR117" s="141"/>
      <c r="AS117" s="144"/>
      <c r="AT117" s="139"/>
      <c r="AU117" s="144"/>
      <c r="AV117" s="139"/>
      <c r="AW117" s="141"/>
      <c r="AX117" s="141"/>
      <c r="AY117" s="141"/>
      <c r="AZ117" s="144"/>
      <c r="BA117" s="139"/>
      <c r="BB117" s="141"/>
      <c r="BC117" s="141"/>
      <c r="BD117" s="143"/>
      <c r="BE117" s="6">
        <f>I117-SUM(AB117:BD117)</f>
        <v>0</v>
      </c>
    </row>
    <row r="118" spans="1:57" ht="15" customHeight="1">
      <c r="A118" s="136"/>
      <c r="B118" s="40"/>
      <c r="C118" s="62">
        <f>SUM(AB118:AJ118)</f>
        <v>0</v>
      </c>
      <c r="D118" s="63">
        <f>SUM(AK118:AS118)</f>
        <v>0</v>
      </c>
      <c r="E118" s="63">
        <f>SUM(AT118:AU118)</f>
        <v>0</v>
      </c>
      <c r="F118" s="63">
        <f>SUM(AV118:AZ118)</f>
        <v>0</v>
      </c>
      <c r="G118" s="63">
        <f t="shared" si="36"/>
        <v>0</v>
      </c>
      <c r="H118" s="63">
        <f>SUM(V118:AA118)</f>
        <v>0</v>
      </c>
      <c r="I118" s="64">
        <f t="shared" si="34"/>
        <v>0</v>
      </c>
      <c r="J118" s="65"/>
      <c r="K118" s="137"/>
      <c r="L118" s="83"/>
      <c r="M118" s="67"/>
      <c r="N118" s="68"/>
      <c r="O118" s="62"/>
      <c r="P118" s="69"/>
      <c r="Q118" s="70"/>
      <c r="R118" s="50">
        <f t="shared" si="35"/>
        <v>0</v>
      </c>
      <c r="S118" s="138"/>
      <c r="T118" s="69"/>
      <c r="U118" s="145"/>
      <c r="V118" s="139"/>
      <c r="W118" s="140"/>
      <c r="X118" s="141"/>
      <c r="Y118" s="141"/>
      <c r="Z118" s="142"/>
      <c r="AA118" s="143"/>
      <c r="AB118" s="139"/>
      <c r="AC118" s="140"/>
      <c r="AD118" s="141"/>
      <c r="AE118" s="141"/>
      <c r="AF118" s="141"/>
      <c r="AG118" s="141"/>
      <c r="AH118" s="141"/>
      <c r="AI118" s="141"/>
      <c r="AJ118" s="144"/>
      <c r="AK118" s="139"/>
      <c r="AL118" s="141"/>
      <c r="AM118" s="141"/>
      <c r="AN118" s="141"/>
      <c r="AO118" s="141"/>
      <c r="AP118" s="141"/>
      <c r="AQ118" s="141"/>
      <c r="AR118" s="141"/>
      <c r="AS118" s="144"/>
      <c r="AT118" s="139"/>
      <c r="AU118" s="144"/>
      <c r="AV118" s="139"/>
      <c r="AW118" s="141"/>
      <c r="AX118" s="141"/>
      <c r="AY118" s="141"/>
      <c r="AZ118" s="144"/>
      <c r="BA118" s="139"/>
      <c r="BB118" s="141"/>
      <c r="BC118" s="141"/>
      <c r="BD118" s="143"/>
      <c r="BE118" s="6">
        <f>I118-SUM(AB118:BD118)</f>
        <v>0</v>
      </c>
    </row>
    <row r="119" spans="1:57" ht="15" customHeight="1">
      <c r="A119" s="136"/>
      <c r="B119" s="40"/>
      <c r="C119" s="62"/>
      <c r="D119" s="63"/>
      <c r="E119" s="63"/>
      <c r="F119" s="63"/>
      <c r="G119" s="63"/>
      <c r="H119" s="63"/>
      <c r="I119" s="64"/>
      <c r="J119" s="65"/>
      <c r="K119" s="137"/>
      <c r="L119" s="83"/>
      <c r="M119" s="67"/>
      <c r="N119" s="68"/>
      <c r="O119" s="62"/>
      <c r="P119" s="69"/>
      <c r="Q119" s="70"/>
      <c r="R119" s="50">
        <f t="shared" si="35"/>
        <v>0</v>
      </c>
      <c r="S119" s="138"/>
      <c r="T119" s="69"/>
      <c r="U119" s="72"/>
      <c r="V119" s="139"/>
      <c r="W119" s="140"/>
      <c r="X119" s="141"/>
      <c r="Y119" s="141"/>
      <c r="Z119" s="142"/>
      <c r="AA119" s="143"/>
      <c r="AB119" s="139"/>
      <c r="AC119" s="140"/>
      <c r="AD119" s="141"/>
      <c r="AE119" s="141"/>
      <c r="AF119" s="141"/>
      <c r="AG119" s="141"/>
      <c r="AH119" s="141"/>
      <c r="AI119" s="141"/>
      <c r="AJ119" s="144"/>
      <c r="AK119" s="139"/>
      <c r="AL119" s="141"/>
      <c r="AM119" s="141"/>
      <c r="AN119" s="141"/>
      <c r="AO119" s="141"/>
      <c r="AP119" s="141"/>
      <c r="AQ119" s="141"/>
      <c r="AR119" s="141"/>
      <c r="AS119" s="144"/>
      <c r="AT119" s="139"/>
      <c r="AU119" s="144"/>
      <c r="AV119" s="139"/>
      <c r="AW119" s="141"/>
      <c r="AX119" s="141"/>
      <c r="AY119" s="141"/>
      <c r="AZ119" s="144"/>
      <c r="BA119" s="139"/>
      <c r="BB119" s="141"/>
      <c r="BC119" s="141"/>
      <c r="BD119" s="143"/>
    </row>
    <row r="120" spans="1:57" ht="15" customHeight="1">
      <c r="A120" s="136"/>
      <c r="B120" s="40"/>
      <c r="C120" s="62">
        <f>SUM(AB120:AJ120)</f>
        <v>0</v>
      </c>
      <c r="D120" s="63">
        <f>SUM(AK120:AS120)</f>
        <v>0</v>
      </c>
      <c r="E120" s="63">
        <f>SUM(AT120:AU120)</f>
        <v>0</v>
      </c>
      <c r="F120" s="63">
        <f>SUM(AV120:AZ120)</f>
        <v>0</v>
      </c>
      <c r="G120" s="63">
        <f>SUM(BA120:BD120)</f>
        <v>0</v>
      </c>
      <c r="H120" s="63">
        <f>SUM(V120:AA120)</f>
        <v>0</v>
      </c>
      <c r="I120" s="64">
        <f t="shared" si="34"/>
        <v>0</v>
      </c>
      <c r="J120" s="65"/>
      <c r="K120" s="137"/>
      <c r="L120" s="83"/>
      <c r="M120" s="67"/>
      <c r="N120" s="68"/>
      <c r="O120" s="62"/>
      <c r="P120" s="69"/>
      <c r="Q120" s="70"/>
      <c r="R120" s="50">
        <f t="shared" si="35"/>
        <v>0</v>
      </c>
      <c r="S120" s="138"/>
      <c r="T120" s="69"/>
      <c r="U120" s="72"/>
      <c r="V120" s="139"/>
      <c r="W120" s="140"/>
      <c r="X120" s="141"/>
      <c r="Y120" s="141"/>
      <c r="Z120" s="142"/>
      <c r="AA120" s="143"/>
      <c r="AB120" s="139"/>
      <c r="AC120" s="140"/>
      <c r="AD120" s="141"/>
      <c r="AE120" s="141"/>
      <c r="AF120" s="141"/>
      <c r="AG120" s="141"/>
      <c r="AH120" s="141"/>
      <c r="AI120" s="141"/>
      <c r="AJ120" s="144"/>
      <c r="AK120" s="139"/>
      <c r="AL120" s="141"/>
      <c r="AM120" s="141"/>
      <c r="AN120" s="141"/>
      <c r="AO120" s="141"/>
      <c r="AP120" s="141"/>
      <c r="AQ120" s="141"/>
      <c r="AR120" s="141"/>
      <c r="AS120" s="144"/>
      <c r="AT120" s="139"/>
      <c r="AU120" s="144"/>
      <c r="AV120" s="139"/>
      <c r="AW120" s="141"/>
      <c r="AX120" s="141"/>
      <c r="AY120" s="141"/>
      <c r="AZ120" s="144"/>
      <c r="BA120" s="139"/>
      <c r="BB120" s="141"/>
      <c r="BC120" s="141"/>
      <c r="BD120" s="143"/>
      <c r="BE120" s="6">
        <f>I120-SUM(AB120:BD120)</f>
        <v>0</v>
      </c>
    </row>
    <row r="121" spans="1:57" ht="15" customHeight="1">
      <c r="A121" s="136"/>
      <c r="B121" s="40"/>
      <c r="C121" s="146"/>
      <c r="D121" s="147"/>
      <c r="E121" s="147"/>
      <c r="F121" s="147"/>
      <c r="G121" s="147"/>
      <c r="H121" s="147"/>
      <c r="I121" s="148"/>
      <c r="J121" s="149"/>
      <c r="K121" s="150"/>
      <c r="L121" s="151"/>
      <c r="M121" s="152"/>
      <c r="N121" s="153"/>
      <c r="O121" s="146"/>
      <c r="P121" s="154"/>
      <c r="Q121" s="155"/>
      <c r="R121" s="50">
        <f t="shared" si="35"/>
        <v>0</v>
      </c>
      <c r="S121" s="138"/>
      <c r="T121" s="69"/>
      <c r="U121" s="72"/>
      <c r="V121" s="156"/>
      <c r="W121" s="157"/>
      <c r="X121" s="158"/>
      <c r="Y121" s="158"/>
      <c r="Z121" s="159"/>
      <c r="AA121" s="160"/>
      <c r="AB121" s="156"/>
      <c r="AC121" s="157"/>
      <c r="AD121" s="158"/>
      <c r="AE121" s="158"/>
      <c r="AF121" s="158"/>
      <c r="AG121" s="158"/>
      <c r="AH121" s="158"/>
      <c r="AI121" s="158"/>
      <c r="AJ121" s="161"/>
      <c r="AK121" s="156"/>
      <c r="AL121" s="158"/>
      <c r="AM121" s="157"/>
      <c r="AN121" s="158"/>
      <c r="AO121" s="158"/>
      <c r="AP121" s="158"/>
      <c r="AQ121" s="158"/>
      <c r="AR121" s="158"/>
      <c r="AS121" s="161"/>
      <c r="AT121" s="156"/>
      <c r="AU121" s="161"/>
      <c r="AV121" s="156"/>
      <c r="AW121" s="158"/>
      <c r="AX121" s="158"/>
      <c r="AY121" s="158"/>
      <c r="AZ121" s="161"/>
      <c r="BA121" s="156"/>
      <c r="BB121" s="158"/>
      <c r="BC121" s="158"/>
      <c r="BD121" s="160"/>
    </row>
    <row r="122" spans="1:57" s="3" customFormat="1" ht="15" customHeight="1">
      <c r="A122" s="162" t="s">
        <v>119</v>
      </c>
      <c r="B122" s="163"/>
      <c r="C122" s="164">
        <f t="shared" ref="C122:Q122" si="37">SUM(C116:C120)</f>
        <v>0</v>
      </c>
      <c r="D122" s="165">
        <f t="shared" si="37"/>
        <v>0</v>
      </c>
      <c r="E122" s="165">
        <f t="shared" si="37"/>
        <v>0</v>
      </c>
      <c r="F122" s="165">
        <f t="shared" si="37"/>
        <v>0</v>
      </c>
      <c r="G122" s="165">
        <f t="shared" si="37"/>
        <v>0</v>
      </c>
      <c r="H122" s="165">
        <f t="shared" si="37"/>
        <v>0</v>
      </c>
      <c r="I122" s="166">
        <f t="shared" si="37"/>
        <v>0</v>
      </c>
      <c r="J122" s="167">
        <f t="shared" si="37"/>
        <v>0</v>
      </c>
      <c r="K122" s="167">
        <f>SUM(K116:K121)</f>
        <v>0</v>
      </c>
      <c r="L122" s="168">
        <f>SUM(L116:L120)</f>
        <v>0</v>
      </c>
      <c r="M122" s="169">
        <f>SUM(M116:M120)</f>
        <v>0</v>
      </c>
      <c r="N122" s="170">
        <f t="shared" si="37"/>
        <v>0</v>
      </c>
      <c r="O122" s="164"/>
      <c r="P122" s="171">
        <f t="shared" si="37"/>
        <v>0</v>
      </c>
      <c r="Q122" s="172">
        <f t="shared" si="37"/>
        <v>0</v>
      </c>
      <c r="R122" s="173">
        <f t="shared" si="35"/>
        <v>0</v>
      </c>
      <c r="S122" s="174"/>
      <c r="T122" s="171"/>
      <c r="U122" s="175"/>
      <c r="V122" s="176">
        <f>SUM(V116:V120)</f>
        <v>0</v>
      </c>
      <c r="W122" s="177"/>
      <c r="X122" s="178">
        <f>SUM(X116:X120)</f>
        <v>0</v>
      </c>
      <c r="Y122" s="178"/>
      <c r="Z122" s="179">
        <f>SUM(Z116:Z120)</f>
        <v>0</v>
      </c>
      <c r="AA122" s="180">
        <f>SUM(AA116:AA120)</f>
        <v>0</v>
      </c>
      <c r="AB122" s="176">
        <f t="shared" ref="AB122:BD122" si="38">SUM(AB116:AB120)</f>
        <v>0</v>
      </c>
      <c r="AC122" s="177"/>
      <c r="AD122" s="178">
        <f t="shared" si="38"/>
        <v>0</v>
      </c>
      <c r="AE122" s="178">
        <f t="shared" si="38"/>
        <v>0</v>
      </c>
      <c r="AF122" s="178">
        <f t="shared" si="38"/>
        <v>0</v>
      </c>
      <c r="AG122" s="178">
        <f t="shared" si="38"/>
        <v>0</v>
      </c>
      <c r="AH122" s="178">
        <f t="shared" si="38"/>
        <v>0</v>
      </c>
      <c r="AI122" s="178">
        <f t="shared" si="38"/>
        <v>0</v>
      </c>
      <c r="AJ122" s="181">
        <f t="shared" si="38"/>
        <v>0</v>
      </c>
      <c r="AK122" s="176">
        <f t="shared" si="38"/>
        <v>0</v>
      </c>
      <c r="AL122" s="178">
        <f t="shared" si="38"/>
        <v>0</v>
      </c>
      <c r="AM122" s="176">
        <f t="shared" si="38"/>
        <v>0</v>
      </c>
      <c r="AN122" s="178">
        <f t="shared" si="38"/>
        <v>0</v>
      </c>
      <c r="AO122" s="178">
        <f t="shared" si="38"/>
        <v>0</v>
      </c>
      <c r="AP122" s="178">
        <f t="shared" si="38"/>
        <v>0</v>
      </c>
      <c r="AQ122" s="178">
        <f t="shared" si="38"/>
        <v>0</v>
      </c>
      <c r="AR122" s="178">
        <f t="shared" si="38"/>
        <v>0</v>
      </c>
      <c r="AS122" s="181">
        <f t="shared" si="38"/>
        <v>0</v>
      </c>
      <c r="AT122" s="176">
        <f t="shared" si="38"/>
        <v>0</v>
      </c>
      <c r="AU122" s="181">
        <f t="shared" si="38"/>
        <v>0</v>
      </c>
      <c r="AV122" s="176">
        <f t="shared" si="38"/>
        <v>0</v>
      </c>
      <c r="AW122" s="178">
        <f t="shared" si="38"/>
        <v>0</v>
      </c>
      <c r="AX122" s="178">
        <f t="shared" si="38"/>
        <v>0</v>
      </c>
      <c r="AY122" s="178">
        <f t="shared" si="38"/>
        <v>0</v>
      </c>
      <c r="AZ122" s="181">
        <f t="shared" si="38"/>
        <v>0</v>
      </c>
      <c r="BA122" s="176">
        <f t="shared" si="38"/>
        <v>0</v>
      </c>
      <c r="BB122" s="178">
        <f t="shared" si="38"/>
        <v>0</v>
      </c>
      <c r="BC122" s="178">
        <f t="shared" si="38"/>
        <v>0</v>
      </c>
      <c r="BD122" s="180">
        <f t="shared" si="38"/>
        <v>0</v>
      </c>
      <c r="BE122" s="6">
        <f>I122-SUM(AB122:BD122)</f>
        <v>0</v>
      </c>
    </row>
    <row r="123" spans="1:57" s="4" customFormat="1" ht="14.25" customHeight="1">
      <c r="B123" s="5"/>
      <c r="C123" s="182"/>
      <c r="D123" s="182"/>
      <c r="E123" s="182"/>
      <c r="F123" s="182"/>
      <c r="I123" s="183"/>
      <c r="P123" s="2"/>
      <c r="R123" s="183"/>
      <c r="S123" s="183"/>
      <c r="T123" s="2"/>
      <c r="U123" s="2"/>
      <c r="Z123" s="2"/>
      <c r="BE123" s="182"/>
    </row>
    <row r="124" spans="1:57" s="4" customFormat="1" ht="14.25" customHeight="1">
      <c r="B124" s="5"/>
      <c r="C124" s="183"/>
      <c r="D124" s="183"/>
      <c r="E124" s="183"/>
      <c r="F124" s="183"/>
      <c r="G124" s="183"/>
      <c r="H124" s="183"/>
      <c r="I124" s="183"/>
      <c r="J124" s="183"/>
      <c r="K124" s="183"/>
      <c r="L124" s="183"/>
      <c r="M124" s="183"/>
      <c r="N124" s="183"/>
      <c r="O124" s="183"/>
      <c r="P124" s="184"/>
      <c r="Q124" s="183"/>
      <c r="R124" s="183"/>
      <c r="S124" s="183"/>
      <c r="T124" s="184"/>
      <c r="U124" s="184"/>
      <c r="V124" s="183"/>
      <c r="W124" s="183"/>
      <c r="X124" s="183"/>
      <c r="Y124" s="183"/>
      <c r="Z124" s="183"/>
      <c r="AA124" s="183"/>
      <c r="AB124" s="183"/>
      <c r="AC124" s="183"/>
      <c r="AD124" s="183"/>
      <c r="AE124" s="183"/>
      <c r="AF124" s="183"/>
      <c r="AG124" s="183"/>
      <c r="AH124" s="183"/>
      <c r="AI124" s="183"/>
      <c r="AJ124" s="183"/>
      <c r="AK124" s="183"/>
      <c r="AL124" s="183"/>
      <c r="AM124" s="183"/>
      <c r="AN124" s="183"/>
      <c r="AO124" s="183"/>
      <c r="AP124" s="183"/>
      <c r="AQ124" s="183"/>
      <c r="AR124" s="183"/>
      <c r="AS124" s="183"/>
      <c r="AT124" s="183"/>
      <c r="AU124" s="183"/>
      <c r="AV124" s="183"/>
      <c r="AW124" s="183"/>
      <c r="AX124" s="183"/>
      <c r="AY124" s="183"/>
      <c r="AZ124" s="183"/>
      <c r="BA124" s="183"/>
      <c r="BB124" s="183"/>
      <c r="BC124" s="183"/>
      <c r="BD124" s="183"/>
      <c r="BE124" s="182"/>
    </row>
    <row r="125" spans="1:57" ht="31.5" customHeight="1">
      <c r="AB125" s="185"/>
      <c r="AC125" s="185"/>
    </row>
    <row r="126" spans="1:57" ht="21.75" customHeight="1">
      <c r="R126" s="186"/>
      <c r="AB126" s="187"/>
      <c r="AC126" s="187"/>
    </row>
  </sheetData>
  <autoFilter ref="A3:BE126" xr:uid="{00000000-0009-0000-0000-000007000000}"/>
  <mergeCells count="26">
    <mergeCell ref="V2:AA2"/>
    <mergeCell ref="AB2:AJ2"/>
    <mergeCell ref="AK2:AS2"/>
    <mergeCell ref="AT2:AU2"/>
    <mergeCell ref="AV2:AZ2"/>
    <mergeCell ref="BA2:BD2"/>
    <mergeCell ref="A4:B4"/>
    <mergeCell ref="A114:B114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R2:R3"/>
    <mergeCell ref="S2:S3"/>
    <mergeCell ref="T2:T3"/>
    <mergeCell ref="U2:U3"/>
    <mergeCell ref="N2:Q2"/>
  </mergeCells>
  <phoneticPr fontId="46" type="noConversion"/>
  <hyperlinks>
    <hyperlink ref="A1" location="汇总表!A1" display="←返回" xr:uid="{00000000-0004-0000-0700-000000000000}"/>
  </hyperlinks>
  <pageMargins left="0.7" right="0.7" top="0.75" bottom="0.75" header="0.3" footer="0.3"/>
  <pageSetup paperSize="9" orientation="landscape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E126"/>
  <sheetViews>
    <sheetView zoomScale="115" zoomScaleNormal="115" workbookViewId="0">
      <pane xSplit="2" ySplit="4" topLeftCell="C107" activePane="bottomRight" state="frozen"/>
      <selection pane="topRight"/>
      <selection pane="bottomLeft"/>
      <selection pane="bottomRight" activeCell="A31" sqref="A31:XFD40"/>
    </sheetView>
  </sheetViews>
  <sheetFormatPr defaultColWidth="9" defaultRowHeight="17.399999999999999" outlineLevelCol="1"/>
  <cols>
    <col min="1" max="1" width="6.69921875" style="4" customWidth="1"/>
    <col min="2" max="2" width="7" style="5" customWidth="1"/>
    <col min="3" max="6" width="4.8984375" style="6" customWidth="1" outlineLevel="1"/>
    <col min="7" max="8" width="4.8984375" style="7" customWidth="1" outlineLevel="1"/>
    <col min="9" max="9" width="4.8984375" style="7" customWidth="1"/>
    <col min="10" max="10" width="4.09765625" style="7" customWidth="1" outlineLevel="1"/>
    <col min="11" max="11" width="4.19921875" style="7" customWidth="1" outlineLevel="1"/>
    <col min="12" max="13" width="4.8984375" style="7" customWidth="1"/>
    <col min="14" max="15" width="4.8984375" style="7" customWidth="1" outlineLevel="1"/>
    <col min="16" max="16" width="4.8984375" style="8" customWidth="1" outlineLevel="1"/>
    <col min="17" max="17" width="4.8984375" style="7" customWidth="1" outlineLevel="1"/>
    <col min="18" max="18" width="7.59765625" style="7" customWidth="1"/>
    <col min="19" max="19" width="4.69921875" style="7" customWidth="1"/>
    <col min="20" max="20" width="4.09765625" style="8" customWidth="1"/>
    <col min="21" max="21" width="9.5" style="8" customWidth="1"/>
    <col min="22" max="25" width="5.3984375" style="7" customWidth="1" outlineLevel="1"/>
    <col min="26" max="26" width="4.8984375" style="8" customWidth="1" outlineLevel="1"/>
    <col min="27" max="27" width="5.69921875" style="7" customWidth="1" outlineLevel="1"/>
    <col min="28" max="28" width="5.09765625" style="9" customWidth="1" outlineLevel="1"/>
    <col min="29" max="29" width="4.09765625" style="9" customWidth="1" outlineLevel="1"/>
    <col min="30" max="30" width="4.59765625" style="9" customWidth="1" outlineLevel="1"/>
    <col min="31" max="35" width="3.8984375" style="9" customWidth="1" outlineLevel="1"/>
    <col min="36" max="36" width="3.8984375" style="9" customWidth="1"/>
    <col min="37" max="44" width="4.5" style="7" customWidth="1" outlineLevel="1"/>
    <col min="45" max="45" width="4.5" style="7" customWidth="1"/>
    <col min="46" max="47" width="4.8984375" style="7" customWidth="1"/>
    <col min="48" max="48" width="5" style="7" customWidth="1"/>
    <col min="49" max="50" width="4.09765625" style="7" customWidth="1"/>
    <col min="51" max="51" width="4.19921875" style="7" customWidth="1"/>
    <col min="52" max="52" width="4.8984375" style="7" customWidth="1"/>
    <col min="53" max="53" width="6.3984375" style="7" customWidth="1"/>
    <col min="54" max="54" width="6.59765625" style="7" customWidth="1"/>
    <col min="55" max="56" width="4.19921875" style="7" customWidth="1"/>
    <col min="57" max="57" width="2.3984375" style="6" customWidth="1"/>
    <col min="58" max="16384" width="9" style="7"/>
  </cols>
  <sheetData>
    <row r="1" spans="1:57">
      <c r="A1" s="188" t="s">
        <v>93</v>
      </c>
      <c r="R1" s="11"/>
      <c r="S1" s="11"/>
    </row>
    <row r="2" spans="1:57" s="1" customFormat="1" ht="25.5" customHeight="1">
      <c r="A2" s="556" t="s">
        <v>65</v>
      </c>
      <c r="B2" s="558" t="s">
        <v>66</v>
      </c>
      <c r="C2" s="560" t="s">
        <v>68</v>
      </c>
      <c r="D2" s="562" t="s">
        <v>69</v>
      </c>
      <c r="E2" s="564" t="s">
        <v>70</v>
      </c>
      <c r="F2" s="566" t="s">
        <v>71</v>
      </c>
      <c r="G2" s="550" t="s">
        <v>72</v>
      </c>
      <c r="H2" s="569" t="s">
        <v>73</v>
      </c>
      <c r="I2" s="571" t="s">
        <v>74</v>
      </c>
      <c r="J2" s="573" t="s">
        <v>75</v>
      </c>
      <c r="K2" s="575" t="s">
        <v>76</v>
      </c>
      <c r="L2" s="536" t="s">
        <v>100</v>
      </c>
      <c r="M2" s="536" t="s">
        <v>101</v>
      </c>
      <c r="N2" s="577" t="s">
        <v>79</v>
      </c>
      <c r="O2" s="577"/>
      <c r="P2" s="577"/>
      <c r="Q2" s="577"/>
      <c r="R2" s="538" t="s">
        <v>80</v>
      </c>
      <c r="S2" s="540" t="s">
        <v>81</v>
      </c>
      <c r="T2" s="542" t="s">
        <v>82</v>
      </c>
      <c r="U2" s="544" t="s">
        <v>83</v>
      </c>
      <c r="V2" s="578" t="s">
        <v>73</v>
      </c>
      <c r="W2" s="579"/>
      <c r="X2" s="569"/>
      <c r="Y2" s="569"/>
      <c r="Z2" s="569"/>
      <c r="AA2" s="580"/>
      <c r="AB2" s="581" t="s">
        <v>68</v>
      </c>
      <c r="AC2" s="582"/>
      <c r="AD2" s="583"/>
      <c r="AE2" s="583"/>
      <c r="AF2" s="583"/>
      <c r="AG2" s="583"/>
      <c r="AH2" s="583"/>
      <c r="AI2" s="583"/>
      <c r="AJ2" s="584"/>
      <c r="AK2" s="585" t="s">
        <v>69</v>
      </c>
      <c r="AL2" s="586"/>
      <c r="AM2" s="586"/>
      <c r="AN2" s="586"/>
      <c r="AO2" s="586"/>
      <c r="AP2" s="586"/>
      <c r="AQ2" s="586"/>
      <c r="AR2" s="586"/>
      <c r="AS2" s="587"/>
      <c r="AT2" s="588" t="s">
        <v>70</v>
      </c>
      <c r="AU2" s="589"/>
      <c r="AV2" s="546" t="s">
        <v>71</v>
      </c>
      <c r="AW2" s="547"/>
      <c r="AX2" s="547"/>
      <c r="AY2" s="547"/>
      <c r="AZ2" s="548"/>
      <c r="BA2" s="549" t="s">
        <v>84</v>
      </c>
      <c r="BB2" s="550"/>
      <c r="BC2" s="550"/>
      <c r="BD2" s="551"/>
      <c r="BE2" s="12"/>
    </row>
    <row r="3" spans="1:57" s="2" customFormat="1" ht="30" customHeight="1">
      <c r="A3" s="557"/>
      <c r="B3" s="559"/>
      <c r="C3" s="561"/>
      <c r="D3" s="563"/>
      <c r="E3" s="565"/>
      <c r="F3" s="567"/>
      <c r="G3" s="568"/>
      <c r="H3" s="570"/>
      <c r="I3" s="572"/>
      <c r="J3" s="574"/>
      <c r="K3" s="576"/>
      <c r="L3" s="537"/>
      <c r="M3" s="537"/>
      <c r="N3" s="13" t="s">
        <v>102</v>
      </c>
      <c r="O3" s="13" t="s">
        <v>103</v>
      </c>
      <c r="P3" s="13" t="s">
        <v>104</v>
      </c>
      <c r="Q3" s="14" t="s">
        <v>105</v>
      </c>
      <c r="R3" s="539"/>
      <c r="S3" s="541"/>
      <c r="T3" s="543"/>
      <c r="U3" s="545"/>
      <c r="V3" s="15" t="s">
        <v>19</v>
      </c>
      <c r="W3" s="16" t="s">
        <v>106</v>
      </c>
      <c r="X3" s="17" t="s">
        <v>107</v>
      </c>
      <c r="Y3" s="17" t="s">
        <v>108</v>
      </c>
      <c r="Z3" s="17" t="s">
        <v>109</v>
      </c>
      <c r="AA3" s="18" t="s">
        <v>32</v>
      </c>
      <c r="AB3" s="19" t="s">
        <v>110</v>
      </c>
      <c r="AC3" s="19" t="s">
        <v>111</v>
      </c>
      <c r="AD3" s="19" t="s">
        <v>26</v>
      </c>
      <c r="AE3" s="19" t="s">
        <v>27</v>
      </c>
      <c r="AF3" s="19" t="s">
        <v>28</v>
      </c>
      <c r="AG3" s="19" t="s">
        <v>29</v>
      </c>
      <c r="AH3" s="19" t="s">
        <v>30</v>
      </c>
      <c r="AI3" s="19" t="s">
        <v>19</v>
      </c>
      <c r="AJ3" s="20" t="s">
        <v>32</v>
      </c>
      <c r="AK3" s="21" t="s">
        <v>112</v>
      </c>
      <c r="AL3" s="22" t="s">
        <v>113</v>
      </c>
      <c r="AM3" s="22" t="s">
        <v>114</v>
      </c>
      <c r="AN3" s="22" t="s">
        <v>115</v>
      </c>
      <c r="AO3" s="22" t="s">
        <v>19</v>
      </c>
      <c r="AP3" s="22" t="s">
        <v>36</v>
      </c>
      <c r="AQ3" s="22" t="s">
        <v>37</v>
      </c>
      <c r="AR3" s="22" t="s">
        <v>38</v>
      </c>
      <c r="AS3" s="23" t="s">
        <v>32</v>
      </c>
      <c r="AT3" s="24" t="s">
        <v>40</v>
      </c>
      <c r="AU3" s="25" t="s">
        <v>116</v>
      </c>
      <c r="AV3" s="26" t="s">
        <v>51</v>
      </c>
      <c r="AW3" s="27" t="s">
        <v>52</v>
      </c>
      <c r="AX3" s="27" t="s">
        <v>53</v>
      </c>
      <c r="AY3" s="27" t="s">
        <v>86</v>
      </c>
      <c r="AZ3" s="28" t="s">
        <v>87</v>
      </c>
      <c r="BA3" s="29" t="s">
        <v>44</v>
      </c>
      <c r="BB3" s="30" t="s">
        <v>45</v>
      </c>
      <c r="BC3" s="30"/>
      <c r="BD3" s="31"/>
      <c r="BE3" s="32"/>
    </row>
    <row r="4" spans="1:57" s="3" customFormat="1" ht="20.25" customHeight="1">
      <c r="A4" s="552" t="s">
        <v>117</v>
      </c>
      <c r="B4" s="553"/>
      <c r="C4" s="33"/>
      <c r="D4" s="33"/>
      <c r="E4" s="33"/>
      <c r="F4" s="33"/>
      <c r="G4" s="34"/>
      <c r="H4" s="35"/>
      <c r="I4" s="33">
        <v>0</v>
      </c>
      <c r="J4" s="34"/>
      <c r="K4" s="34"/>
      <c r="L4" s="34"/>
      <c r="M4" s="34"/>
      <c r="N4" s="34"/>
      <c r="O4" s="34"/>
      <c r="P4" s="36"/>
      <c r="Q4" s="34"/>
      <c r="R4" s="33">
        <v>0</v>
      </c>
      <c r="S4" s="34"/>
      <c r="T4" s="36"/>
      <c r="U4" s="36"/>
      <c r="V4" s="34"/>
      <c r="W4" s="34"/>
      <c r="X4" s="34"/>
      <c r="Y4" s="34"/>
      <c r="Z4" s="36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34"/>
      <c r="BA4" s="34"/>
      <c r="BB4" s="34"/>
      <c r="BC4" s="34"/>
      <c r="BD4" s="37"/>
      <c r="BE4" s="38"/>
    </row>
    <row r="5" spans="1:57">
      <c r="A5" s="39"/>
      <c r="B5" s="40"/>
      <c r="C5" s="41">
        <f t="shared" ref="C5:C36" si="0">SUM(AB5:AJ5)</f>
        <v>0</v>
      </c>
      <c r="D5" s="42">
        <f t="shared" ref="D5:D36" si="1">SUM(AK5:AS5)</f>
        <v>0</v>
      </c>
      <c r="E5" s="42">
        <f t="shared" ref="E5:E36" si="2">SUM(AT5:AU5)</f>
        <v>0</v>
      </c>
      <c r="F5" s="42">
        <f t="shared" ref="F5:F36" si="3">SUM(AV5:AZ5)</f>
        <v>0</v>
      </c>
      <c r="G5" s="42">
        <f>SUM(BA5:BD5)</f>
        <v>0</v>
      </c>
      <c r="H5" s="42">
        <f t="shared" ref="H5:H36" si="4">SUM(V5:AA5)</f>
        <v>0</v>
      </c>
      <c r="I5" s="43">
        <f>SUM(C5:H5)</f>
        <v>0</v>
      </c>
      <c r="J5" s="44"/>
      <c r="K5" s="44"/>
      <c r="L5" s="45"/>
      <c r="M5" s="46"/>
      <c r="N5" s="47"/>
      <c r="O5" s="41"/>
      <c r="P5" s="48"/>
      <c r="Q5" s="49"/>
      <c r="R5" s="50">
        <f>R4+SUM(N5:Q5)-SUM(I5:M5)</f>
        <v>0</v>
      </c>
      <c r="S5" s="51"/>
      <c r="T5" s="52"/>
      <c r="U5" s="53"/>
      <c r="V5" s="54"/>
      <c r="W5" s="55"/>
      <c r="X5" s="56"/>
      <c r="Y5" s="56"/>
      <c r="Z5" s="57"/>
      <c r="AA5" s="58"/>
      <c r="AB5" s="54"/>
      <c r="AC5" s="55"/>
      <c r="AD5" s="56"/>
      <c r="AE5" s="56"/>
      <c r="AF5" s="56"/>
      <c r="AG5" s="56"/>
      <c r="AH5" s="56"/>
      <c r="AI5" s="56"/>
      <c r="AJ5" s="59"/>
      <c r="AK5" s="60"/>
      <c r="AL5" s="56"/>
      <c r="AM5" s="56"/>
      <c r="AN5" s="56"/>
      <c r="AO5" s="56"/>
      <c r="AP5" s="56"/>
      <c r="AQ5" s="56"/>
      <c r="AR5" s="56"/>
      <c r="AS5" s="58"/>
      <c r="AT5" s="55"/>
      <c r="AU5" s="59"/>
      <c r="AV5" s="60"/>
      <c r="AW5" s="56"/>
      <c r="AX5" s="56"/>
      <c r="AY5" s="56"/>
      <c r="AZ5" s="58"/>
      <c r="BA5" s="55"/>
      <c r="BB5" s="56"/>
      <c r="BC5" s="56"/>
      <c r="BD5" s="58"/>
      <c r="BE5" s="6">
        <f t="shared" ref="BE5:BE45" si="5">I5-SUM(AB5:BD5)</f>
        <v>0</v>
      </c>
    </row>
    <row r="6" spans="1:57">
      <c r="A6" s="61"/>
      <c r="B6" s="40"/>
      <c r="C6" s="62">
        <f t="shared" si="0"/>
        <v>0</v>
      </c>
      <c r="D6" s="63">
        <f t="shared" si="1"/>
        <v>0</v>
      </c>
      <c r="E6" s="63">
        <f t="shared" si="2"/>
        <v>0</v>
      </c>
      <c r="F6" s="63">
        <f t="shared" si="3"/>
        <v>0</v>
      </c>
      <c r="G6" s="63">
        <f t="shared" ref="G6:G69" si="6">SUM(BA6:BD6)</f>
        <v>0</v>
      </c>
      <c r="H6" s="63">
        <f t="shared" si="4"/>
        <v>0</v>
      </c>
      <c r="I6" s="64">
        <f t="shared" ref="I6:I69" si="7">SUM(C6:H6)</f>
        <v>0</v>
      </c>
      <c r="J6" s="65"/>
      <c r="K6" s="65"/>
      <c r="L6" s="66"/>
      <c r="M6" s="67"/>
      <c r="N6" s="68"/>
      <c r="O6" s="62"/>
      <c r="P6" s="69"/>
      <c r="Q6" s="70"/>
      <c r="R6" s="50">
        <f t="shared" ref="R6:R69" si="8">R5+SUM(N6:Q6)-SUM(I6:M6)</f>
        <v>0</v>
      </c>
      <c r="S6" s="71"/>
      <c r="T6" s="69"/>
      <c r="U6" s="72"/>
      <c r="V6" s="73"/>
      <c r="W6" s="74"/>
      <c r="X6" s="75"/>
      <c r="Y6" s="75"/>
      <c r="Z6" s="76"/>
      <c r="AA6" s="77"/>
      <c r="AB6" s="73"/>
      <c r="AC6" s="74"/>
      <c r="AD6" s="75"/>
      <c r="AE6" s="75"/>
      <c r="AF6" s="75"/>
      <c r="AG6" s="75"/>
      <c r="AI6" s="75"/>
      <c r="AJ6" s="78"/>
      <c r="AK6" s="79"/>
      <c r="AL6" s="75"/>
      <c r="AM6" s="75"/>
      <c r="AN6" s="75"/>
      <c r="AO6" s="75"/>
      <c r="AP6" s="75"/>
      <c r="AQ6" s="75"/>
      <c r="AR6" s="75"/>
      <c r="AS6" s="77"/>
      <c r="AT6" s="74"/>
      <c r="AU6" s="78"/>
      <c r="AV6" s="79"/>
      <c r="AW6" s="75"/>
      <c r="AX6" s="75"/>
      <c r="AY6" s="75"/>
      <c r="AZ6" s="77"/>
      <c r="BA6" s="74"/>
      <c r="BB6" s="75"/>
      <c r="BC6" s="75"/>
      <c r="BD6" s="77"/>
      <c r="BE6" s="6">
        <f t="shared" si="5"/>
        <v>0</v>
      </c>
    </row>
    <row r="7" spans="1:57">
      <c r="A7" s="61"/>
      <c r="B7" s="40"/>
      <c r="C7" s="62">
        <f t="shared" si="0"/>
        <v>0</v>
      </c>
      <c r="D7" s="63">
        <f t="shared" si="1"/>
        <v>0</v>
      </c>
      <c r="E7" s="63">
        <f t="shared" si="2"/>
        <v>0</v>
      </c>
      <c r="F7" s="63">
        <f t="shared" si="3"/>
        <v>0</v>
      </c>
      <c r="G7" s="63">
        <f t="shared" si="6"/>
        <v>0</v>
      </c>
      <c r="H7" s="63">
        <f t="shared" si="4"/>
        <v>0</v>
      </c>
      <c r="I7" s="64">
        <f t="shared" si="7"/>
        <v>0</v>
      </c>
      <c r="J7" s="65"/>
      <c r="K7" s="65"/>
      <c r="L7" s="80"/>
      <c r="M7" s="67"/>
      <c r="N7" s="68"/>
      <c r="O7" s="62"/>
      <c r="P7" s="69"/>
      <c r="Q7" s="70"/>
      <c r="R7" s="50">
        <f t="shared" si="8"/>
        <v>0</v>
      </c>
      <c r="S7" s="71"/>
      <c r="T7" s="69"/>
      <c r="U7" s="72"/>
      <c r="V7" s="73"/>
      <c r="W7" s="74"/>
      <c r="X7" s="75"/>
      <c r="Y7" s="75"/>
      <c r="Z7" s="76"/>
      <c r="AA7" s="77"/>
      <c r="AB7" s="73"/>
      <c r="AC7" s="74"/>
      <c r="AD7" s="75"/>
      <c r="AE7" s="75"/>
      <c r="AF7" s="75"/>
      <c r="AG7" s="75"/>
      <c r="AH7" s="75"/>
      <c r="AI7" s="75"/>
      <c r="AJ7" s="78"/>
      <c r="AK7" s="79"/>
      <c r="AL7" s="75"/>
      <c r="AM7" s="75"/>
      <c r="AN7" s="75"/>
      <c r="AO7" s="75"/>
      <c r="AP7" s="75"/>
      <c r="AQ7" s="75"/>
      <c r="AR7" s="75"/>
      <c r="AS7" s="77"/>
      <c r="AT7" s="74"/>
      <c r="AU7" s="78"/>
      <c r="AV7" s="79"/>
      <c r="AW7" s="75"/>
      <c r="AX7" s="75"/>
      <c r="AY7" s="75"/>
      <c r="AZ7" s="77"/>
      <c r="BA7" s="74"/>
      <c r="BB7" s="75"/>
      <c r="BC7" s="75"/>
      <c r="BD7" s="77"/>
      <c r="BE7" s="6">
        <f t="shared" si="5"/>
        <v>0</v>
      </c>
    </row>
    <row r="8" spans="1:57">
      <c r="A8" s="61"/>
      <c r="B8" s="40"/>
      <c r="C8" s="62">
        <f t="shared" si="0"/>
        <v>0</v>
      </c>
      <c r="D8" s="42">
        <f t="shared" si="1"/>
        <v>0</v>
      </c>
      <c r="E8" s="63">
        <f t="shared" si="2"/>
        <v>0</v>
      </c>
      <c r="F8" s="63">
        <f t="shared" si="3"/>
        <v>0</v>
      </c>
      <c r="G8" s="63">
        <f t="shared" si="6"/>
        <v>0</v>
      </c>
      <c r="H8" s="63">
        <f t="shared" si="4"/>
        <v>0</v>
      </c>
      <c r="I8" s="64">
        <f t="shared" si="7"/>
        <v>0</v>
      </c>
      <c r="J8" s="65"/>
      <c r="K8" s="65"/>
      <c r="L8" s="80"/>
      <c r="M8" s="67"/>
      <c r="N8" s="68"/>
      <c r="O8" s="41"/>
      <c r="P8" s="48"/>
      <c r="Q8" s="70"/>
      <c r="R8" s="50">
        <f t="shared" si="8"/>
        <v>0</v>
      </c>
      <c r="S8" s="71"/>
      <c r="T8" s="69"/>
      <c r="U8" s="81"/>
      <c r="V8" s="73"/>
      <c r="W8" s="74"/>
      <c r="X8" s="75"/>
      <c r="Y8" s="75"/>
      <c r="Z8" s="76"/>
      <c r="AA8" s="77"/>
      <c r="AB8" s="73"/>
      <c r="AC8" s="74"/>
      <c r="AD8" s="75"/>
      <c r="AE8" s="75"/>
      <c r="AF8" s="75"/>
      <c r="AG8" s="75"/>
      <c r="AH8" s="75"/>
      <c r="AI8" s="75"/>
      <c r="AJ8" s="78"/>
      <c r="AK8" s="79"/>
      <c r="AL8" s="75"/>
      <c r="AM8" s="75"/>
      <c r="AN8" s="75"/>
      <c r="AO8" s="75"/>
      <c r="AP8" s="75"/>
      <c r="AQ8" s="75"/>
      <c r="AR8" s="75"/>
      <c r="AS8" s="77"/>
      <c r="AT8" s="74"/>
      <c r="AU8" s="78"/>
      <c r="AV8" s="79"/>
      <c r="AW8" s="75"/>
      <c r="AX8" s="75"/>
      <c r="AY8" s="75"/>
      <c r="AZ8" s="77"/>
      <c r="BA8" s="74"/>
      <c r="BB8" s="75"/>
      <c r="BC8" s="75"/>
      <c r="BD8" s="77"/>
      <c r="BE8" s="6">
        <f t="shared" si="5"/>
        <v>0</v>
      </c>
    </row>
    <row r="9" spans="1:57">
      <c r="A9" s="61"/>
      <c r="B9" s="40"/>
      <c r="C9" s="62">
        <f t="shared" si="0"/>
        <v>0</v>
      </c>
      <c r="D9" s="63">
        <f t="shared" si="1"/>
        <v>0</v>
      </c>
      <c r="E9" s="63">
        <f t="shared" si="2"/>
        <v>0</v>
      </c>
      <c r="F9" s="63">
        <f t="shared" si="3"/>
        <v>0</v>
      </c>
      <c r="G9" s="63">
        <f t="shared" si="6"/>
        <v>0</v>
      </c>
      <c r="H9" s="63">
        <f t="shared" si="4"/>
        <v>0</v>
      </c>
      <c r="I9" s="64">
        <f t="shared" si="7"/>
        <v>0</v>
      </c>
      <c r="J9" s="65"/>
      <c r="K9" s="65"/>
      <c r="L9" s="80"/>
      <c r="M9" s="67"/>
      <c r="N9" s="68"/>
      <c r="O9" s="41"/>
      <c r="P9" s="48"/>
      <c r="Q9" s="70"/>
      <c r="R9" s="50">
        <f t="shared" si="8"/>
        <v>0</v>
      </c>
      <c r="S9" s="71"/>
      <c r="T9" s="69"/>
      <c r="U9" s="81"/>
      <c r="V9" s="73"/>
      <c r="W9" s="74"/>
      <c r="X9" s="75"/>
      <c r="Y9" s="75"/>
      <c r="Z9" s="76"/>
      <c r="AA9" s="77"/>
      <c r="AB9" s="73"/>
      <c r="AC9" s="74"/>
      <c r="AD9" s="75"/>
      <c r="AE9" s="75"/>
      <c r="AF9" s="75"/>
      <c r="AG9" s="75"/>
      <c r="AH9" s="75"/>
      <c r="AI9" s="75"/>
      <c r="AJ9" s="78"/>
      <c r="AK9" s="79"/>
      <c r="AL9" s="75"/>
      <c r="AM9" s="75"/>
      <c r="AN9" s="75"/>
      <c r="AO9" s="75"/>
      <c r="AP9" s="75"/>
      <c r="AQ9" s="75"/>
      <c r="AR9" s="75"/>
      <c r="AS9" s="77"/>
      <c r="AT9" s="74"/>
      <c r="AU9" s="78"/>
      <c r="AV9" s="79"/>
      <c r="AW9" s="75"/>
      <c r="AX9" s="75"/>
      <c r="AY9" s="75"/>
      <c r="AZ9" s="77"/>
      <c r="BA9" s="74"/>
      <c r="BB9" s="75"/>
      <c r="BC9" s="75"/>
      <c r="BD9" s="77"/>
      <c r="BE9" s="6">
        <f t="shared" si="5"/>
        <v>0</v>
      </c>
    </row>
    <row r="10" spans="1:57">
      <c r="A10" s="61"/>
      <c r="B10" s="40"/>
      <c r="C10" s="62">
        <f t="shared" si="0"/>
        <v>0</v>
      </c>
      <c r="D10" s="63">
        <f t="shared" si="1"/>
        <v>0</v>
      </c>
      <c r="E10" s="63">
        <f t="shared" si="2"/>
        <v>0</v>
      </c>
      <c r="F10" s="63">
        <f t="shared" si="3"/>
        <v>0</v>
      </c>
      <c r="G10" s="63">
        <f t="shared" si="6"/>
        <v>0</v>
      </c>
      <c r="H10" s="63">
        <f t="shared" si="4"/>
        <v>0</v>
      </c>
      <c r="I10" s="64">
        <f t="shared" si="7"/>
        <v>0</v>
      </c>
      <c r="J10" s="65"/>
      <c r="K10" s="65"/>
      <c r="L10" s="80"/>
      <c r="M10" s="67"/>
      <c r="N10" s="68"/>
      <c r="O10" s="41"/>
      <c r="P10" s="48"/>
      <c r="Q10" s="70"/>
      <c r="R10" s="50">
        <f t="shared" si="8"/>
        <v>0</v>
      </c>
      <c r="S10" s="71"/>
      <c r="T10" s="69"/>
      <c r="U10" s="81"/>
      <c r="V10" s="73"/>
      <c r="W10" s="74"/>
      <c r="X10" s="75"/>
      <c r="Y10" s="75"/>
      <c r="Z10" s="76"/>
      <c r="AA10" s="77"/>
      <c r="AB10" s="73"/>
      <c r="AC10" s="74"/>
      <c r="AD10" s="75"/>
      <c r="AE10" s="75"/>
      <c r="AF10" s="75"/>
      <c r="AG10" s="75"/>
      <c r="AH10" s="75"/>
      <c r="AI10" s="75"/>
      <c r="AJ10" s="78"/>
      <c r="AK10" s="79"/>
      <c r="AL10" s="75"/>
      <c r="AM10" s="75"/>
      <c r="AN10" s="75"/>
      <c r="AO10" s="75"/>
      <c r="AP10" s="75"/>
      <c r="AQ10" s="75"/>
      <c r="AR10" s="75"/>
      <c r="AS10" s="77"/>
      <c r="AT10" s="74"/>
      <c r="AU10" s="78"/>
      <c r="AV10" s="79"/>
      <c r="AW10" s="75"/>
      <c r="AX10" s="75"/>
      <c r="AY10" s="75"/>
      <c r="AZ10" s="77"/>
      <c r="BA10" s="74"/>
      <c r="BB10" s="75"/>
      <c r="BC10" s="75"/>
      <c r="BD10" s="77"/>
      <c r="BE10" s="6">
        <f t="shared" si="5"/>
        <v>0</v>
      </c>
    </row>
    <row r="11" spans="1:57">
      <c r="A11" s="61"/>
      <c r="B11" s="40"/>
      <c r="C11" s="62">
        <f t="shared" si="0"/>
        <v>0</v>
      </c>
      <c r="D11" s="63">
        <f t="shared" si="1"/>
        <v>0</v>
      </c>
      <c r="E11" s="63">
        <f t="shared" si="2"/>
        <v>0</v>
      </c>
      <c r="F11" s="63">
        <f t="shared" si="3"/>
        <v>0</v>
      </c>
      <c r="G11" s="63">
        <f t="shared" si="6"/>
        <v>0</v>
      </c>
      <c r="H11" s="63">
        <f t="shared" si="4"/>
        <v>0</v>
      </c>
      <c r="I11" s="64">
        <f t="shared" si="7"/>
        <v>0</v>
      </c>
      <c r="J11" s="65"/>
      <c r="K11" s="65"/>
      <c r="L11" s="80"/>
      <c r="M11" s="67"/>
      <c r="N11" s="68"/>
      <c r="O11" s="41"/>
      <c r="P11" s="48"/>
      <c r="Q11" s="70"/>
      <c r="R11" s="50">
        <f t="shared" si="8"/>
        <v>0</v>
      </c>
      <c r="S11" s="82"/>
      <c r="T11" s="69"/>
      <c r="U11" s="81"/>
      <c r="V11" s="73"/>
      <c r="W11" s="74"/>
      <c r="X11" s="75"/>
      <c r="Y11" s="75"/>
      <c r="Z11" s="76"/>
      <c r="AA11" s="77"/>
      <c r="AB11" s="73"/>
      <c r="AC11" s="74"/>
      <c r="AD11" s="75"/>
      <c r="AE11" s="75"/>
      <c r="AF11" s="75"/>
      <c r="AG11" s="75"/>
      <c r="AH11" s="75"/>
      <c r="AI11" s="75"/>
      <c r="AJ11" s="78"/>
      <c r="AK11" s="79"/>
      <c r="AL11" s="75"/>
      <c r="AM11" s="75"/>
      <c r="AN11" s="75"/>
      <c r="AO11" s="75"/>
      <c r="AP11" s="75"/>
      <c r="AQ11" s="75"/>
      <c r="AR11" s="75"/>
      <c r="AS11" s="77"/>
      <c r="AT11" s="74"/>
      <c r="AU11" s="78"/>
      <c r="AV11" s="79"/>
      <c r="AW11" s="75"/>
      <c r="AX11" s="75"/>
      <c r="AY11" s="75"/>
      <c r="AZ11" s="77"/>
      <c r="BA11" s="74"/>
      <c r="BB11" s="75"/>
      <c r="BC11" s="75"/>
      <c r="BD11" s="77"/>
      <c r="BE11" s="6">
        <f t="shared" si="5"/>
        <v>0</v>
      </c>
    </row>
    <row r="12" spans="1:57">
      <c r="A12" s="61"/>
      <c r="B12" s="40"/>
      <c r="C12" s="62">
        <f t="shared" si="0"/>
        <v>0</v>
      </c>
      <c r="D12" s="63">
        <f t="shared" si="1"/>
        <v>0</v>
      </c>
      <c r="E12" s="63">
        <f t="shared" si="2"/>
        <v>0</v>
      </c>
      <c r="F12" s="63">
        <f t="shared" si="3"/>
        <v>0</v>
      </c>
      <c r="G12" s="63">
        <f t="shared" si="6"/>
        <v>0</v>
      </c>
      <c r="H12" s="63">
        <f t="shared" si="4"/>
        <v>0</v>
      </c>
      <c r="I12" s="64">
        <f t="shared" si="7"/>
        <v>0</v>
      </c>
      <c r="J12" s="65"/>
      <c r="K12" s="65"/>
      <c r="L12" s="83"/>
      <c r="M12" s="67"/>
      <c r="N12" s="68"/>
      <c r="O12" s="62"/>
      <c r="P12" s="69"/>
      <c r="Q12" s="70"/>
      <c r="R12" s="50">
        <f t="shared" si="8"/>
        <v>0</v>
      </c>
      <c r="S12" s="71"/>
      <c r="T12" s="69"/>
      <c r="U12" s="81"/>
      <c r="V12" s="73"/>
      <c r="W12" s="74"/>
      <c r="X12" s="75"/>
      <c r="Y12" s="75"/>
      <c r="Z12" s="76"/>
      <c r="AA12" s="77"/>
      <c r="AB12" s="73"/>
      <c r="AC12" s="74"/>
      <c r="AD12" s="75"/>
      <c r="AE12" s="75"/>
      <c r="AF12" s="75"/>
      <c r="AG12" s="75"/>
      <c r="AH12" s="75"/>
      <c r="AI12" s="75"/>
      <c r="AJ12" s="78"/>
      <c r="AK12" s="79"/>
      <c r="AL12" s="75"/>
      <c r="AM12" s="75"/>
      <c r="AN12" s="75"/>
      <c r="AO12" s="75"/>
      <c r="AP12" s="75"/>
      <c r="AQ12" s="75"/>
      <c r="AR12" s="75"/>
      <c r="AS12" s="77"/>
      <c r="AT12" s="74"/>
      <c r="AU12" s="78"/>
      <c r="AV12" s="79"/>
      <c r="AW12" s="75"/>
      <c r="AX12" s="75"/>
      <c r="AY12" s="75"/>
      <c r="AZ12" s="77"/>
      <c r="BA12" s="74"/>
      <c r="BB12" s="75"/>
      <c r="BC12" s="75"/>
      <c r="BD12" s="77"/>
      <c r="BE12" s="6">
        <f t="shared" si="5"/>
        <v>0</v>
      </c>
    </row>
    <row r="13" spans="1:57">
      <c r="A13" s="61"/>
      <c r="B13" s="40"/>
      <c r="C13" s="62">
        <f t="shared" si="0"/>
        <v>0</v>
      </c>
      <c r="D13" s="63">
        <f t="shared" si="1"/>
        <v>0</v>
      </c>
      <c r="E13" s="63">
        <f t="shared" si="2"/>
        <v>0</v>
      </c>
      <c r="F13" s="63">
        <f t="shared" si="3"/>
        <v>0</v>
      </c>
      <c r="G13" s="63">
        <f t="shared" si="6"/>
        <v>0</v>
      </c>
      <c r="H13" s="63">
        <f t="shared" si="4"/>
        <v>0</v>
      </c>
      <c r="I13" s="64">
        <f t="shared" si="7"/>
        <v>0</v>
      </c>
      <c r="J13" s="65"/>
      <c r="K13" s="65"/>
      <c r="L13" s="83"/>
      <c r="M13" s="67"/>
      <c r="N13" s="68"/>
      <c r="O13" s="41"/>
      <c r="P13" s="48"/>
      <c r="Q13" s="70"/>
      <c r="R13" s="50">
        <f t="shared" si="8"/>
        <v>0</v>
      </c>
      <c r="S13" s="71"/>
      <c r="T13" s="69"/>
      <c r="U13" s="81"/>
      <c r="V13" s="73"/>
      <c r="W13" s="74"/>
      <c r="X13" s="75"/>
      <c r="Y13" s="75"/>
      <c r="Z13" s="76"/>
      <c r="AA13" s="77"/>
      <c r="AB13" s="73"/>
      <c r="AC13" s="74"/>
      <c r="AD13" s="75"/>
      <c r="AE13" s="75"/>
      <c r="AF13" s="75"/>
      <c r="AG13" s="75"/>
      <c r="AH13" s="75"/>
      <c r="AI13" s="75"/>
      <c r="AJ13" s="78"/>
      <c r="AK13" s="79"/>
      <c r="AL13" s="75"/>
      <c r="AM13" s="75"/>
      <c r="AN13" s="75"/>
      <c r="AO13" s="75"/>
      <c r="AP13" s="75"/>
      <c r="AQ13" s="75"/>
      <c r="AR13" s="75"/>
      <c r="AS13" s="77"/>
      <c r="AT13" s="74"/>
      <c r="AU13" s="78"/>
      <c r="AV13" s="79"/>
      <c r="AW13" s="75"/>
      <c r="AX13" s="75"/>
      <c r="AY13" s="75"/>
      <c r="AZ13" s="77"/>
      <c r="BA13" s="74"/>
      <c r="BB13" s="75"/>
      <c r="BC13" s="75"/>
      <c r="BD13" s="77"/>
      <c r="BE13" s="6">
        <f t="shared" si="5"/>
        <v>0</v>
      </c>
    </row>
    <row r="14" spans="1:57">
      <c r="A14" s="61"/>
      <c r="B14" s="40"/>
      <c r="C14" s="62">
        <f t="shared" si="0"/>
        <v>0</v>
      </c>
      <c r="D14" s="63">
        <f t="shared" si="1"/>
        <v>0</v>
      </c>
      <c r="E14" s="63">
        <f t="shared" si="2"/>
        <v>0</v>
      </c>
      <c r="F14" s="63">
        <f t="shared" si="3"/>
        <v>0</v>
      </c>
      <c r="G14" s="63">
        <f t="shared" si="6"/>
        <v>0</v>
      </c>
      <c r="H14" s="63">
        <f t="shared" si="4"/>
        <v>0</v>
      </c>
      <c r="I14" s="64">
        <f t="shared" si="7"/>
        <v>0</v>
      </c>
      <c r="J14" s="65"/>
      <c r="K14" s="65"/>
      <c r="L14" s="83"/>
      <c r="M14" s="67"/>
      <c r="N14" s="68"/>
      <c r="O14" s="41"/>
      <c r="P14" s="48"/>
      <c r="Q14" s="70"/>
      <c r="R14" s="50">
        <f t="shared" si="8"/>
        <v>0</v>
      </c>
      <c r="S14" s="71"/>
      <c r="T14" s="69"/>
      <c r="U14" s="81"/>
      <c r="V14" s="73"/>
      <c r="W14" s="74"/>
      <c r="X14" s="75"/>
      <c r="Y14" s="75"/>
      <c r="Z14" s="76"/>
      <c r="AA14" s="77"/>
      <c r="AB14" s="73"/>
      <c r="AC14" s="74"/>
      <c r="AD14" s="75"/>
      <c r="AE14" s="75"/>
      <c r="AF14" s="75"/>
      <c r="AG14" s="75"/>
      <c r="AH14" s="75"/>
      <c r="AI14" s="75"/>
      <c r="AJ14" s="78"/>
      <c r="AK14" s="79"/>
      <c r="AL14" s="75"/>
      <c r="AM14" s="75"/>
      <c r="AN14" s="75"/>
      <c r="AO14" s="75"/>
      <c r="AP14" s="75"/>
      <c r="AQ14" s="75"/>
      <c r="AR14" s="75"/>
      <c r="AS14" s="77"/>
      <c r="AT14" s="74"/>
      <c r="AU14" s="78"/>
      <c r="AV14" s="79"/>
      <c r="AW14" s="75"/>
      <c r="AX14" s="75"/>
      <c r="AY14" s="75"/>
      <c r="AZ14" s="77"/>
      <c r="BA14" s="74"/>
      <c r="BB14" s="75"/>
      <c r="BC14" s="75"/>
      <c r="BD14" s="77"/>
      <c r="BE14" s="6">
        <f t="shared" si="5"/>
        <v>0</v>
      </c>
    </row>
    <row r="15" spans="1:57">
      <c r="A15" s="61"/>
      <c r="B15" s="40"/>
      <c r="C15" s="62">
        <f t="shared" si="0"/>
        <v>0</v>
      </c>
      <c r="D15" s="63">
        <f t="shared" si="1"/>
        <v>0</v>
      </c>
      <c r="E15" s="63">
        <f t="shared" si="2"/>
        <v>0</v>
      </c>
      <c r="F15" s="63">
        <f t="shared" si="3"/>
        <v>0</v>
      </c>
      <c r="G15" s="63">
        <f t="shared" si="6"/>
        <v>0</v>
      </c>
      <c r="H15" s="63">
        <f t="shared" si="4"/>
        <v>0</v>
      </c>
      <c r="I15" s="64">
        <f t="shared" si="7"/>
        <v>0</v>
      </c>
      <c r="J15" s="65"/>
      <c r="K15" s="65"/>
      <c r="L15" s="83"/>
      <c r="M15" s="67"/>
      <c r="N15" s="68"/>
      <c r="O15" s="41"/>
      <c r="P15" s="48"/>
      <c r="Q15" s="70"/>
      <c r="R15" s="50">
        <f t="shared" si="8"/>
        <v>0</v>
      </c>
      <c r="S15" s="71"/>
      <c r="T15" s="69"/>
      <c r="U15" s="81"/>
      <c r="V15" s="73"/>
      <c r="W15" s="74"/>
      <c r="X15" s="75"/>
      <c r="Y15" s="75"/>
      <c r="Z15" s="76"/>
      <c r="AA15" s="77"/>
      <c r="AB15" s="73"/>
      <c r="AC15" s="74"/>
      <c r="AD15" s="75"/>
      <c r="AE15" s="75"/>
      <c r="AF15" s="75"/>
      <c r="AG15" s="75"/>
      <c r="AH15" s="75"/>
      <c r="AI15" s="75"/>
      <c r="AJ15" s="78"/>
      <c r="AK15" s="79"/>
      <c r="AL15" s="75"/>
      <c r="AM15" s="75"/>
      <c r="AN15" s="75"/>
      <c r="AO15" s="75"/>
      <c r="AP15" s="75"/>
      <c r="AQ15" s="75"/>
      <c r="AR15" s="75"/>
      <c r="AS15" s="77"/>
      <c r="AT15" s="74"/>
      <c r="AU15" s="78"/>
      <c r="AV15" s="79"/>
      <c r="AW15" s="75"/>
      <c r="AX15" s="75"/>
      <c r="AY15" s="75"/>
      <c r="AZ15" s="77"/>
      <c r="BA15" s="74"/>
      <c r="BB15" s="75"/>
      <c r="BC15" s="75"/>
      <c r="BD15" s="77"/>
      <c r="BE15" s="6">
        <f t="shared" si="5"/>
        <v>0</v>
      </c>
    </row>
    <row r="16" spans="1:57">
      <c r="A16" s="61"/>
      <c r="B16" s="40"/>
      <c r="C16" s="62">
        <f t="shared" si="0"/>
        <v>0</v>
      </c>
      <c r="D16" s="63">
        <f t="shared" si="1"/>
        <v>0</v>
      </c>
      <c r="E16" s="63">
        <f t="shared" si="2"/>
        <v>0</v>
      </c>
      <c r="F16" s="63">
        <f t="shared" si="3"/>
        <v>0</v>
      </c>
      <c r="G16" s="63">
        <f t="shared" si="6"/>
        <v>0</v>
      </c>
      <c r="H16" s="63">
        <f t="shared" si="4"/>
        <v>0</v>
      </c>
      <c r="I16" s="64">
        <f t="shared" si="7"/>
        <v>0</v>
      </c>
      <c r="J16" s="65"/>
      <c r="K16" s="65"/>
      <c r="L16" s="83"/>
      <c r="M16" s="67"/>
      <c r="N16" s="68"/>
      <c r="O16" s="41"/>
      <c r="P16" s="48"/>
      <c r="Q16" s="70"/>
      <c r="R16" s="50">
        <f t="shared" si="8"/>
        <v>0</v>
      </c>
      <c r="S16" s="71"/>
      <c r="T16" s="69"/>
      <c r="U16" s="81"/>
      <c r="V16" s="73"/>
      <c r="W16" s="74"/>
      <c r="X16" s="75"/>
      <c r="Y16" s="75"/>
      <c r="Z16" s="76"/>
      <c r="AA16" s="77"/>
      <c r="AB16" s="73"/>
      <c r="AC16" s="74"/>
      <c r="AD16" s="75"/>
      <c r="AE16" s="75"/>
      <c r="AF16" s="75"/>
      <c r="AG16" s="75"/>
      <c r="AH16" s="75"/>
      <c r="AI16" s="75"/>
      <c r="AJ16" s="78"/>
      <c r="AK16" s="79"/>
      <c r="AL16" s="75"/>
      <c r="AM16" s="75"/>
      <c r="AN16" s="75"/>
      <c r="AO16" s="75"/>
      <c r="AP16" s="75"/>
      <c r="AQ16" s="75"/>
      <c r="AR16" s="75"/>
      <c r="AS16" s="77"/>
      <c r="AT16" s="74"/>
      <c r="AU16" s="78"/>
      <c r="AV16" s="79"/>
      <c r="AW16" s="75"/>
      <c r="AX16" s="75"/>
      <c r="AY16" s="75"/>
      <c r="AZ16" s="77"/>
      <c r="BA16" s="74"/>
      <c r="BB16" s="75"/>
      <c r="BC16" s="75"/>
      <c r="BD16" s="77"/>
      <c r="BE16" s="6">
        <f t="shared" si="5"/>
        <v>0</v>
      </c>
    </row>
    <row r="17" spans="1:57">
      <c r="A17" s="61"/>
      <c r="B17" s="40"/>
      <c r="C17" s="62">
        <f t="shared" si="0"/>
        <v>0</v>
      </c>
      <c r="D17" s="63">
        <f t="shared" si="1"/>
        <v>0</v>
      </c>
      <c r="E17" s="63">
        <f t="shared" si="2"/>
        <v>0</v>
      </c>
      <c r="F17" s="63">
        <f t="shared" si="3"/>
        <v>0</v>
      </c>
      <c r="G17" s="63">
        <f t="shared" si="6"/>
        <v>0</v>
      </c>
      <c r="H17" s="63">
        <f t="shared" si="4"/>
        <v>0</v>
      </c>
      <c r="I17" s="64">
        <f t="shared" si="7"/>
        <v>0</v>
      </c>
      <c r="J17" s="65"/>
      <c r="K17" s="65"/>
      <c r="L17" s="83"/>
      <c r="M17" s="67"/>
      <c r="N17" s="68"/>
      <c r="O17" s="62"/>
      <c r="P17" s="69"/>
      <c r="Q17" s="70"/>
      <c r="R17" s="50">
        <f t="shared" si="8"/>
        <v>0</v>
      </c>
      <c r="S17" s="71"/>
      <c r="T17" s="69"/>
      <c r="U17" s="81"/>
      <c r="V17" s="73"/>
      <c r="W17" s="74"/>
      <c r="X17" s="75"/>
      <c r="Y17" s="75"/>
      <c r="Z17" s="76"/>
      <c r="AA17" s="77"/>
      <c r="AB17" s="73"/>
      <c r="AC17" s="74"/>
      <c r="AD17" s="75"/>
      <c r="AE17" s="75"/>
      <c r="AF17" s="75"/>
      <c r="AG17" s="75"/>
      <c r="AH17" s="75"/>
      <c r="AI17" s="75"/>
      <c r="AJ17" s="78"/>
      <c r="AK17" s="79"/>
      <c r="AL17" s="75"/>
      <c r="AM17" s="75"/>
      <c r="AN17" s="75"/>
      <c r="AO17" s="75"/>
      <c r="AP17" s="75"/>
      <c r="AQ17" s="75"/>
      <c r="AR17" s="75"/>
      <c r="AS17" s="77"/>
      <c r="AT17" s="74"/>
      <c r="AU17" s="78"/>
      <c r="AV17" s="79"/>
      <c r="AW17" s="75"/>
      <c r="AX17" s="75"/>
      <c r="AY17" s="75"/>
      <c r="AZ17" s="77"/>
      <c r="BA17" s="74"/>
      <c r="BB17" s="75"/>
      <c r="BC17" s="75"/>
      <c r="BD17" s="77"/>
      <c r="BE17" s="6">
        <f t="shared" si="5"/>
        <v>0</v>
      </c>
    </row>
    <row r="18" spans="1:57">
      <c r="A18" s="61"/>
      <c r="B18" s="40"/>
      <c r="C18" s="62">
        <f t="shared" si="0"/>
        <v>0</v>
      </c>
      <c r="D18" s="63">
        <f t="shared" si="1"/>
        <v>0</v>
      </c>
      <c r="E18" s="63">
        <f t="shared" si="2"/>
        <v>0</v>
      </c>
      <c r="F18" s="63">
        <f t="shared" si="3"/>
        <v>0</v>
      </c>
      <c r="G18" s="63">
        <f t="shared" si="6"/>
        <v>0</v>
      </c>
      <c r="H18" s="63">
        <f t="shared" si="4"/>
        <v>0</v>
      </c>
      <c r="I18" s="64">
        <f t="shared" si="7"/>
        <v>0</v>
      </c>
      <c r="J18" s="65"/>
      <c r="K18" s="65"/>
      <c r="L18" s="83"/>
      <c r="M18" s="67"/>
      <c r="N18" s="68"/>
      <c r="O18" s="62"/>
      <c r="P18" s="69"/>
      <c r="Q18" s="70"/>
      <c r="R18" s="50">
        <f t="shared" si="8"/>
        <v>0</v>
      </c>
      <c r="S18" s="71"/>
      <c r="T18" s="69"/>
      <c r="U18" s="81"/>
      <c r="V18" s="73"/>
      <c r="W18" s="74"/>
      <c r="X18" s="75"/>
      <c r="Y18" s="75"/>
      <c r="Z18" s="76"/>
      <c r="AA18" s="77"/>
      <c r="AB18" s="73"/>
      <c r="AC18" s="74"/>
      <c r="AD18" s="75"/>
      <c r="AE18" s="75"/>
      <c r="AF18" s="75"/>
      <c r="AG18" s="75"/>
      <c r="AH18" s="75"/>
      <c r="AI18" s="75"/>
      <c r="AJ18" s="78"/>
      <c r="AK18" s="79"/>
      <c r="AL18" s="75"/>
      <c r="AM18" s="75"/>
      <c r="AN18" s="75"/>
      <c r="AO18" s="75"/>
      <c r="AP18" s="75"/>
      <c r="AQ18" s="75"/>
      <c r="AR18" s="75"/>
      <c r="AS18" s="77"/>
      <c r="AT18" s="74"/>
      <c r="AU18" s="78"/>
      <c r="AV18" s="79"/>
      <c r="AW18" s="75"/>
      <c r="AX18" s="75"/>
      <c r="AY18" s="75"/>
      <c r="AZ18" s="77"/>
      <c r="BA18" s="74"/>
      <c r="BB18" s="75"/>
      <c r="BC18" s="75"/>
      <c r="BD18" s="77"/>
      <c r="BE18" s="6">
        <f t="shared" si="5"/>
        <v>0</v>
      </c>
    </row>
    <row r="19" spans="1:57">
      <c r="A19" s="61"/>
      <c r="B19" s="40"/>
      <c r="C19" s="62">
        <f t="shared" si="0"/>
        <v>0</v>
      </c>
      <c r="D19" s="63">
        <f t="shared" si="1"/>
        <v>0</v>
      </c>
      <c r="E19" s="63">
        <f t="shared" si="2"/>
        <v>0</v>
      </c>
      <c r="F19" s="63">
        <f t="shared" si="3"/>
        <v>0</v>
      </c>
      <c r="G19" s="63">
        <f t="shared" si="6"/>
        <v>0</v>
      </c>
      <c r="H19" s="63">
        <f t="shared" si="4"/>
        <v>0</v>
      </c>
      <c r="I19" s="64">
        <f t="shared" si="7"/>
        <v>0</v>
      </c>
      <c r="J19" s="65"/>
      <c r="K19" s="65"/>
      <c r="L19" s="83"/>
      <c r="M19" s="67"/>
      <c r="N19" s="68"/>
      <c r="O19" s="62"/>
      <c r="P19" s="69"/>
      <c r="Q19" s="70"/>
      <c r="R19" s="50">
        <f t="shared" si="8"/>
        <v>0</v>
      </c>
      <c r="S19" s="71"/>
      <c r="T19" s="69"/>
      <c r="U19" s="81"/>
      <c r="V19" s="73"/>
      <c r="W19" s="74"/>
      <c r="X19" s="75"/>
      <c r="Y19" s="75"/>
      <c r="Z19" s="76"/>
      <c r="AA19" s="77"/>
      <c r="AB19" s="73"/>
      <c r="AC19" s="74"/>
      <c r="AD19" s="75"/>
      <c r="AE19" s="75"/>
      <c r="AF19" s="75"/>
      <c r="AG19" s="75"/>
      <c r="AH19" s="75"/>
      <c r="AI19" s="75"/>
      <c r="AJ19" s="78"/>
      <c r="AK19" s="79"/>
      <c r="AL19" s="75"/>
      <c r="AM19" s="75"/>
      <c r="AN19" s="75"/>
      <c r="AO19" s="75"/>
      <c r="AP19" s="75"/>
      <c r="AQ19" s="75"/>
      <c r="AR19" s="75"/>
      <c r="AS19" s="77"/>
      <c r="AT19" s="74"/>
      <c r="AU19" s="78"/>
      <c r="AV19" s="79"/>
      <c r="AW19" s="75"/>
      <c r="AX19" s="75"/>
      <c r="AY19" s="75"/>
      <c r="AZ19" s="77"/>
      <c r="BA19" s="74"/>
      <c r="BB19" s="75"/>
      <c r="BC19" s="75"/>
      <c r="BD19" s="77"/>
      <c r="BE19" s="6">
        <f t="shared" si="5"/>
        <v>0</v>
      </c>
    </row>
    <row r="20" spans="1:57">
      <c r="A20" s="61"/>
      <c r="B20" s="40"/>
      <c r="C20" s="62">
        <f t="shared" si="0"/>
        <v>0</v>
      </c>
      <c r="D20" s="63">
        <f t="shared" si="1"/>
        <v>0</v>
      </c>
      <c r="E20" s="63">
        <f t="shared" si="2"/>
        <v>0</v>
      </c>
      <c r="F20" s="63">
        <f t="shared" si="3"/>
        <v>0</v>
      </c>
      <c r="G20" s="63">
        <f t="shared" si="6"/>
        <v>0</v>
      </c>
      <c r="H20" s="63">
        <f t="shared" si="4"/>
        <v>0</v>
      </c>
      <c r="I20" s="64">
        <f t="shared" si="7"/>
        <v>0</v>
      </c>
      <c r="J20" s="65"/>
      <c r="K20" s="65"/>
      <c r="L20" s="83"/>
      <c r="M20" s="67"/>
      <c r="N20" s="68"/>
      <c r="O20" s="62"/>
      <c r="P20" s="69"/>
      <c r="Q20" s="70"/>
      <c r="R20" s="50">
        <f t="shared" si="8"/>
        <v>0</v>
      </c>
      <c r="S20" s="71"/>
      <c r="T20" s="69"/>
      <c r="U20" s="81"/>
      <c r="V20" s="73"/>
      <c r="W20" s="74"/>
      <c r="X20" s="75"/>
      <c r="Y20" s="75"/>
      <c r="Z20" s="76"/>
      <c r="AA20" s="77"/>
      <c r="AB20" s="73"/>
      <c r="AC20" s="74"/>
      <c r="AD20" s="75"/>
      <c r="AE20" s="75"/>
      <c r="AF20" s="75"/>
      <c r="AG20" s="75"/>
      <c r="AH20" s="75"/>
      <c r="AI20" s="75"/>
      <c r="AJ20" s="78"/>
      <c r="AK20" s="79"/>
      <c r="AL20" s="75"/>
      <c r="AM20" s="75"/>
      <c r="AN20" s="75"/>
      <c r="AO20" s="75"/>
      <c r="AP20" s="75"/>
      <c r="AQ20" s="75"/>
      <c r="AR20" s="75"/>
      <c r="AS20" s="77"/>
      <c r="AT20" s="74"/>
      <c r="AU20" s="78"/>
      <c r="AV20" s="79"/>
      <c r="AW20" s="75"/>
      <c r="AX20" s="75"/>
      <c r="AY20" s="75"/>
      <c r="AZ20" s="77"/>
      <c r="BA20" s="74"/>
      <c r="BB20" s="75"/>
      <c r="BC20" s="75"/>
      <c r="BD20" s="77"/>
      <c r="BE20" s="6">
        <f t="shared" si="5"/>
        <v>0</v>
      </c>
    </row>
    <row r="21" spans="1:57">
      <c r="A21" s="61"/>
      <c r="B21" s="40"/>
      <c r="C21" s="62">
        <f t="shared" si="0"/>
        <v>0</v>
      </c>
      <c r="D21" s="63">
        <f t="shared" si="1"/>
        <v>0</v>
      </c>
      <c r="E21" s="63">
        <f t="shared" si="2"/>
        <v>0</v>
      </c>
      <c r="F21" s="63">
        <f t="shared" si="3"/>
        <v>0</v>
      </c>
      <c r="G21" s="63">
        <f t="shared" si="6"/>
        <v>0</v>
      </c>
      <c r="H21" s="63">
        <f t="shared" si="4"/>
        <v>0</v>
      </c>
      <c r="I21" s="64">
        <f t="shared" si="7"/>
        <v>0</v>
      </c>
      <c r="J21" s="65"/>
      <c r="K21" s="65"/>
      <c r="L21" s="83"/>
      <c r="M21" s="67"/>
      <c r="N21" s="68"/>
      <c r="O21" s="62"/>
      <c r="P21" s="69"/>
      <c r="Q21" s="70"/>
      <c r="R21" s="50">
        <f t="shared" si="8"/>
        <v>0</v>
      </c>
      <c r="S21" s="71"/>
      <c r="T21" s="69"/>
      <c r="U21" s="81"/>
      <c r="V21" s="73"/>
      <c r="W21" s="74"/>
      <c r="X21" s="75"/>
      <c r="Y21" s="75"/>
      <c r="Z21" s="76"/>
      <c r="AA21" s="77"/>
      <c r="AB21" s="73"/>
      <c r="AC21" s="74"/>
      <c r="AD21" s="75"/>
      <c r="AE21" s="75"/>
      <c r="AF21" s="75"/>
      <c r="AG21" s="75"/>
      <c r="AH21" s="75"/>
      <c r="AI21" s="75"/>
      <c r="AJ21" s="78"/>
      <c r="AK21" s="79"/>
      <c r="AL21" s="75"/>
      <c r="AM21" s="75"/>
      <c r="AN21" s="75"/>
      <c r="AO21" s="75"/>
      <c r="AP21" s="75"/>
      <c r="AQ21" s="75"/>
      <c r="AR21" s="75"/>
      <c r="AS21" s="77"/>
      <c r="AT21" s="74"/>
      <c r="AU21" s="78"/>
      <c r="AV21" s="79"/>
      <c r="AW21" s="75"/>
      <c r="AX21" s="75"/>
      <c r="AY21" s="75"/>
      <c r="AZ21" s="77"/>
      <c r="BA21" s="74"/>
      <c r="BB21" s="75"/>
      <c r="BC21" s="75"/>
      <c r="BD21" s="77"/>
      <c r="BE21" s="6">
        <f t="shared" si="5"/>
        <v>0</v>
      </c>
    </row>
    <row r="22" spans="1:57">
      <c r="A22" s="61"/>
      <c r="B22" s="40"/>
      <c r="C22" s="62">
        <f t="shared" si="0"/>
        <v>0</v>
      </c>
      <c r="D22" s="63">
        <f t="shared" si="1"/>
        <v>0</v>
      </c>
      <c r="E22" s="63">
        <f t="shared" si="2"/>
        <v>0</v>
      </c>
      <c r="F22" s="63">
        <f t="shared" si="3"/>
        <v>0</v>
      </c>
      <c r="G22" s="63">
        <f t="shared" si="6"/>
        <v>0</v>
      </c>
      <c r="H22" s="63">
        <f t="shared" si="4"/>
        <v>0</v>
      </c>
      <c r="I22" s="64">
        <f t="shared" si="7"/>
        <v>0</v>
      </c>
      <c r="J22" s="65"/>
      <c r="K22" s="65"/>
      <c r="L22" s="83"/>
      <c r="M22" s="67"/>
      <c r="N22" s="68"/>
      <c r="O22" s="62"/>
      <c r="P22" s="69"/>
      <c r="Q22" s="70"/>
      <c r="R22" s="50">
        <f t="shared" si="8"/>
        <v>0</v>
      </c>
      <c r="S22" s="71"/>
      <c r="T22" s="69"/>
      <c r="U22" s="81"/>
      <c r="V22" s="73"/>
      <c r="W22" s="74"/>
      <c r="X22" s="75"/>
      <c r="Y22" s="75"/>
      <c r="Z22" s="76"/>
      <c r="AA22" s="77"/>
      <c r="AB22" s="73"/>
      <c r="AC22" s="74"/>
      <c r="AD22" s="75"/>
      <c r="AE22" s="75"/>
      <c r="AF22" s="75"/>
      <c r="AG22" s="75"/>
      <c r="AH22" s="75"/>
      <c r="AI22" s="75"/>
      <c r="AJ22" s="78"/>
      <c r="AK22" s="79"/>
      <c r="AL22" s="75"/>
      <c r="AM22" s="75"/>
      <c r="AN22" s="75"/>
      <c r="AO22" s="75"/>
      <c r="AP22" s="75"/>
      <c r="AQ22" s="75"/>
      <c r="AR22" s="75"/>
      <c r="AS22" s="77"/>
      <c r="AT22" s="74"/>
      <c r="AU22" s="78"/>
      <c r="AV22" s="79"/>
      <c r="AW22" s="75"/>
      <c r="AX22" s="75"/>
      <c r="AY22" s="75"/>
      <c r="AZ22" s="77"/>
      <c r="BA22" s="74"/>
      <c r="BB22" s="75"/>
      <c r="BC22" s="75"/>
      <c r="BD22" s="77"/>
      <c r="BE22" s="6">
        <f t="shared" si="5"/>
        <v>0</v>
      </c>
    </row>
    <row r="23" spans="1:57">
      <c r="A23" s="61"/>
      <c r="B23" s="40"/>
      <c r="C23" s="62">
        <f t="shared" si="0"/>
        <v>0</v>
      </c>
      <c r="D23" s="63">
        <f t="shared" si="1"/>
        <v>0</v>
      </c>
      <c r="E23" s="63">
        <f t="shared" si="2"/>
        <v>0</v>
      </c>
      <c r="F23" s="63">
        <f t="shared" si="3"/>
        <v>0</v>
      </c>
      <c r="G23" s="63">
        <f t="shared" si="6"/>
        <v>0</v>
      </c>
      <c r="H23" s="63">
        <f t="shared" si="4"/>
        <v>0</v>
      </c>
      <c r="I23" s="64">
        <f t="shared" si="7"/>
        <v>0</v>
      </c>
      <c r="J23" s="65"/>
      <c r="K23" s="65"/>
      <c r="L23" s="83"/>
      <c r="M23" s="67"/>
      <c r="N23" s="68"/>
      <c r="O23" s="62"/>
      <c r="P23" s="69"/>
      <c r="Q23" s="70"/>
      <c r="R23" s="50">
        <f t="shared" si="8"/>
        <v>0</v>
      </c>
      <c r="S23" s="71"/>
      <c r="T23" s="69"/>
      <c r="U23" s="81"/>
      <c r="V23" s="73"/>
      <c r="W23" s="74"/>
      <c r="X23" s="75"/>
      <c r="Y23" s="75"/>
      <c r="Z23" s="76"/>
      <c r="AA23" s="77"/>
      <c r="AB23" s="73"/>
      <c r="AC23" s="74"/>
      <c r="AD23" s="75"/>
      <c r="AE23" s="75"/>
      <c r="AF23" s="75"/>
      <c r="AG23" s="75"/>
      <c r="AH23" s="75"/>
      <c r="AI23" s="75"/>
      <c r="AJ23" s="78"/>
      <c r="AK23" s="79"/>
      <c r="AL23" s="75"/>
      <c r="AM23" s="75"/>
      <c r="AN23" s="75"/>
      <c r="AO23" s="75"/>
      <c r="AP23" s="75"/>
      <c r="AQ23" s="75"/>
      <c r="AR23" s="75"/>
      <c r="AS23" s="77"/>
      <c r="AT23" s="74"/>
      <c r="AU23" s="78"/>
      <c r="AV23" s="79"/>
      <c r="AW23" s="75"/>
      <c r="AX23" s="75"/>
      <c r="AY23" s="75"/>
      <c r="AZ23" s="77"/>
      <c r="BA23" s="74"/>
      <c r="BB23" s="75"/>
      <c r="BC23" s="75"/>
      <c r="BD23" s="77"/>
      <c r="BE23" s="6">
        <f t="shared" si="5"/>
        <v>0</v>
      </c>
    </row>
    <row r="24" spans="1:57">
      <c r="A24" s="61"/>
      <c r="B24" s="40"/>
      <c r="C24" s="62">
        <f t="shared" si="0"/>
        <v>0</v>
      </c>
      <c r="D24" s="63">
        <f t="shared" si="1"/>
        <v>0</v>
      </c>
      <c r="E24" s="63">
        <f t="shared" si="2"/>
        <v>0</v>
      </c>
      <c r="F24" s="63">
        <f t="shared" si="3"/>
        <v>0</v>
      </c>
      <c r="G24" s="63">
        <f t="shared" si="6"/>
        <v>0</v>
      </c>
      <c r="H24" s="63">
        <f t="shared" si="4"/>
        <v>0</v>
      </c>
      <c r="I24" s="64">
        <f t="shared" si="7"/>
        <v>0</v>
      </c>
      <c r="J24" s="65"/>
      <c r="K24" s="65"/>
      <c r="L24" s="83"/>
      <c r="M24" s="67"/>
      <c r="N24" s="68"/>
      <c r="O24" s="62"/>
      <c r="P24" s="69"/>
      <c r="Q24" s="70"/>
      <c r="R24" s="50">
        <f t="shared" si="8"/>
        <v>0</v>
      </c>
      <c r="S24" s="71"/>
      <c r="T24" s="69"/>
      <c r="U24" s="81"/>
      <c r="V24" s="73"/>
      <c r="W24" s="74"/>
      <c r="X24" s="75"/>
      <c r="Y24" s="75"/>
      <c r="Z24" s="76"/>
      <c r="AA24" s="77"/>
      <c r="AB24" s="73"/>
      <c r="AC24" s="74"/>
      <c r="AD24" s="75"/>
      <c r="AE24" s="75"/>
      <c r="AF24" s="75"/>
      <c r="AG24" s="75"/>
      <c r="AH24" s="75"/>
      <c r="AI24" s="75"/>
      <c r="AJ24" s="78"/>
      <c r="AK24" s="79"/>
      <c r="AL24" s="75"/>
      <c r="AM24" s="75"/>
      <c r="AN24" s="75"/>
      <c r="AO24" s="75"/>
      <c r="AP24" s="75"/>
      <c r="AQ24" s="75"/>
      <c r="AR24" s="75"/>
      <c r="AS24" s="77"/>
      <c r="AT24" s="74"/>
      <c r="AU24" s="78"/>
      <c r="AV24" s="79"/>
      <c r="AW24" s="75"/>
      <c r="AX24" s="75"/>
      <c r="AY24" s="75"/>
      <c r="AZ24" s="77"/>
      <c r="BA24" s="74"/>
      <c r="BB24" s="75"/>
      <c r="BC24" s="75"/>
      <c r="BD24" s="77"/>
      <c r="BE24" s="6">
        <f t="shared" si="5"/>
        <v>0</v>
      </c>
    </row>
    <row r="25" spans="1:57">
      <c r="A25" s="61"/>
      <c r="B25" s="40"/>
      <c r="C25" s="62">
        <f t="shared" si="0"/>
        <v>0</v>
      </c>
      <c r="D25" s="63">
        <f t="shared" si="1"/>
        <v>0</v>
      </c>
      <c r="E25" s="63">
        <f t="shared" si="2"/>
        <v>0</v>
      </c>
      <c r="F25" s="63">
        <f t="shared" si="3"/>
        <v>0</v>
      </c>
      <c r="G25" s="63">
        <f t="shared" si="6"/>
        <v>0</v>
      </c>
      <c r="H25" s="63">
        <f t="shared" si="4"/>
        <v>0</v>
      </c>
      <c r="I25" s="64">
        <f t="shared" si="7"/>
        <v>0</v>
      </c>
      <c r="J25" s="65"/>
      <c r="K25" s="65"/>
      <c r="L25" s="83"/>
      <c r="M25" s="67"/>
      <c r="N25" s="68"/>
      <c r="O25" s="62"/>
      <c r="P25" s="69"/>
      <c r="Q25" s="70"/>
      <c r="R25" s="50">
        <f t="shared" si="8"/>
        <v>0</v>
      </c>
      <c r="S25" s="71"/>
      <c r="T25" s="69"/>
      <c r="U25" s="81"/>
      <c r="V25" s="73"/>
      <c r="W25" s="74"/>
      <c r="X25" s="75"/>
      <c r="Y25" s="75"/>
      <c r="Z25" s="76"/>
      <c r="AA25" s="77"/>
      <c r="AB25" s="73"/>
      <c r="AC25" s="74"/>
      <c r="AD25" s="75"/>
      <c r="AE25" s="75"/>
      <c r="AF25" s="75"/>
      <c r="AG25" s="75"/>
      <c r="AH25" s="75"/>
      <c r="AI25" s="75"/>
      <c r="AJ25" s="78"/>
      <c r="AK25" s="79"/>
      <c r="AL25" s="75"/>
      <c r="AM25" s="75"/>
      <c r="AN25" s="75"/>
      <c r="AO25" s="75"/>
      <c r="AP25" s="75"/>
      <c r="AQ25" s="75"/>
      <c r="AR25" s="75"/>
      <c r="AS25" s="77"/>
      <c r="AT25" s="74"/>
      <c r="AU25" s="78"/>
      <c r="AV25" s="79"/>
      <c r="AW25" s="84"/>
      <c r="AX25" s="75"/>
      <c r="AY25" s="75"/>
      <c r="AZ25" s="77"/>
      <c r="BA25" s="74"/>
      <c r="BB25" s="75"/>
      <c r="BC25" s="75"/>
      <c r="BD25" s="77"/>
      <c r="BE25" s="6">
        <f t="shared" si="5"/>
        <v>0</v>
      </c>
    </row>
    <row r="26" spans="1:57">
      <c r="A26" s="61"/>
      <c r="B26" s="40"/>
      <c r="C26" s="62">
        <f t="shared" si="0"/>
        <v>0</v>
      </c>
      <c r="D26" s="63">
        <f t="shared" si="1"/>
        <v>0</v>
      </c>
      <c r="E26" s="63">
        <f t="shared" si="2"/>
        <v>0</v>
      </c>
      <c r="F26" s="63">
        <f t="shared" si="3"/>
        <v>0</v>
      </c>
      <c r="G26" s="63">
        <f t="shared" si="6"/>
        <v>0</v>
      </c>
      <c r="H26" s="63">
        <f t="shared" si="4"/>
        <v>0</v>
      </c>
      <c r="I26" s="64">
        <f t="shared" si="7"/>
        <v>0</v>
      </c>
      <c r="J26" s="65"/>
      <c r="K26" s="65"/>
      <c r="L26" s="83"/>
      <c r="M26" s="67"/>
      <c r="N26" s="68"/>
      <c r="O26" s="62"/>
      <c r="P26" s="69"/>
      <c r="Q26" s="70"/>
      <c r="R26" s="50">
        <f t="shared" si="8"/>
        <v>0</v>
      </c>
      <c r="S26" s="71"/>
      <c r="T26" s="85"/>
      <c r="U26" s="81"/>
      <c r="V26" s="73"/>
      <c r="W26" s="74"/>
      <c r="X26" s="75"/>
      <c r="Y26" s="75"/>
      <c r="Z26" s="76"/>
      <c r="AA26" s="77"/>
      <c r="AB26" s="73"/>
      <c r="AC26" s="74"/>
      <c r="AD26" s="75"/>
      <c r="AE26" s="75"/>
      <c r="AF26" s="75"/>
      <c r="AG26" s="75"/>
      <c r="AH26" s="75"/>
      <c r="AI26" s="75"/>
      <c r="AJ26" s="78"/>
      <c r="AK26" s="79"/>
      <c r="AL26" s="75"/>
      <c r="AM26" s="75"/>
      <c r="AN26" s="75"/>
      <c r="AO26" s="75"/>
      <c r="AP26" s="75"/>
      <c r="AQ26" s="75"/>
      <c r="AR26" s="75"/>
      <c r="AS26" s="77"/>
      <c r="AT26" s="74"/>
      <c r="AU26" s="78"/>
      <c r="AV26" s="79"/>
      <c r="AW26" s="84"/>
      <c r="AX26" s="75"/>
      <c r="AY26" s="75"/>
      <c r="AZ26" s="77"/>
      <c r="BA26" s="74"/>
      <c r="BB26" s="75"/>
      <c r="BC26" s="75"/>
      <c r="BD26" s="77"/>
      <c r="BE26" s="6">
        <f t="shared" si="5"/>
        <v>0</v>
      </c>
    </row>
    <row r="27" spans="1:57">
      <c r="A27" s="61"/>
      <c r="B27" s="40"/>
      <c r="C27" s="62">
        <f t="shared" si="0"/>
        <v>0</v>
      </c>
      <c r="D27" s="63">
        <f t="shared" si="1"/>
        <v>0</v>
      </c>
      <c r="E27" s="63">
        <f t="shared" si="2"/>
        <v>0</v>
      </c>
      <c r="F27" s="63">
        <f t="shared" si="3"/>
        <v>0</v>
      </c>
      <c r="G27" s="63">
        <f t="shared" si="6"/>
        <v>0</v>
      </c>
      <c r="H27" s="63">
        <f t="shared" si="4"/>
        <v>0</v>
      </c>
      <c r="I27" s="64">
        <f t="shared" si="7"/>
        <v>0</v>
      </c>
      <c r="J27" s="65"/>
      <c r="K27" s="65"/>
      <c r="L27" s="83"/>
      <c r="M27" s="67"/>
      <c r="N27" s="68"/>
      <c r="O27" s="62"/>
      <c r="P27" s="69"/>
      <c r="Q27" s="70"/>
      <c r="R27" s="50">
        <f t="shared" si="8"/>
        <v>0</v>
      </c>
      <c r="S27" s="71"/>
      <c r="T27" s="86"/>
      <c r="U27" s="81"/>
      <c r="V27" s="73"/>
      <c r="W27" s="74"/>
      <c r="X27" s="75"/>
      <c r="Y27" s="75"/>
      <c r="Z27" s="76"/>
      <c r="AA27" s="77"/>
      <c r="AB27" s="73"/>
      <c r="AC27" s="74"/>
      <c r="AD27" s="75"/>
      <c r="AE27" s="75"/>
      <c r="AF27" s="75"/>
      <c r="AG27" s="75"/>
      <c r="AH27" s="75"/>
      <c r="AI27" s="75"/>
      <c r="AJ27" s="78"/>
      <c r="AK27" s="79"/>
      <c r="AL27" s="75"/>
      <c r="AM27" s="75"/>
      <c r="AN27" s="75"/>
      <c r="AO27" s="75"/>
      <c r="AP27" s="75"/>
      <c r="AQ27" s="75"/>
      <c r="AR27" s="75"/>
      <c r="AS27" s="77"/>
      <c r="AT27" s="74"/>
      <c r="AU27" s="78"/>
      <c r="AV27" s="79"/>
      <c r="AW27" s="75"/>
      <c r="AX27" s="75"/>
      <c r="AY27" s="75"/>
      <c r="AZ27" s="77"/>
      <c r="BA27" s="74"/>
      <c r="BB27" s="75"/>
      <c r="BC27" s="75"/>
      <c r="BD27" s="77"/>
      <c r="BE27" s="6">
        <f t="shared" si="5"/>
        <v>0</v>
      </c>
    </row>
    <row r="28" spans="1:57">
      <c r="A28" s="61"/>
      <c r="B28" s="40"/>
      <c r="C28" s="62">
        <f t="shared" si="0"/>
        <v>0</v>
      </c>
      <c r="D28" s="63">
        <f t="shared" si="1"/>
        <v>0</v>
      </c>
      <c r="E28" s="63">
        <f t="shared" si="2"/>
        <v>0</v>
      </c>
      <c r="F28" s="63">
        <f t="shared" si="3"/>
        <v>0</v>
      </c>
      <c r="G28" s="63">
        <f t="shared" si="6"/>
        <v>0</v>
      </c>
      <c r="H28" s="63">
        <f t="shared" si="4"/>
        <v>0</v>
      </c>
      <c r="I28" s="64">
        <f t="shared" si="7"/>
        <v>0</v>
      </c>
      <c r="J28" s="65"/>
      <c r="K28" s="65"/>
      <c r="L28" s="83"/>
      <c r="M28" s="67"/>
      <c r="N28" s="68"/>
      <c r="O28" s="62"/>
      <c r="P28" s="69"/>
      <c r="Q28" s="70"/>
      <c r="R28" s="50">
        <f t="shared" si="8"/>
        <v>0</v>
      </c>
      <c r="S28" s="71"/>
      <c r="T28" s="69"/>
      <c r="U28" s="81"/>
      <c r="V28" s="73"/>
      <c r="W28" s="74"/>
      <c r="X28" s="75"/>
      <c r="Y28" s="75"/>
      <c r="Z28" s="76"/>
      <c r="AA28" s="77"/>
      <c r="AB28" s="73"/>
      <c r="AC28" s="74"/>
      <c r="AD28" s="75"/>
      <c r="AE28" s="75"/>
      <c r="AF28" s="75"/>
      <c r="AG28" s="75"/>
      <c r="AH28" s="75"/>
      <c r="AI28" s="75"/>
      <c r="AJ28" s="78"/>
      <c r="AK28" s="79"/>
      <c r="AL28" s="75"/>
      <c r="AM28" s="75"/>
      <c r="AN28" s="75"/>
      <c r="AO28" s="75"/>
      <c r="AP28" s="75"/>
      <c r="AQ28" s="75"/>
      <c r="AR28" s="75"/>
      <c r="AS28" s="77"/>
      <c r="AT28" s="74"/>
      <c r="AU28" s="78"/>
      <c r="AV28" s="79"/>
      <c r="AW28" s="75"/>
      <c r="AX28" s="75"/>
      <c r="AY28" s="75"/>
      <c r="AZ28" s="77"/>
      <c r="BA28" s="74"/>
      <c r="BB28" s="75"/>
      <c r="BC28" s="75"/>
      <c r="BD28" s="77"/>
      <c r="BE28" s="6">
        <f t="shared" si="5"/>
        <v>0</v>
      </c>
    </row>
    <row r="29" spans="1:57">
      <c r="A29" s="61"/>
      <c r="B29" s="40"/>
      <c r="C29" s="62">
        <f t="shared" si="0"/>
        <v>0</v>
      </c>
      <c r="D29" s="63">
        <f t="shared" si="1"/>
        <v>0</v>
      </c>
      <c r="E29" s="63">
        <f t="shared" si="2"/>
        <v>0</v>
      </c>
      <c r="F29" s="63">
        <f t="shared" si="3"/>
        <v>0</v>
      </c>
      <c r="G29" s="63">
        <f t="shared" si="6"/>
        <v>0</v>
      </c>
      <c r="H29" s="63">
        <f t="shared" si="4"/>
        <v>0</v>
      </c>
      <c r="I29" s="64">
        <f t="shared" si="7"/>
        <v>0</v>
      </c>
      <c r="J29" s="65"/>
      <c r="K29" s="65"/>
      <c r="L29" s="83"/>
      <c r="M29" s="67"/>
      <c r="N29" s="68"/>
      <c r="O29" s="62"/>
      <c r="P29" s="69"/>
      <c r="Q29" s="70"/>
      <c r="R29" s="50">
        <f t="shared" si="8"/>
        <v>0</v>
      </c>
      <c r="S29" s="71"/>
      <c r="T29" s="86"/>
      <c r="U29" s="72"/>
      <c r="V29" s="73"/>
      <c r="W29" s="74"/>
      <c r="X29" s="75"/>
      <c r="Y29" s="75"/>
      <c r="Z29" s="76"/>
      <c r="AA29" s="77"/>
      <c r="AB29" s="73"/>
      <c r="AC29" s="74"/>
      <c r="AD29" s="75"/>
      <c r="AE29" s="75"/>
      <c r="AF29" s="75"/>
      <c r="AG29" s="75"/>
      <c r="AH29" s="75"/>
      <c r="AI29" s="75"/>
      <c r="AJ29" s="78"/>
      <c r="AK29" s="79"/>
      <c r="AL29" s="75"/>
      <c r="AM29" s="75"/>
      <c r="AN29" s="75"/>
      <c r="AO29" s="75"/>
      <c r="AP29" s="75"/>
      <c r="AQ29" s="75"/>
      <c r="AR29" s="75"/>
      <c r="AS29" s="77"/>
      <c r="AT29" s="74"/>
      <c r="AU29" s="78"/>
      <c r="AV29" s="79"/>
      <c r="AW29" s="75"/>
      <c r="AX29" s="75"/>
      <c r="AY29" s="75"/>
      <c r="AZ29" s="77"/>
      <c r="BA29" s="74"/>
      <c r="BB29" s="75"/>
      <c r="BC29" s="75"/>
      <c r="BD29" s="77"/>
      <c r="BE29" s="6">
        <f t="shared" si="5"/>
        <v>0</v>
      </c>
    </row>
    <row r="30" spans="1:57">
      <c r="A30" s="61"/>
      <c r="B30" s="40"/>
      <c r="C30" s="62">
        <f t="shared" si="0"/>
        <v>0</v>
      </c>
      <c r="D30" s="63">
        <f t="shared" si="1"/>
        <v>0</v>
      </c>
      <c r="E30" s="63">
        <f t="shared" si="2"/>
        <v>0</v>
      </c>
      <c r="F30" s="63">
        <f t="shared" si="3"/>
        <v>0</v>
      </c>
      <c r="G30" s="63">
        <f t="shared" si="6"/>
        <v>0</v>
      </c>
      <c r="H30" s="63">
        <f t="shared" si="4"/>
        <v>0</v>
      </c>
      <c r="I30" s="64">
        <f t="shared" si="7"/>
        <v>0</v>
      </c>
      <c r="J30" s="65"/>
      <c r="K30" s="65"/>
      <c r="L30" s="83"/>
      <c r="M30" s="67"/>
      <c r="N30" s="68"/>
      <c r="O30" s="62"/>
      <c r="P30" s="69"/>
      <c r="Q30" s="70"/>
      <c r="R30" s="50">
        <f t="shared" si="8"/>
        <v>0</v>
      </c>
      <c r="S30" s="71"/>
      <c r="T30" s="69"/>
      <c r="U30" s="81"/>
      <c r="V30" s="73"/>
      <c r="W30" s="74"/>
      <c r="X30" s="75"/>
      <c r="Y30" s="75"/>
      <c r="Z30" s="76"/>
      <c r="AA30" s="77"/>
      <c r="AB30" s="73"/>
      <c r="AC30" s="74"/>
      <c r="AD30" s="75"/>
      <c r="AE30" s="75"/>
      <c r="AF30" s="75"/>
      <c r="AG30" s="75"/>
      <c r="AH30" s="75"/>
      <c r="AI30" s="75"/>
      <c r="AJ30" s="78"/>
      <c r="AK30" s="79"/>
      <c r="AL30" s="75"/>
      <c r="AM30" s="75"/>
      <c r="AN30" s="75"/>
      <c r="AO30" s="75"/>
      <c r="AP30" s="75"/>
      <c r="AQ30" s="75"/>
      <c r="AR30" s="75"/>
      <c r="AS30" s="77"/>
      <c r="AT30" s="74"/>
      <c r="AU30" s="78"/>
      <c r="AV30" s="79"/>
      <c r="AW30" s="75"/>
      <c r="AX30" s="75"/>
      <c r="AY30" s="75"/>
      <c r="AZ30" s="77"/>
      <c r="BA30" s="74"/>
      <c r="BB30" s="75"/>
      <c r="BC30" s="75"/>
      <c r="BD30" s="77"/>
      <c r="BE30" s="6">
        <f t="shared" si="5"/>
        <v>0</v>
      </c>
    </row>
    <row r="31" spans="1:57">
      <c r="A31" s="61"/>
      <c r="B31" s="40"/>
      <c r="C31" s="62">
        <f t="shared" si="0"/>
        <v>0</v>
      </c>
      <c r="D31" s="63">
        <f t="shared" si="1"/>
        <v>0</v>
      </c>
      <c r="E31" s="63">
        <f t="shared" si="2"/>
        <v>0</v>
      </c>
      <c r="F31" s="63">
        <f t="shared" si="3"/>
        <v>0</v>
      </c>
      <c r="G31" s="63">
        <f t="shared" si="6"/>
        <v>0</v>
      </c>
      <c r="H31" s="63">
        <f t="shared" si="4"/>
        <v>0</v>
      </c>
      <c r="I31" s="64">
        <f t="shared" si="7"/>
        <v>0</v>
      </c>
      <c r="J31" s="65"/>
      <c r="K31" s="65"/>
      <c r="L31" s="83"/>
      <c r="M31" s="67"/>
      <c r="N31" s="68"/>
      <c r="O31" s="62"/>
      <c r="P31" s="69"/>
      <c r="Q31" s="70"/>
      <c r="R31" s="50">
        <f t="shared" si="8"/>
        <v>0</v>
      </c>
      <c r="S31" s="71"/>
      <c r="T31" s="69"/>
      <c r="U31" s="81"/>
      <c r="V31" s="73"/>
      <c r="W31" s="74"/>
      <c r="X31" s="75"/>
      <c r="Y31" s="75"/>
      <c r="Z31" s="76"/>
      <c r="AA31" s="77"/>
      <c r="AB31" s="87"/>
      <c r="AC31" s="88"/>
      <c r="AD31" s="89"/>
      <c r="AE31" s="89"/>
      <c r="AF31" s="89"/>
      <c r="AG31" s="89"/>
      <c r="AH31" s="89"/>
      <c r="AI31" s="89"/>
      <c r="AJ31" s="90"/>
      <c r="AK31" s="79"/>
      <c r="AL31" s="75"/>
      <c r="AM31" s="75"/>
      <c r="AN31" s="75"/>
      <c r="AO31" s="75"/>
      <c r="AP31" s="75"/>
      <c r="AQ31" s="75"/>
      <c r="AR31" s="75"/>
      <c r="AS31" s="77"/>
      <c r="AT31" s="74"/>
      <c r="AU31" s="78"/>
      <c r="AV31" s="79"/>
      <c r="AW31" s="75"/>
      <c r="AX31" s="75"/>
      <c r="AY31" s="75"/>
      <c r="AZ31" s="77"/>
      <c r="BA31" s="74"/>
      <c r="BB31" s="75"/>
      <c r="BC31" s="75"/>
      <c r="BD31" s="77"/>
      <c r="BE31" s="6">
        <f t="shared" si="5"/>
        <v>0</v>
      </c>
    </row>
    <row r="32" spans="1:57">
      <c r="A32" s="61"/>
      <c r="B32" s="40"/>
      <c r="C32" s="62">
        <f t="shared" si="0"/>
        <v>0</v>
      </c>
      <c r="D32" s="63">
        <f t="shared" si="1"/>
        <v>0</v>
      </c>
      <c r="E32" s="63">
        <f t="shared" si="2"/>
        <v>0</v>
      </c>
      <c r="F32" s="63">
        <f t="shared" si="3"/>
        <v>0</v>
      </c>
      <c r="G32" s="63">
        <f t="shared" si="6"/>
        <v>0</v>
      </c>
      <c r="H32" s="63">
        <f t="shared" si="4"/>
        <v>0</v>
      </c>
      <c r="I32" s="64">
        <f t="shared" si="7"/>
        <v>0</v>
      </c>
      <c r="J32" s="65"/>
      <c r="K32" s="65"/>
      <c r="L32" s="83"/>
      <c r="M32" s="67"/>
      <c r="N32" s="68"/>
      <c r="O32" s="62"/>
      <c r="P32" s="69"/>
      <c r="Q32" s="70"/>
      <c r="R32" s="50">
        <f t="shared" si="8"/>
        <v>0</v>
      </c>
      <c r="S32" s="71"/>
      <c r="T32" s="86"/>
      <c r="U32" s="81"/>
      <c r="V32" s="73"/>
      <c r="W32" s="74"/>
      <c r="X32" s="75"/>
      <c r="Y32" s="75"/>
      <c r="Z32" s="76"/>
      <c r="AA32" s="77"/>
      <c r="AB32" s="87"/>
      <c r="AC32" s="88"/>
      <c r="AD32" s="89"/>
      <c r="AE32" s="89"/>
      <c r="AF32" s="89"/>
      <c r="AG32" s="89"/>
      <c r="AH32" s="89"/>
      <c r="AI32" s="89"/>
      <c r="AJ32" s="90"/>
      <c r="AK32" s="79"/>
      <c r="AL32" s="75"/>
      <c r="AM32" s="75"/>
      <c r="AN32" s="75"/>
      <c r="AO32" s="75"/>
      <c r="AP32" s="75"/>
      <c r="AQ32" s="75"/>
      <c r="AR32" s="75"/>
      <c r="AS32" s="77"/>
      <c r="AT32" s="74"/>
      <c r="AU32" s="78"/>
      <c r="AV32" s="79"/>
      <c r="AW32" s="75"/>
      <c r="AX32" s="75"/>
      <c r="AY32" s="75"/>
      <c r="AZ32" s="77"/>
      <c r="BA32" s="74"/>
      <c r="BB32" s="75"/>
      <c r="BC32" s="75"/>
      <c r="BD32" s="77"/>
      <c r="BE32" s="6">
        <f t="shared" si="5"/>
        <v>0</v>
      </c>
    </row>
    <row r="33" spans="1:57">
      <c r="A33" s="61"/>
      <c r="B33" s="40"/>
      <c r="C33" s="62">
        <f t="shared" si="0"/>
        <v>0</v>
      </c>
      <c r="D33" s="63">
        <f t="shared" si="1"/>
        <v>0</v>
      </c>
      <c r="E33" s="63">
        <f t="shared" si="2"/>
        <v>0</v>
      </c>
      <c r="F33" s="63">
        <f t="shared" si="3"/>
        <v>0</v>
      </c>
      <c r="G33" s="63">
        <f t="shared" si="6"/>
        <v>0</v>
      </c>
      <c r="H33" s="63">
        <f t="shared" si="4"/>
        <v>0</v>
      </c>
      <c r="I33" s="64">
        <f t="shared" si="7"/>
        <v>0</v>
      </c>
      <c r="J33" s="65"/>
      <c r="K33" s="65"/>
      <c r="L33" s="83"/>
      <c r="M33" s="67"/>
      <c r="N33" s="68"/>
      <c r="O33" s="62"/>
      <c r="P33" s="69"/>
      <c r="Q33" s="70"/>
      <c r="R33" s="50">
        <f t="shared" si="8"/>
        <v>0</v>
      </c>
      <c r="S33" s="71"/>
      <c r="T33" s="86"/>
      <c r="U33" s="81"/>
      <c r="V33" s="73"/>
      <c r="W33" s="74"/>
      <c r="X33" s="75"/>
      <c r="Y33" s="75"/>
      <c r="Z33" s="76"/>
      <c r="AA33" s="77"/>
      <c r="AB33" s="87"/>
      <c r="AC33" s="88"/>
      <c r="AD33" s="89"/>
      <c r="AE33" s="89"/>
      <c r="AF33" s="89"/>
      <c r="AG33" s="89"/>
      <c r="AH33" s="89"/>
      <c r="AI33" s="89"/>
      <c r="AJ33" s="90"/>
      <c r="AK33" s="79"/>
      <c r="AL33" s="75"/>
      <c r="AM33" s="75"/>
      <c r="AN33" s="75"/>
      <c r="AO33" s="75"/>
      <c r="AP33" s="75"/>
      <c r="AQ33" s="75"/>
      <c r="AR33" s="75"/>
      <c r="AS33" s="77"/>
      <c r="AT33" s="74"/>
      <c r="AU33" s="78"/>
      <c r="AV33" s="79"/>
      <c r="AW33" s="75"/>
      <c r="AX33" s="75"/>
      <c r="AY33" s="75"/>
      <c r="AZ33" s="77"/>
      <c r="BA33" s="74"/>
      <c r="BB33" s="75"/>
      <c r="BC33" s="75"/>
      <c r="BD33" s="77"/>
      <c r="BE33" s="6">
        <f t="shared" si="5"/>
        <v>0</v>
      </c>
    </row>
    <row r="34" spans="1:57">
      <c r="A34" s="61"/>
      <c r="B34" s="40"/>
      <c r="C34" s="62">
        <f t="shared" si="0"/>
        <v>0</v>
      </c>
      <c r="D34" s="63">
        <f t="shared" si="1"/>
        <v>0</v>
      </c>
      <c r="E34" s="63">
        <f t="shared" si="2"/>
        <v>0</v>
      </c>
      <c r="F34" s="63">
        <f t="shared" si="3"/>
        <v>0</v>
      </c>
      <c r="G34" s="63">
        <f t="shared" si="6"/>
        <v>0</v>
      </c>
      <c r="H34" s="63">
        <f t="shared" si="4"/>
        <v>0</v>
      </c>
      <c r="I34" s="64">
        <f t="shared" si="7"/>
        <v>0</v>
      </c>
      <c r="J34" s="65"/>
      <c r="K34" s="65"/>
      <c r="L34" s="83"/>
      <c r="M34" s="67"/>
      <c r="N34" s="68"/>
      <c r="O34" s="62"/>
      <c r="P34" s="69"/>
      <c r="Q34" s="70"/>
      <c r="R34" s="50">
        <f t="shared" si="8"/>
        <v>0</v>
      </c>
      <c r="S34" s="71"/>
      <c r="T34" s="86"/>
      <c r="U34" s="81"/>
      <c r="V34" s="73"/>
      <c r="W34" s="74"/>
      <c r="X34" s="75"/>
      <c r="Y34" s="75"/>
      <c r="Z34" s="76"/>
      <c r="AA34" s="77"/>
      <c r="AB34" s="73"/>
      <c r="AC34" s="74"/>
      <c r="AD34" s="75"/>
      <c r="AE34" s="75"/>
      <c r="AF34" s="75"/>
      <c r="AG34" s="75"/>
      <c r="AH34" s="75"/>
      <c r="AI34" s="75"/>
      <c r="AJ34" s="78"/>
      <c r="AK34" s="79"/>
      <c r="AL34" s="75"/>
      <c r="AM34" s="75"/>
      <c r="AN34" s="75"/>
      <c r="AO34" s="75"/>
      <c r="AP34" s="75"/>
      <c r="AQ34" s="75"/>
      <c r="AR34" s="75"/>
      <c r="AS34" s="77"/>
      <c r="AT34" s="74"/>
      <c r="AU34" s="78"/>
      <c r="AV34" s="79"/>
      <c r="AW34" s="75"/>
      <c r="AX34" s="75"/>
      <c r="AY34" s="75"/>
      <c r="AZ34" s="77"/>
      <c r="BA34" s="74"/>
      <c r="BB34" s="75"/>
      <c r="BC34" s="75"/>
      <c r="BD34" s="77"/>
      <c r="BE34" s="6">
        <f t="shared" si="5"/>
        <v>0</v>
      </c>
    </row>
    <row r="35" spans="1:57" ht="19.5" customHeight="1">
      <c r="A35" s="61"/>
      <c r="B35" s="40"/>
      <c r="C35" s="62">
        <f t="shared" si="0"/>
        <v>0</v>
      </c>
      <c r="D35" s="63">
        <f t="shared" si="1"/>
        <v>0</v>
      </c>
      <c r="E35" s="63">
        <f t="shared" si="2"/>
        <v>0</v>
      </c>
      <c r="F35" s="63">
        <f t="shared" si="3"/>
        <v>0</v>
      </c>
      <c r="G35" s="63">
        <f t="shared" si="6"/>
        <v>0</v>
      </c>
      <c r="H35" s="63">
        <f t="shared" si="4"/>
        <v>0</v>
      </c>
      <c r="I35" s="64">
        <f t="shared" si="7"/>
        <v>0</v>
      </c>
      <c r="J35" s="65"/>
      <c r="K35" s="65"/>
      <c r="L35" s="83"/>
      <c r="M35" s="67"/>
      <c r="N35" s="68"/>
      <c r="O35" s="62"/>
      <c r="P35" s="69"/>
      <c r="Q35" s="70"/>
      <c r="R35" s="50">
        <f t="shared" si="8"/>
        <v>0</v>
      </c>
      <c r="S35" s="71"/>
      <c r="T35" s="86"/>
      <c r="U35" s="81"/>
      <c r="V35" s="73"/>
      <c r="W35" s="74"/>
      <c r="X35" s="75"/>
      <c r="Y35" s="75"/>
      <c r="Z35" s="76"/>
      <c r="AA35" s="77"/>
      <c r="AB35" s="87"/>
      <c r="AC35" s="88"/>
      <c r="AD35" s="89"/>
      <c r="AE35" s="89"/>
      <c r="AF35" s="89"/>
      <c r="AG35" s="89"/>
      <c r="AH35" s="89"/>
      <c r="AI35" s="89"/>
      <c r="AJ35" s="90"/>
      <c r="AK35" s="79"/>
      <c r="AL35" s="75"/>
      <c r="AM35" s="75"/>
      <c r="AN35" s="75"/>
      <c r="AO35" s="75"/>
      <c r="AP35" s="75"/>
      <c r="AQ35" s="75"/>
      <c r="AR35" s="75"/>
      <c r="AS35" s="77"/>
      <c r="AT35" s="74"/>
      <c r="AU35" s="78"/>
      <c r="AV35" s="79"/>
      <c r="AW35" s="75"/>
      <c r="AX35" s="75"/>
      <c r="AY35" s="75"/>
      <c r="AZ35" s="77"/>
      <c r="BA35" s="74"/>
      <c r="BB35" s="75"/>
      <c r="BC35" s="75"/>
      <c r="BD35" s="77"/>
      <c r="BE35" s="6">
        <f t="shared" si="5"/>
        <v>0</v>
      </c>
    </row>
    <row r="36" spans="1:57">
      <c r="A36" s="61"/>
      <c r="B36" s="40"/>
      <c r="C36" s="62">
        <f t="shared" si="0"/>
        <v>0</v>
      </c>
      <c r="D36" s="63">
        <f t="shared" si="1"/>
        <v>0</v>
      </c>
      <c r="E36" s="63">
        <f t="shared" si="2"/>
        <v>0</v>
      </c>
      <c r="F36" s="63">
        <f t="shared" si="3"/>
        <v>0</v>
      </c>
      <c r="G36" s="63">
        <f t="shared" si="6"/>
        <v>0</v>
      </c>
      <c r="H36" s="63">
        <f t="shared" si="4"/>
        <v>0</v>
      </c>
      <c r="I36" s="64">
        <f t="shared" si="7"/>
        <v>0</v>
      </c>
      <c r="J36" s="65"/>
      <c r="K36" s="65"/>
      <c r="L36" s="83"/>
      <c r="M36" s="67"/>
      <c r="N36" s="68"/>
      <c r="O36" s="62"/>
      <c r="P36" s="69"/>
      <c r="Q36" s="70"/>
      <c r="R36" s="50">
        <f t="shared" si="8"/>
        <v>0</v>
      </c>
      <c r="S36" s="71"/>
      <c r="T36" s="86"/>
      <c r="U36" s="81"/>
      <c r="V36" s="73"/>
      <c r="W36" s="74"/>
      <c r="X36" s="75"/>
      <c r="Y36" s="75"/>
      <c r="Z36" s="76"/>
      <c r="AA36" s="77"/>
      <c r="AB36" s="73"/>
      <c r="AC36" s="74"/>
      <c r="AD36" s="75"/>
      <c r="AE36" s="75"/>
      <c r="AF36" s="75"/>
      <c r="AG36" s="75"/>
      <c r="AH36" s="75"/>
      <c r="AI36" s="75"/>
      <c r="AJ36" s="78"/>
      <c r="AK36" s="79"/>
      <c r="AL36" s="75"/>
      <c r="AM36" s="75"/>
      <c r="AN36" s="75"/>
      <c r="AO36" s="75"/>
      <c r="AP36" s="75"/>
      <c r="AQ36" s="75"/>
      <c r="AR36" s="75"/>
      <c r="AS36" s="77"/>
      <c r="AT36" s="74"/>
      <c r="AU36" s="78"/>
      <c r="AV36" s="79"/>
      <c r="AW36" s="75"/>
      <c r="AX36" s="75"/>
      <c r="AY36" s="75"/>
      <c r="AZ36" s="77"/>
      <c r="BA36" s="74"/>
      <c r="BB36" s="75"/>
      <c r="BC36" s="75"/>
      <c r="BD36" s="77"/>
      <c r="BE36" s="6">
        <f t="shared" si="5"/>
        <v>0</v>
      </c>
    </row>
    <row r="37" spans="1:57">
      <c r="A37" s="61"/>
      <c r="B37" s="40"/>
      <c r="C37" s="62">
        <f t="shared" ref="C37:C68" si="9">SUM(AB37:AJ37)</f>
        <v>0</v>
      </c>
      <c r="D37" s="63">
        <f t="shared" ref="D37:D68" si="10">SUM(AK37:AS37)</f>
        <v>0</v>
      </c>
      <c r="E37" s="63">
        <f t="shared" ref="E37:E68" si="11">SUM(AT37:AU37)</f>
        <v>0</v>
      </c>
      <c r="F37" s="63">
        <f t="shared" ref="F37:F68" si="12">SUM(AV37:AZ37)</f>
        <v>0</v>
      </c>
      <c r="G37" s="63">
        <f t="shared" si="6"/>
        <v>0</v>
      </c>
      <c r="H37" s="63">
        <f t="shared" ref="H37:H68" si="13">SUM(V37:AA37)</f>
        <v>0</v>
      </c>
      <c r="I37" s="64">
        <f t="shared" si="7"/>
        <v>0</v>
      </c>
      <c r="J37" s="91"/>
      <c r="K37" s="65"/>
      <c r="L37" s="83"/>
      <c r="M37" s="67"/>
      <c r="N37" s="68"/>
      <c r="O37" s="62"/>
      <c r="P37" s="69"/>
      <c r="Q37" s="70"/>
      <c r="R37" s="50">
        <f t="shared" si="8"/>
        <v>0</v>
      </c>
      <c r="S37" s="92"/>
      <c r="T37" s="69"/>
      <c r="U37" s="93"/>
      <c r="V37" s="73"/>
      <c r="W37" s="74"/>
      <c r="X37" s="75"/>
      <c r="Y37" s="75"/>
      <c r="Z37" s="76"/>
      <c r="AA37" s="77"/>
      <c r="AB37" s="87"/>
      <c r="AC37" s="88"/>
      <c r="AD37" s="89"/>
      <c r="AE37" s="89"/>
      <c r="AF37" s="89"/>
      <c r="AG37" s="89"/>
      <c r="AH37" s="89"/>
      <c r="AI37" s="89"/>
      <c r="AJ37" s="90"/>
      <c r="AK37" s="79"/>
      <c r="AL37" s="75"/>
      <c r="AM37" s="75"/>
      <c r="AN37" s="75"/>
      <c r="AO37" s="75"/>
      <c r="AP37" s="75"/>
      <c r="AQ37" s="75"/>
      <c r="AR37" s="75"/>
      <c r="AS37" s="77"/>
      <c r="AT37" s="74"/>
      <c r="AU37" s="78"/>
      <c r="AV37" s="79"/>
      <c r="AW37" s="75"/>
      <c r="AX37" s="75"/>
      <c r="AY37" s="75"/>
      <c r="AZ37" s="77"/>
      <c r="BA37" s="74"/>
      <c r="BB37" s="75"/>
      <c r="BC37" s="75"/>
      <c r="BD37" s="77"/>
      <c r="BE37" s="6">
        <f t="shared" si="5"/>
        <v>0</v>
      </c>
    </row>
    <row r="38" spans="1:57">
      <c r="A38" s="61"/>
      <c r="B38" s="40"/>
      <c r="C38" s="62">
        <f t="shared" si="9"/>
        <v>0</v>
      </c>
      <c r="D38" s="63">
        <f t="shared" si="10"/>
        <v>0</v>
      </c>
      <c r="E38" s="63">
        <f t="shared" si="11"/>
        <v>0</v>
      </c>
      <c r="F38" s="63">
        <f t="shared" si="12"/>
        <v>0</v>
      </c>
      <c r="G38" s="63">
        <f t="shared" si="6"/>
        <v>0</v>
      </c>
      <c r="H38" s="63">
        <f t="shared" si="13"/>
        <v>0</v>
      </c>
      <c r="I38" s="64">
        <f t="shared" si="7"/>
        <v>0</v>
      </c>
      <c r="J38" s="65"/>
      <c r="K38" s="65"/>
      <c r="L38" s="83"/>
      <c r="M38" s="67"/>
      <c r="N38" s="68"/>
      <c r="O38" s="62"/>
      <c r="P38" s="69"/>
      <c r="Q38" s="70"/>
      <c r="R38" s="50">
        <f t="shared" si="8"/>
        <v>0</v>
      </c>
      <c r="S38" s="92"/>
      <c r="T38" s="94"/>
      <c r="U38" s="72"/>
      <c r="V38" s="73"/>
      <c r="W38" s="74"/>
      <c r="X38" s="75"/>
      <c r="Y38" s="75"/>
      <c r="Z38" s="76"/>
      <c r="AA38" s="77"/>
      <c r="AB38" s="73"/>
      <c r="AC38" s="74"/>
      <c r="AD38" s="75"/>
      <c r="AE38" s="75"/>
      <c r="AF38" s="75"/>
      <c r="AG38" s="75"/>
      <c r="AH38" s="75"/>
      <c r="AI38" s="75"/>
      <c r="AJ38" s="78"/>
      <c r="AK38" s="79"/>
      <c r="AL38" s="75"/>
      <c r="AM38" s="75"/>
      <c r="AN38" s="75"/>
      <c r="AO38" s="75"/>
      <c r="AP38" s="75"/>
      <c r="AQ38" s="75"/>
      <c r="AR38" s="75"/>
      <c r="AS38" s="77"/>
      <c r="AT38" s="74"/>
      <c r="AU38" s="78"/>
      <c r="AV38" s="79"/>
      <c r="AW38" s="75"/>
      <c r="AX38" s="75"/>
      <c r="AY38" s="75"/>
      <c r="AZ38" s="77"/>
      <c r="BA38" s="74"/>
      <c r="BB38" s="75"/>
      <c r="BC38" s="75"/>
      <c r="BD38" s="77"/>
      <c r="BE38" s="6">
        <f t="shared" si="5"/>
        <v>0</v>
      </c>
    </row>
    <row r="39" spans="1:57">
      <c r="A39" s="61"/>
      <c r="B39" s="40"/>
      <c r="C39" s="62">
        <f t="shared" si="9"/>
        <v>0</v>
      </c>
      <c r="D39" s="63">
        <f t="shared" si="10"/>
        <v>0</v>
      </c>
      <c r="E39" s="63">
        <f t="shared" si="11"/>
        <v>0</v>
      </c>
      <c r="F39" s="63">
        <f t="shared" si="12"/>
        <v>0</v>
      </c>
      <c r="G39" s="63">
        <f t="shared" si="6"/>
        <v>0</v>
      </c>
      <c r="H39" s="63">
        <f t="shared" si="13"/>
        <v>0</v>
      </c>
      <c r="I39" s="64">
        <f t="shared" si="7"/>
        <v>0</v>
      </c>
      <c r="J39" s="65"/>
      <c r="K39" s="65"/>
      <c r="L39" s="83"/>
      <c r="M39" s="67"/>
      <c r="N39" s="68"/>
      <c r="O39" s="62"/>
      <c r="P39" s="69"/>
      <c r="Q39" s="70"/>
      <c r="R39" s="50">
        <f t="shared" si="8"/>
        <v>0</v>
      </c>
      <c r="S39" s="71"/>
      <c r="T39" s="85"/>
      <c r="U39" s="72"/>
      <c r="V39" s="73"/>
      <c r="W39" s="74"/>
      <c r="X39" s="75"/>
      <c r="Y39" s="75"/>
      <c r="Z39" s="76"/>
      <c r="AA39" s="77"/>
      <c r="AB39" s="73"/>
      <c r="AC39" s="74"/>
      <c r="AD39" s="75"/>
      <c r="AE39" s="75"/>
      <c r="AF39" s="75"/>
      <c r="AG39" s="75"/>
      <c r="AH39" s="75"/>
      <c r="AI39" s="75"/>
      <c r="AJ39" s="78"/>
      <c r="AK39" s="79"/>
      <c r="AL39" s="75"/>
      <c r="AM39" s="75"/>
      <c r="AN39" s="75"/>
      <c r="AO39" s="75"/>
      <c r="AP39" s="75"/>
      <c r="AQ39" s="75"/>
      <c r="AR39" s="75"/>
      <c r="AS39" s="77"/>
      <c r="AT39" s="74"/>
      <c r="AU39" s="78"/>
      <c r="AV39" s="79"/>
      <c r="AW39" s="75"/>
      <c r="AX39" s="75"/>
      <c r="AY39" s="75"/>
      <c r="AZ39" s="77"/>
      <c r="BA39" s="74"/>
      <c r="BB39" s="75"/>
      <c r="BC39" s="75"/>
      <c r="BD39" s="77"/>
      <c r="BE39" s="6">
        <f t="shared" si="5"/>
        <v>0</v>
      </c>
    </row>
    <row r="40" spans="1:57">
      <c r="A40" s="61"/>
      <c r="B40" s="40"/>
      <c r="C40" s="62">
        <f t="shared" si="9"/>
        <v>0</v>
      </c>
      <c r="D40" s="63">
        <f t="shared" si="10"/>
        <v>0</v>
      </c>
      <c r="E40" s="63">
        <f t="shared" si="11"/>
        <v>0</v>
      </c>
      <c r="F40" s="63">
        <f t="shared" si="12"/>
        <v>0</v>
      </c>
      <c r="G40" s="63">
        <f t="shared" si="6"/>
        <v>0</v>
      </c>
      <c r="H40" s="63">
        <f t="shared" si="13"/>
        <v>0</v>
      </c>
      <c r="I40" s="64">
        <f t="shared" si="7"/>
        <v>0</v>
      </c>
      <c r="J40" s="65"/>
      <c r="K40" s="65"/>
      <c r="L40" s="83"/>
      <c r="M40" s="67"/>
      <c r="N40" s="68"/>
      <c r="O40" s="62"/>
      <c r="P40" s="69"/>
      <c r="Q40" s="70"/>
      <c r="R40" s="50">
        <f t="shared" si="8"/>
        <v>0</v>
      </c>
      <c r="S40" s="71"/>
      <c r="T40" s="69"/>
      <c r="U40" s="81"/>
      <c r="V40" s="73"/>
      <c r="W40" s="74"/>
      <c r="X40" s="75"/>
      <c r="Y40" s="75"/>
      <c r="Z40" s="76"/>
      <c r="AA40" s="77"/>
      <c r="AB40" s="73"/>
      <c r="AC40" s="74"/>
      <c r="AD40" s="75"/>
      <c r="AE40" s="75"/>
      <c r="AF40" s="75"/>
      <c r="AG40" s="75"/>
      <c r="AH40" s="75"/>
      <c r="AI40" s="75"/>
      <c r="AJ40" s="78"/>
      <c r="AK40" s="79"/>
      <c r="AL40" s="75"/>
      <c r="AM40" s="75"/>
      <c r="AN40" s="75"/>
      <c r="AO40" s="75"/>
      <c r="AP40" s="75"/>
      <c r="AQ40" s="75"/>
      <c r="AR40" s="75"/>
      <c r="AS40" s="77"/>
      <c r="AT40" s="74"/>
      <c r="AU40" s="78"/>
      <c r="AV40" s="79"/>
      <c r="AW40" s="75"/>
      <c r="AX40" s="75"/>
      <c r="AY40" s="75"/>
      <c r="AZ40" s="77"/>
      <c r="BA40" s="74"/>
      <c r="BB40" s="75"/>
      <c r="BC40" s="75"/>
      <c r="BD40" s="77"/>
      <c r="BE40" s="6">
        <f t="shared" si="5"/>
        <v>0</v>
      </c>
    </row>
    <row r="41" spans="1:57">
      <c r="A41" s="61"/>
      <c r="B41" s="40"/>
      <c r="C41" s="62">
        <f t="shared" si="9"/>
        <v>0</v>
      </c>
      <c r="D41" s="63">
        <f t="shared" si="10"/>
        <v>0</v>
      </c>
      <c r="E41" s="63">
        <f t="shared" si="11"/>
        <v>0</v>
      </c>
      <c r="F41" s="63">
        <f t="shared" si="12"/>
        <v>0</v>
      </c>
      <c r="G41" s="63">
        <f t="shared" si="6"/>
        <v>0</v>
      </c>
      <c r="H41" s="63">
        <f t="shared" si="13"/>
        <v>0</v>
      </c>
      <c r="I41" s="64">
        <f t="shared" si="7"/>
        <v>0</v>
      </c>
      <c r="J41" s="91"/>
      <c r="K41" s="65"/>
      <c r="L41" s="83"/>
      <c r="M41" s="67"/>
      <c r="N41" s="68"/>
      <c r="O41" s="62"/>
      <c r="P41" s="69"/>
      <c r="Q41" s="70"/>
      <c r="R41" s="50">
        <f t="shared" si="8"/>
        <v>0</v>
      </c>
      <c r="S41" s="92"/>
      <c r="T41" s="85"/>
      <c r="U41" s="72"/>
      <c r="V41" s="73"/>
      <c r="W41" s="74"/>
      <c r="X41" s="75"/>
      <c r="Y41" s="75"/>
      <c r="Z41" s="76"/>
      <c r="AA41" s="77"/>
      <c r="AB41" s="87"/>
      <c r="AC41" s="88"/>
      <c r="AD41" s="89"/>
      <c r="AE41" s="89"/>
      <c r="AF41" s="89"/>
      <c r="AG41" s="89"/>
      <c r="AH41" s="89"/>
      <c r="AI41" s="89"/>
      <c r="AJ41" s="90"/>
      <c r="AK41" s="79"/>
      <c r="AL41" s="75"/>
      <c r="AM41" s="75"/>
      <c r="AN41" s="75"/>
      <c r="AO41" s="75"/>
      <c r="AP41" s="75"/>
      <c r="AQ41" s="75"/>
      <c r="AR41" s="75"/>
      <c r="AS41" s="77"/>
      <c r="AT41" s="74"/>
      <c r="AU41" s="78"/>
      <c r="AV41" s="79"/>
      <c r="AW41" s="75"/>
      <c r="AX41" s="75"/>
      <c r="AY41" s="75"/>
      <c r="AZ41" s="77"/>
      <c r="BA41" s="74"/>
      <c r="BB41" s="75"/>
      <c r="BC41" s="75"/>
      <c r="BD41" s="77"/>
      <c r="BE41" s="6">
        <f t="shared" si="5"/>
        <v>0</v>
      </c>
    </row>
    <row r="42" spans="1:57">
      <c r="A42" s="61"/>
      <c r="B42" s="40"/>
      <c r="C42" s="62">
        <f t="shared" si="9"/>
        <v>0</v>
      </c>
      <c r="D42" s="63">
        <f t="shared" si="10"/>
        <v>0</v>
      </c>
      <c r="E42" s="63">
        <f t="shared" si="11"/>
        <v>0</v>
      </c>
      <c r="F42" s="63">
        <f t="shared" si="12"/>
        <v>0</v>
      </c>
      <c r="G42" s="63">
        <f t="shared" si="6"/>
        <v>0</v>
      </c>
      <c r="H42" s="63">
        <f t="shared" si="13"/>
        <v>0</v>
      </c>
      <c r="I42" s="64">
        <f t="shared" si="7"/>
        <v>0</v>
      </c>
      <c r="J42" s="65"/>
      <c r="K42" s="65"/>
      <c r="L42" s="83"/>
      <c r="M42" s="67"/>
      <c r="N42" s="68"/>
      <c r="O42" s="62"/>
      <c r="P42" s="69"/>
      <c r="Q42" s="70"/>
      <c r="R42" s="50">
        <f t="shared" si="8"/>
        <v>0</v>
      </c>
      <c r="S42" s="71"/>
      <c r="T42" s="69"/>
      <c r="U42" s="81"/>
      <c r="V42" s="73"/>
      <c r="W42" s="74"/>
      <c r="X42" s="75"/>
      <c r="Y42" s="75"/>
      <c r="Z42" s="76"/>
      <c r="AA42" s="77"/>
      <c r="AB42" s="74"/>
      <c r="AC42" s="74"/>
      <c r="AD42" s="75"/>
      <c r="AE42" s="75"/>
      <c r="AF42" s="75"/>
      <c r="AG42" s="75"/>
      <c r="AH42" s="75"/>
      <c r="AI42" s="75"/>
      <c r="AJ42" s="78"/>
      <c r="AK42" s="79"/>
      <c r="AL42" s="75"/>
      <c r="AM42" s="75"/>
      <c r="AN42" s="75"/>
      <c r="AO42" s="75"/>
      <c r="AP42" s="95"/>
      <c r="AQ42" s="75"/>
      <c r="AR42" s="75"/>
      <c r="AS42" s="77"/>
      <c r="AT42" s="74"/>
      <c r="AU42" s="78"/>
      <c r="AV42" s="79"/>
      <c r="AW42" s="75"/>
      <c r="AX42" s="75"/>
      <c r="AY42" s="75"/>
      <c r="AZ42" s="77"/>
      <c r="BA42" s="74"/>
      <c r="BB42" s="75"/>
      <c r="BC42" s="75"/>
      <c r="BD42" s="77"/>
      <c r="BE42" s="6">
        <f t="shared" si="5"/>
        <v>0</v>
      </c>
    </row>
    <row r="43" spans="1:57" ht="16.2" customHeight="1">
      <c r="A43" s="61"/>
      <c r="B43" s="40"/>
      <c r="C43" s="62">
        <f t="shared" si="9"/>
        <v>0</v>
      </c>
      <c r="D43" s="63">
        <f t="shared" si="10"/>
        <v>0</v>
      </c>
      <c r="E43" s="63">
        <f t="shared" si="11"/>
        <v>0</v>
      </c>
      <c r="F43" s="63">
        <f t="shared" si="12"/>
        <v>0</v>
      </c>
      <c r="G43" s="63">
        <f t="shared" si="6"/>
        <v>0</v>
      </c>
      <c r="H43" s="63">
        <f t="shared" si="13"/>
        <v>0</v>
      </c>
      <c r="I43" s="64">
        <f t="shared" si="7"/>
        <v>0</v>
      </c>
      <c r="J43" s="65"/>
      <c r="K43" s="65"/>
      <c r="L43" s="83"/>
      <c r="M43" s="67"/>
      <c r="N43" s="68"/>
      <c r="O43" s="62"/>
      <c r="P43" s="69"/>
      <c r="Q43" s="70"/>
      <c r="R43" s="50">
        <f t="shared" si="8"/>
        <v>0</v>
      </c>
      <c r="S43" s="71"/>
      <c r="T43" s="86"/>
      <c r="U43" s="81"/>
      <c r="V43" s="73"/>
      <c r="W43" s="74"/>
      <c r="X43" s="75"/>
      <c r="Y43" s="75"/>
      <c r="Z43" s="76"/>
      <c r="AA43" s="77"/>
      <c r="AB43" s="74"/>
      <c r="AC43" s="74"/>
      <c r="AD43" s="75"/>
      <c r="AE43" s="75"/>
      <c r="AF43" s="75"/>
      <c r="AG43" s="75"/>
      <c r="AH43" s="75"/>
      <c r="AI43" s="75"/>
      <c r="AJ43" s="78"/>
      <c r="AK43" s="79"/>
      <c r="AL43" s="75"/>
      <c r="AM43" s="75"/>
      <c r="AN43" s="75"/>
      <c r="AO43" s="75"/>
      <c r="AP43" s="95"/>
      <c r="AQ43" s="75"/>
      <c r="AR43" s="75"/>
      <c r="AS43" s="77"/>
      <c r="AT43" s="74"/>
      <c r="AU43" s="78"/>
      <c r="AV43" s="79"/>
      <c r="AW43" s="75"/>
      <c r="AX43" s="75"/>
      <c r="AY43" s="75"/>
      <c r="AZ43" s="77"/>
      <c r="BA43" s="74"/>
      <c r="BB43" s="75"/>
      <c r="BC43" s="75"/>
      <c r="BD43" s="77"/>
      <c r="BE43" s="6">
        <f t="shared" si="5"/>
        <v>0</v>
      </c>
    </row>
    <row r="44" spans="1:57">
      <c r="A44" s="61"/>
      <c r="B44" s="40"/>
      <c r="C44" s="62">
        <f t="shared" si="9"/>
        <v>0</v>
      </c>
      <c r="D44" s="63">
        <f t="shared" si="10"/>
        <v>0</v>
      </c>
      <c r="E44" s="63">
        <f t="shared" si="11"/>
        <v>0</v>
      </c>
      <c r="F44" s="63">
        <f t="shared" si="12"/>
        <v>0</v>
      </c>
      <c r="G44" s="63">
        <f t="shared" si="6"/>
        <v>0</v>
      </c>
      <c r="H44" s="63">
        <f t="shared" si="13"/>
        <v>0</v>
      </c>
      <c r="I44" s="64">
        <f t="shared" si="7"/>
        <v>0</v>
      </c>
      <c r="J44" s="65"/>
      <c r="K44" s="65"/>
      <c r="L44" s="83"/>
      <c r="M44" s="67"/>
      <c r="N44" s="68"/>
      <c r="O44" s="62"/>
      <c r="P44" s="69"/>
      <c r="Q44" s="70"/>
      <c r="R44" s="50">
        <f t="shared" si="8"/>
        <v>0</v>
      </c>
      <c r="S44" s="71"/>
      <c r="T44" s="86"/>
      <c r="U44" s="81"/>
      <c r="V44" s="73"/>
      <c r="W44" s="74"/>
      <c r="X44" s="75"/>
      <c r="Y44" s="75"/>
      <c r="Z44" s="76"/>
      <c r="AA44" s="77"/>
      <c r="AB44" s="96"/>
      <c r="AC44" s="96"/>
      <c r="AD44" s="89"/>
      <c r="AE44" s="89"/>
      <c r="AF44" s="89"/>
      <c r="AG44" s="89"/>
      <c r="AH44" s="89"/>
      <c r="AI44" s="89"/>
      <c r="AJ44" s="90"/>
      <c r="AK44" s="79"/>
      <c r="AL44" s="75"/>
      <c r="AM44" s="75"/>
      <c r="AN44" s="75"/>
      <c r="AO44" s="75"/>
      <c r="AP44" s="95"/>
      <c r="AQ44" s="75"/>
      <c r="AR44" s="75"/>
      <c r="AS44" s="77"/>
      <c r="AT44" s="74"/>
      <c r="AU44" s="78"/>
      <c r="AV44" s="79"/>
      <c r="AW44" s="75"/>
      <c r="AX44" s="75"/>
      <c r="AY44" s="75"/>
      <c r="AZ44" s="77"/>
      <c r="BA44" s="74"/>
      <c r="BB44" s="75"/>
      <c r="BC44" s="75"/>
      <c r="BD44" s="77"/>
      <c r="BE44" s="6">
        <f t="shared" si="5"/>
        <v>0</v>
      </c>
    </row>
    <row r="45" spans="1:57">
      <c r="A45" s="61"/>
      <c r="B45" s="40"/>
      <c r="C45" s="62">
        <f t="shared" si="9"/>
        <v>0</v>
      </c>
      <c r="D45" s="63">
        <f t="shared" si="10"/>
        <v>0</v>
      </c>
      <c r="E45" s="63">
        <f t="shared" si="11"/>
        <v>0</v>
      </c>
      <c r="F45" s="63">
        <f t="shared" si="12"/>
        <v>0</v>
      </c>
      <c r="G45" s="63">
        <f t="shared" si="6"/>
        <v>0</v>
      </c>
      <c r="H45" s="63">
        <f t="shared" si="13"/>
        <v>0</v>
      </c>
      <c r="I45" s="64">
        <f t="shared" si="7"/>
        <v>0</v>
      </c>
      <c r="J45" s="65"/>
      <c r="K45" s="65"/>
      <c r="L45" s="83"/>
      <c r="M45" s="67"/>
      <c r="N45" s="68"/>
      <c r="O45" s="62"/>
      <c r="P45" s="69"/>
      <c r="Q45" s="70"/>
      <c r="R45" s="50">
        <f t="shared" si="8"/>
        <v>0</v>
      </c>
      <c r="S45" s="71"/>
      <c r="T45" s="86"/>
      <c r="U45" s="81"/>
      <c r="V45" s="73"/>
      <c r="W45" s="74"/>
      <c r="X45" s="75"/>
      <c r="Y45" s="75"/>
      <c r="Z45" s="76"/>
      <c r="AA45" s="77"/>
      <c r="AB45" s="96"/>
      <c r="AC45" s="96"/>
      <c r="AD45" s="89"/>
      <c r="AE45" s="89"/>
      <c r="AF45" s="89"/>
      <c r="AG45" s="89"/>
      <c r="AH45" s="89"/>
      <c r="AI45" s="89"/>
      <c r="AJ45" s="90"/>
      <c r="AK45" s="79"/>
      <c r="AL45" s="75"/>
      <c r="AM45" s="75"/>
      <c r="AN45" s="75"/>
      <c r="AO45" s="75"/>
      <c r="AP45" s="75"/>
      <c r="AQ45" s="75"/>
      <c r="AR45" s="75"/>
      <c r="AS45" s="77"/>
      <c r="AT45" s="74"/>
      <c r="AU45" s="78"/>
      <c r="AV45" s="79"/>
      <c r="AW45" s="75"/>
      <c r="AX45" s="75"/>
      <c r="AY45" s="75"/>
      <c r="AZ45" s="77"/>
      <c r="BA45" s="74"/>
      <c r="BB45" s="75"/>
      <c r="BC45" s="75"/>
      <c r="BD45" s="77"/>
      <c r="BE45" s="6">
        <f t="shared" si="5"/>
        <v>0</v>
      </c>
    </row>
    <row r="46" spans="1:57">
      <c r="A46" s="61"/>
      <c r="B46" s="40"/>
      <c r="C46" s="97">
        <f t="shared" si="9"/>
        <v>0</v>
      </c>
      <c r="D46" s="98">
        <f t="shared" si="10"/>
        <v>0</v>
      </c>
      <c r="E46" s="98">
        <f t="shared" si="11"/>
        <v>0</v>
      </c>
      <c r="F46" s="98">
        <f t="shared" si="12"/>
        <v>0</v>
      </c>
      <c r="G46" s="98">
        <f t="shared" si="6"/>
        <v>0</v>
      </c>
      <c r="H46" s="98">
        <f t="shared" si="13"/>
        <v>0</v>
      </c>
      <c r="I46" s="64">
        <f t="shared" si="7"/>
        <v>0</v>
      </c>
      <c r="J46" s="99"/>
      <c r="K46" s="99"/>
      <c r="L46" s="100"/>
      <c r="M46" s="101"/>
      <c r="N46" s="102"/>
      <c r="O46" s="97"/>
      <c r="P46" s="69"/>
      <c r="Q46" s="103"/>
      <c r="R46" s="50">
        <f t="shared" si="8"/>
        <v>0</v>
      </c>
      <c r="S46" s="71"/>
      <c r="T46" s="86"/>
      <c r="U46" s="81"/>
      <c r="V46" s="73"/>
      <c r="W46" s="74"/>
      <c r="X46" s="75"/>
      <c r="Y46" s="75"/>
      <c r="Z46" s="76"/>
      <c r="AA46" s="77"/>
      <c r="AB46" s="88"/>
      <c r="AC46" s="88"/>
      <c r="AD46" s="89"/>
      <c r="AE46" s="89"/>
      <c r="AF46" s="89"/>
      <c r="AG46" s="89"/>
      <c r="AH46" s="89"/>
      <c r="AI46" s="89"/>
      <c r="AJ46" s="90"/>
      <c r="AK46" s="79"/>
      <c r="AL46" s="75"/>
      <c r="AM46" s="75"/>
      <c r="AN46" s="75"/>
      <c r="AO46" s="75"/>
      <c r="AP46" s="75"/>
      <c r="AQ46" s="75"/>
      <c r="AR46" s="75"/>
      <c r="AS46" s="77"/>
      <c r="AT46" s="74"/>
      <c r="AU46" s="78"/>
      <c r="AV46" s="79"/>
      <c r="AW46" s="75"/>
      <c r="AX46" s="75"/>
      <c r="AY46" s="75"/>
      <c r="AZ46" s="77"/>
      <c r="BA46" s="74"/>
      <c r="BB46" s="75"/>
      <c r="BC46" s="75"/>
      <c r="BD46" s="77"/>
      <c r="BE46" s="104"/>
    </row>
    <row r="47" spans="1:57">
      <c r="A47" s="61"/>
      <c r="B47" s="40"/>
      <c r="C47" s="62">
        <f t="shared" si="9"/>
        <v>0</v>
      </c>
      <c r="D47" s="63">
        <f t="shared" si="10"/>
        <v>0</v>
      </c>
      <c r="E47" s="63">
        <f t="shared" si="11"/>
        <v>0</v>
      </c>
      <c r="F47" s="63">
        <f t="shared" si="12"/>
        <v>0</v>
      </c>
      <c r="G47" s="63">
        <f t="shared" si="6"/>
        <v>0</v>
      </c>
      <c r="H47" s="63">
        <f t="shared" si="13"/>
        <v>0</v>
      </c>
      <c r="I47" s="64">
        <f t="shared" si="7"/>
        <v>0</v>
      </c>
      <c r="J47" s="65"/>
      <c r="K47" s="65"/>
      <c r="L47" s="83"/>
      <c r="M47" s="67"/>
      <c r="N47" s="68"/>
      <c r="O47" s="62"/>
      <c r="P47" s="69"/>
      <c r="Q47" s="70"/>
      <c r="R47" s="50">
        <f t="shared" si="8"/>
        <v>0</v>
      </c>
      <c r="S47" s="105"/>
      <c r="T47" s="86"/>
      <c r="U47" s="81"/>
      <c r="V47" s="73"/>
      <c r="W47" s="74"/>
      <c r="X47" s="75"/>
      <c r="Y47" s="75"/>
      <c r="Z47" s="76"/>
      <c r="AA47" s="77"/>
      <c r="AB47" s="88"/>
      <c r="AC47" s="88"/>
      <c r="AD47" s="89"/>
      <c r="AE47" s="89"/>
      <c r="AF47" s="89"/>
      <c r="AG47" s="89"/>
      <c r="AH47" s="89"/>
      <c r="AI47" s="89"/>
      <c r="AJ47" s="90"/>
      <c r="AK47" s="79"/>
      <c r="AL47" s="75"/>
      <c r="AM47" s="75"/>
      <c r="AN47" s="75"/>
      <c r="AO47" s="75"/>
      <c r="AP47" s="84"/>
      <c r="AQ47" s="75"/>
      <c r="AR47" s="75"/>
      <c r="AS47" s="77"/>
      <c r="AT47" s="74"/>
      <c r="AU47" s="78"/>
      <c r="AV47" s="79"/>
      <c r="AW47" s="75"/>
      <c r="AX47" s="75"/>
      <c r="AY47" s="75"/>
      <c r="AZ47" s="77"/>
      <c r="BA47" s="74"/>
      <c r="BB47" s="75"/>
      <c r="BC47" s="75"/>
      <c r="BD47" s="77"/>
      <c r="BE47" s="6">
        <f t="shared" ref="BE47:BE78" si="14">I47-SUM(AB47:BD47)</f>
        <v>0</v>
      </c>
    </row>
    <row r="48" spans="1:57">
      <c r="A48" s="61"/>
      <c r="B48" s="40"/>
      <c r="C48" s="62">
        <f t="shared" si="9"/>
        <v>0</v>
      </c>
      <c r="D48" s="63">
        <f t="shared" si="10"/>
        <v>0</v>
      </c>
      <c r="E48" s="63">
        <f t="shared" si="11"/>
        <v>0</v>
      </c>
      <c r="F48" s="63">
        <f t="shared" si="12"/>
        <v>0</v>
      </c>
      <c r="G48" s="63">
        <f t="shared" si="6"/>
        <v>0</v>
      </c>
      <c r="H48" s="63">
        <f t="shared" si="13"/>
        <v>0</v>
      </c>
      <c r="I48" s="64">
        <f t="shared" si="7"/>
        <v>0</v>
      </c>
      <c r="J48" s="65"/>
      <c r="K48" s="65"/>
      <c r="L48" s="83"/>
      <c r="M48" s="67"/>
      <c r="N48" s="68"/>
      <c r="O48" s="62"/>
      <c r="P48" s="69"/>
      <c r="Q48" s="70"/>
      <c r="R48" s="50">
        <f t="shared" si="8"/>
        <v>0</v>
      </c>
      <c r="S48" s="71"/>
      <c r="T48" s="85"/>
      <c r="U48" s="72"/>
      <c r="V48" s="73"/>
      <c r="W48" s="74"/>
      <c r="X48" s="75"/>
      <c r="Y48" s="75"/>
      <c r="Z48" s="76"/>
      <c r="AA48" s="77"/>
      <c r="AB48" s="88"/>
      <c r="AC48" s="88"/>
      <c r="AD48" s="89"/>
      <c r="AE48" s="89"/>
      <c r="AF48" s="89"/>
      <c r="AG48" s="89"/>
      <c r="AH48" s="89"/>
      <c r="AI48" s="89"/>
      <c r="AJ48" s="90"/>
      <c r="AK48" s="79"/>
      <c r="AL48" s="75"/>
      <c r="AM48" s="75"/>
      <c r="AN48" s="75"/>
      <c r="AO48" s="75"/>
      <c r="AP48" s="95"/>
      <c r="AQ48" s="75"/>
      <c r="AR48" s="75"/>
      <c r="AS48" s="77"/>
      <c r="AT48" s="74"/>
      <c r="AU48" s="78"/>
      <c r="AV48" s="79"/>
      <c r="AW48" s="75"/>
      <c r="AX48" s="75"/>
      <c r="AY48" s="75"/>
      <c r="AZ48" s="77"/>
      <c r="BA48" s="74"/>
      <c r="BB48" s="75"/>
      <c r="BC48" s="75"/>
      <c r="BD48" s="77"/>
      <c r="BE48" s="6">
        <f t="shared" si="14"/>
        <v>0</v>
      </c>
    </row>
    <row r="49" spans="1:57">
      <c r="A49" s="61"/>
      <c r="B49" s="40"/>
      <c r="C49" s="62">
        <f t="shared" si="9"/>
        <v>0</v>
      </c>
      <c r="D49" s="63">
        <f t="shared" si="10"/>
        <v>0</v>
      </c>
      <c r="E49" s="63">
        <f t="shared" si="11"/>
        <v>0</v>
      </c>
      <c r="F49" s="63">
        <f t="shared" si="12"/>
        <v>0</v>
      </c>
      <c r="G49" s="63">
        <f t="shared" si="6"/>
        <v>0</v>
      </c>
      <c r="H49" s="63">
        <f t="shared" si="13"/>
        <v>0</v>
      </c>
      <c r="I49" s="64">
        <f t="shared" si="7"/>
        <v>0</v>
      </c>
      <c r="J49" s="65"/>
      <c r="K49" s="65"/>
      <c r="L49" s="83"/>
      <c r="M49" s="67"/>
      <c r="N49" s="68"/>
      <c r="O49" s="62"/>
      <c r="P49" s="69"/>
      <c r="Q49" s="70"/>
      <c r="R49" s="50">
        <f t="shared" si="8"/>
        <v>0</v>
      </c>
      <c r="S49" s="71"/>
      <c r="T49" s="86"/>
      <c r="U49" s="72"/>
      <c r="V49" s="73"/>
      <c r="W49" s="74"/>
      <c r="X49" s="75"/>
      <c r="Y49" s="75"/>
      <c r="Z49" s="76"/>
      <c r="AA49" s="77"/>
      <c r="AB49" s="74"/>
      <c r="AC49" s="74"/>
      <c r="AD49" s="75"/>
      <c r="AE49" s="75"/>
      <c r="AF49" s="75"/>
      <c r="AG49" s="75"/>
      <c r="AH49" s="75"/>
      <c r="AI49" s="75"/>
      <c r="AJ49" s="78"/>
      <c r="AK49" s="79"/>
      <c r="AL49" s="75"/>
      <c r="AM49" s="75"/>
      <c r="AN49" s="75"/>
      <c r="AO49" s="75"/>
      <c r="AP49" s="95"/>
      <c r="AQ49" s="75"/>
      <c r="AR49" s="75"/>
      <c r="AS49" s="77"/>
      <c r="AT49" s="74"/>
      <c r="AU49" s="78"/>
      <c r="AV49" s="79"/>
      <c r="AW49" s="75"/>
      <c r="AX49" s="75"/>
      <c r="AY49" s="75"/>
      <c r="AZ49" s="77"/>
      <c r="BA49" s="74"/>
      <c r="BB49" s="75"/>
      <c r="BC49" s="75"/>
      <c r="BD49" s="77"/>
      <c r="BE49" s="6">
        <f t="shared" si="14"/>
        <v>0</v>
      </c>
    </row>
    <row r="50" spans="1:57">
      <c r="A50" s="61"/>
      <c r="B50" s="40"/>
      <c r="C50" s="62">
        <f t="shared" si="9"/>
        <v>0</v>
      </c>
      <c r="D50" s="63">
        <f t="shared" si="10"/>
        <v>0</v>
      </c>
      <c r="E50" s="63">
        <f t="shared" si="11"/>
        <v>0</v>
      </c>
      <c r="F50" s="63">
        <f t="shared" si="12"/>
        <v>0</v>
      </c>
      <c r="G50" s="63">
        <f t="shared" si="6"/>
        <v>0</v>
      </c>
      <c r="H50" s="63">
        <f t="shared" si="13"/>
        <v>0</v>
      </c>
      <c r="I50" s="64">
        <f t="shared" si="7"/>
        <v>0</v>
      </c>
      <c r="J50" s="65"/>
      <c r="K50" s="65"/>
      <c r="L50" s="83"/>
      <c r="M50" s="67"/>
      <c r="N50" s="68"/>
      <c r="O50" s="62"/>
      <c r="P50" s="69"/>
      <c r="Q50" s="70"/>
      <c r="R50" s="50">
        <f t="shared" si="8"/>
        <v>0</v>
      </c>
      <c r="S50" s="71"/>
      <c r="T50" s="69"/>
      <c r="U50" s="81"/>
      <c r="V50" s="73"/>
      <c r="W50" s="74"/>
      <c r="X50" s="75"/>
      <c r="Y50" s="75"/>
      <c r="Z50" s="76"/>
      <c r="AA50" s="77"/>
      <c r="AB50" s="73"/>
      <c r="AC50" s="74"/>
      <c r="AD50" s="75"/>
      <c r="AE50" s="75"/>
      <c r="AF50" s="75"/>
      <c r="AG50" s="75"/>
      <c r="AH50" s="75"/>
      <c r="AI50" s="75"/>
      <c r="AJ50" s="78"/>
      <c r="AK50" s="79"/>
      <c r="AL50" s="75"/>
      <c r="AM50" s="75"/>
      <c r="AN50" s="75"/>
      <c r="AO50" s="75"/>
      <c r="AP50" s="75"/>
      <c r="AQ50" s="75"/>
      <c r="AR50" s="75"/>
      <c r="AS50" s="77"/>
      <c r="AT50" s="74"/>
      <c r="AU50" s="78"/>
      <c r="AV50" s="79"/>
      <c r="AW50" s="75"/>
      <c r="AX50" s="75"/>
      <c r="AY50" s="75"/>
      <c r="AZ50" s="77"/>
      <c r="BA50" s="74"/>
      <c r="BB50" s="75"/>
      <c r="BC50" s="75"/>
      <c r="BD50" s="77"/>
      <c r="BE50" s="6">
        <f t="shared" si="14"/>
        <v>0</v>
      </c>
    </row>
    <row r="51" spans="1:57">
      <c r="A51" s="61"/>
      <c r="B51" s="40"/>
      <c r="C51" s="62">
        <f t="shared" si="9"/>
        <v>0</v>
      </c>
      <c r="D51" s="63">
        <f t="shared" si="10"/>
        <v>0</v>
      </c>
      <c r="E51" s="63">
        <f t="shared" si="11"/>
        <v>0</v>
      </c>
      <c r="F51" s="63">
        <f t="shared" si="12"/>
        <v>0</v>
      </c>
      <c r="G51" s="63">
        <f t="shared" si="6"/>
        <v>0</v>
      </c>
      <c r="H51" s="63">
        <f t="shared" si="13"/>
        <v>0</v>
      </c>
      <c r="I51" s="64">
        <f t="shared" si="7"/>
        <v>0</v>
      </c>
      <c r="J51" s="65"/>
      <c r="K51" s="65"/>
      <c r="L51" s="83"/>
      <c r="M51" s="67"/>
      <c r="N51" s="68"/>
      <c r="O51" s="62"/>
      <c r="P51" s="69"/>
      <c r="Q51" s="70"/>
      <c r="R51" s="50">
        <f t="shared" si="8"/>
        <v>0</v>
      </c>
      <c r="S51" s="71"/>
      <c r="T51" s="69"/>
      <c r="U51" s="72"/>
      <c r="V51" s="73"/>
      <c r="W51" s="74"/>
      <c r="X51" s="75"/>
      <c r="Y51" s="75"/>
      <c r="Z51" s="76"/>
      <c r="AA51" s="77"/>
      <c r="AB51" s="73"/>
      <c r="AC51" s="74"/>
      <c r="AD51" s="75"/>
      <c r="AE51" s="75"/>
      <c r="AF51" s="75"/>
      <c r="AG51" s="75"/>
      <c r="AH51" s="75"/>
      <c r="AI51" s="75"/>
      <c r="AJ51" s="78"/>
      <c r="AK51" s="79"/>
      <c r="AL51" s="75"/>
      <c r="AM51" s="75"/>
      <c r="AN51" s="75"/>
      <c r="AO51" s="75"/>
      <c r="AP51" s="75"/>
      <c r="AQ51" s="75"/>
      <c r="AR51" s="75"/>
      <c r="AS51" s="77"/>
      <c r="AT51" s="74"/>
      <c r="AU51" s="78"/>
      <c r="AV51" s="79"/>
      <c r="AW51" s="75"/>
      <c r="AX51" s="75"/>
      <c r="AY51" s="75"/>
      <c r="AZ51" s="77"/>
      <c r="BA51" s="74"/>
      <c r="BB51" s="75"/>
      <c r="BC51" s="75"/>
      <c r="BD51" s="77"/>
      <c r="BE51" s="6">
        <f t="shared" si="14"/>
        <v>0</v>
      </c>
    </row>
    <row r="52" spans="1:57">
      <c r="A52" s="61"/>
      <c r="B52" s="40"/>
      <c r="C52" s="62">
        <f t="shared" si="9"/>
        <v>0</v>
      </c>
      <c r="D52" s="63">
        <f t="shared" si="10"/>
        <v>0</v>
      </c>
      <c r="E52" s="63">
        <f t="shared" si="11"/>
        <v>0</v>
      </c>
      <c r="F52" s="63">
        <f t="shared" si="12"/>
        <v>0</v>
      </c>
      <c r="G52" s="63">
        <f t="shared" si="6"/>
        <v>0</v>
      </c>
      <c r="H52" s="63">
        <f t="shared" si="13"/>
        <v>0</v>
      </c>
      <c r="I52" s="64">
        <f t="shared" si="7"/>
        <v>0</v>
      </c>
      <c r="J52" s="65"/>
      <c r="K52" s="65"/>
      <c r="L52" s="83"/>
      <c r="M52" s="67"/>
      <c r="N52" s="68"/>
      <c r="O52" s="62"/>
      <c r="P52" s="69"/>
      <c r="Q52" s="70"/>
      <c r="R52" s="50">
        <f t="shared" si="8"/>
        <v>0</v>
      </c>
      <c r="S52" s="71"/>
      <c r="T52" s="69"/>
      <c r="U52" s="81"/>
      <c r="V52" s="73"/>
      <c r="W52" s="74"/>
      <c r="X52" s="75"/>
      <c r="Y52" s="75"/>
      <c r="Z52" s="76"/>
      <c r="AA52" s="77"/>
      <c r="AB52" s="73"/>
      <c r="AC52" s="74"/>
      <c r="AD52" s="75"/>
      <c r="AE52" s="75"/>
      <c r="AF52" s="75"/>
      <c r="AG52" s="75"/>
      <c r="AH52" s="75"/>
      <c r="AI52" s="75"/>
      <c r="AJ52" s="78"/>
      <c r="AK52" s="79"/>
      <c r="AL52" s="75"/>
      <c r="AM52" s="75"/>
      <c r="AN52" s="75"/>
      <c r="AO52" s="75"/>
      <c r="AP52" s="75"/>
      <c r="AQ52" s="75"/>
      <c r="AR52" s="75"/>
      <c r="AS52" s="77"/>
      <c r="AT52" s="74"/>
      <c r="AU52" s="78"/>
      <c r="AV52" s="79"/>
      <c r="AW52" s="75"/>
      <c r="AX52" s="75"/>
      <c r="AY52" s="75"/>
      <c r="AZ52" s="77"/>
      <c r="BA52" s="74"/>
      <c r="BB52" s="75"/>
      <c r="BC52" s="75"/>
      <c r="BD52" s="77"/>
      <c r="BE52" s="6">
        <f t="shared" si="14"/>
        <v>0</v>
      </c>
    </row>
    <row r="53" spans="1:57">
      <c r="A53" s="61"/>
      <c r="B53" s="40"/>
      <c r="C53" s="62">
        <f t="shared" si="9"/>
        <v>0</v>
      </c>
      <c r="D53" s="63">
        <f t="shared" si="10"/>
        <v>0</v>
      </c>
      <c r="E53" s="63">
        <f t="shared" si="11"/>
        <v>0</v>
      </c>
      <c r="F53" s="63">
        <f t="shared" si="12"/>
        <v>0</v>
      </c>
      <c r="G53" s="63">
        <f t="shared" si="6"/>
        <v>0</v>
      </c>
      <c r="H53" s="63">
        <f t="shared" si="13"/>
        <v>0</v>
      </c>
      <c r="I53" s="64">
        <f t="shared" si="7"/>
        <v>0</v>
      </c>
      <c r="J53" s="65"/>
      <c r="K53" s="65"/>
      <c r="L53" s="83"/>
      <c r="M53" s="67"/>
      <c r="N53" s="68"/>
      <c r="O53" s="62"/>
      <c r="P53" s="69"/>
      <c r="Q53" s="70"/>
      <c r="R53" s="50">
        <f t="shared" si="8"/>
        <v>0</v>
      </c>
      <c r="S53" s="71"/>
      <c r="T53" s="69"/>
      <c r="U53" s="72"/>
      <c r="V53" s="73"/>
      <c r="W53" s="74"/>
      <c r="X53" s="75"/>
      <c r="Y53" s="75"/>
      <c r="Z53" s="76"/>
      <c r="AA53" s="77"/>
      <c r="AB53" s="73"/>
      <c r="AC53" s="74"/>
      <c r="AD53" s="75"/>
      <c r="AE53" s="75"/>
      <c r="AF53" s="75"/>
      <c r="AG53" s="75"/>
      <c r="AH53" s="75"/>
      <c r="AI53" s="75"/>
      <c r="AJ53" s="78"/>
      <c r="AK53" s="79"/>
      <c r="AL53" s="75"/>
      <c r="AM53" s="75"/>
      <c r="AN53" s="75"/>
      <c r="AO53" s="75"/>
      <c r="AP53" s="75"/>
      <c r="AQ53" s="75"/>
      <c r="AR53" s="75"/>
      <c r="AS53" s="77"/>
      <c r="AT53" s="74"/>
      <c r="AU53" s="78"/>
      <c r="AV53" s="79"/>
      <c r="AW53" s="75"/>
      <c r="AX53" s="75"/>
      <c r="AY53" s="75"/>
      <c r="AZ53" s="77"/>
      <c r="BA53" s="74"/>
      <c r="BB53" s="75"/>
      <c r="BC53" s="75"/>
      <c r="BD53" s="77"/>
      <c r="BE53" s="6">
        <f t="shared" si="14"/>
        <v>0</v>
      </c>
    </row>
    <row r="54" spans="1:57">
      <c r="A54" s="61"/>
      <c r="B54" s="40"/>
      <c r="C54" s="62">
        <f t="shared" si="9"/>
        <v>0</v>
      </c>
      <c r="D54" s="63">
        <f t="shared" si="10"/>
        <v>0</v>
      </c>
      <c r="E54" s="63">
        <f t="shared" si="11"/>
        <v>0</v>
      </c>
      <c r="F54" s="63">
        <f t="shared" si="12"/>
        <v>0</v>
      </c>
      <c r="G54" s="63">
        <f t="shared" si="6"/>
        <v>0</v>
      </c>
      <c r="H54" s="63">
        <f t="shared" si="13"/>
        <v>0</v>
      </c>
      <c r="I54" s="64">
        <f t="shared" si="7"/>
        <v>0</v>
      </c>
      <c r="J54" s="65"/>
      <c r="K54" s="65"/>
      <c r="L54" s="83"/>
      <c r="M54" s="67"/>
      <c r="N54" s="68"/>
      <c r="O54" s="62"/>
      <c r="P54" s="69"/>
      <c r="Q54" s="70"/>
      <c r="R54" s="50">
        <f t="shared" si="8"/>
        <v>0</v>
      </c>
      <c r="S54" s="71"/>
      <c r="T54" s="69"/>
      <c r="U54" s="72"/>
      <c r="V54" s="73"/>
      <c r="W54" s="74"/>
      <c r="X54" s="75"/>
      <c r="Y54" s="75"/>
      <c r="Z54" s="76"/>
      <c r="AA54" s="77"/>
      <c r="AB54" s="73"/>
      <c r="AC54" s="74"/>
      <c r="AD54" s="75"/>
      <c r="AE54" s="75"/>
      <c r="AF54" s="75"/>
      <c r="AG54" s="75"/>
      <c r="AH54" s="75"/>
      <c r="AI54" s="75"/>
      <c r="AJ54" s="78"/>
      <c r="AK54" s="79"/>
      <c r="AL54" s="75"/>
      <c r="AM54" s="75"/>
      <c r="AN54" s="75"/>
      <c r="AO54" s="75"/>
      <c r="AP54" s="75"/>
      <c r="AQ54" s="75"/>
      <c r="AR54" s="75"/>
      <c r="AS54" s="77"/>
      <c r="AT54" s="74"/>
      <c r="AU54" s="78"/>
      <c r="AV54" s="79"/>
      <c r="AW54" s="75"/>
      <c r="AX54" s="75"/>
      <c r="AY54" s="75"/>
      <c r="AZ54" s="77"/>
      <c r="BA54" s="74"/>
      <c r="BB54" s="75"/>
      <c r="BC54" s="75"/>
      <c r="BD54" s="77"/>
      <c r="BE54" s="6">
        <f t="shared" si="14"/>
        <v>0</v>
      </c>
    </row>
    <row r="55" spans="1:57">
      <c r="A55" s="61"/>
      <c r="B55" s="40"/>
      <c r="C55" s="62">
        <f t="shared" si="9"/>
        <v>0</v>
      </c>
      <c r="D55" s="63">
        <f t="shared" si="10"/>
        <v>0</v>
      </c>
      <c r="E55" s="63">
        <f t="shared" si="11"/>
        <v>0</v>
      </c>
      <c r="F55" s="63">
        <f t="shared" si="12"/>
        <v>0</v>
      </c>
      <c r="G55" s="63">
        <f t="shared" si="6"/>
        <v>0</v>
      </c>
      <c r="H55" s="63">
        <f t="shared" si="13"/>
        <v>0</v>
      </c>
      <c r="I55" s="64">
        <f t="shared" si="7"/>
        <v>0</v>
      </c>
      <c r="J55" s="65"/>
      <c r="K55" s="65"/>
      <c r="L55" s="83"/>
      <c r="M55" s="67"/>
      <c r="N55" s="68"/>
      <c r="O55" s="62"/>
      <c r="P55" s="69"/>
      <c r="Q55" s="70"/>
      <c r="R55" s="50">
        <f t="shared" si="8"/>
        <v>0</v>
      </c>
      <c r="S55" s="71"/>
      <c r="T55" s="69"/>
      <c r="U55" s="72"/>
      <c r="V55" s="73"/>
      <c r="W55" s="74"/>
      <c r="X55" s="75"/>
      <c r="Y55" s="75"/>
      <c r="Z55" s="76"/>
      <c r="AA55" s="77"/>
      <c r="AB55" s="73"/>
      <c r="AC55" s="74"/>
      <c r="AD55" s="75"/>
      <c r="AE55" s="75"/>
      <c r="AF55" s="75"/>
      <c r="AG55" s="75"/>
      <c r="AH55" s="75"/>
      <c r="AI55" s="75"/>
      <c r="AJ55" s="78"/>
      <c r="AK55" s="79"/>
      <c r="AL55" s="75"/>
      <c r="AM55" s="75"/>
      <c r="AN55" s="75"/>
      <c r="AO55" s="75"/>
      <c r="AP55" s="75"/>
      <c r="AQ55" s="75"/>
      <c r="AR55" s="75"/>
      <c r="AS55" s="77"/>
      <c r="AT55" s="74"/>
      <c r="AU55" s="78"/>
      <c r="AV55" s="79"/>
      <c r="AW55" s="75"/>
      <c r="AX55" s="75"/>
      <c r="AY55" s="75"/>
      <c r="AZ55" s="77"/>
      <c r="BA55" s="74"/>
      <c r="BB55" s="75"/>
      <c r="BC55" s="75"/>
      <c r="BD55" s="77"/>
      <c r="BE55" s="6">
        <f t="shared" si="14"/>
        <v>0</v>
      </c>
    </row>
    <row r="56" spans="1:57">
      <c r="A56" s="61"/>
      <c r="B56" s="40"/>
      <c r="C56" s="62">
        <f t="shared" si="9"/>
        <v>0</v>
      </c>
      <c r="D56" s="63">
        <f t="shared" si="10"/>
        <v>0</v>
      </c>
      <c r="E56" s="63">
        <f t="shared" si="11"/>
        <v>0</v>
      </c>
      <c r="F56" s="63">
        <f t="shared" si="12"/>
        <v>0</v>
      </c>
      <c r="G56" s="63">
        <f t="shared" si="6"/>
        <v>0</v>
      </c>
      <c r="H56" s="63">
        <f t="shared" si="13"/>
        <v>0</v>
      </c>
      <c r="I56" s="64">
        <f t="shared" si="7"/>
        <v>0</v>
      </c>
      <c r="J56" s="65"/>
      <c r="K56" s="65"/>
      <c r="L56" s="83"/>
      <c r="M56" s="67"/>
      <c r="N56" s="68"/>
      <c r="O56" s="62"/>
      <c r="P56" s="69"/>
      <c r="Q56" s="70"/>
      <c r="R56" s="50">
        <f t="shared" si="8"/>
        <v>0</v>
      </c>
      <c r="S56" s="71"/>
      <c r="T56" s="69"/>
      <c r="U56" s="72"/>
      <c r="V56" s="73"/>
      <c r="W56" s="74"/>
      <c r="X56" s="75"/>
      <c r="Y56" s="75"/>
      <c r="Z56" s="76"/>
      <c r="AA56" s="77"/>
      <c r="AB56" s="87"/>
      <c r="AC56" s="88"/>
      <c r="AD56" s="89"/>
      <c r="AE56" s="89"/>
      <c r="AF56" s="89"/>
      <c r="AG56" s="89"/>
      <c r="AH56" s="89"/>
      <c r="AI56" s="89"/>
      <c r="AJ56" s="90"/>
      <c r="AK56" s="79"/>
      <c r="AL56" s="75"/>
      <c r="AM56" s="75"/>
      <c r="AN56" s="75"/>
      <c r="AO56" s="75"/>
      <c r="AP56" s="75"/>
      <c r="AQ56" s="75"/>
      <c r="AR56" s="75"/>
      <c r="AS56" s="77"/>
      <c r="AT56" s="74"/>
      <c r="AU56" s="78"/>
      <c r="AV56" s="79"/>
      <c r="AW56" s="75"/>
      <c r="AX56" s="75"/>
      <c r="AY56" s="75"/>
      <c r="AZ56" s="77"/>
      <c r="BA56" s="74"/>
      <c r="BB56" s="75"/>
      <c r="BC56" s="75"/>
      <c r="BD56" s="77"/>
      <c r="BE56" s="6">
        <f t="shared" si="14"/>
        <v>0</v>
      </c>
    </row>
    <row r="57" spans="1:57">
      <c r="A57" s="61"/>
      <c r="B57" s="40"/>
      <c r="C57" s="62">
        <f t="shared" si="9"/>
        <v>0</v>
      </c>
      <c r="D57" s="63">
        <f t="shared" si="10"/>
        <v>0</v>
      </c>
      <c r="E57" s="63">
        <f t="shared" si="11"/>
        <v>0</v>
      </c>
      <c r="F57" s="63">
        <f t="shared" si="12"/>
        <v>0</v>
      </c>
      <c r="G57" s="63">
        <f t="shared" si="6"/>
        <v>0</v>
      </c>
      <c r="H57" s="63">
        <f t="shared" si="13"/>
        <v>0</v>
      </c>
      <c r="I57" s="64">
        <f t="shared" si="7"/>
        <v>0</v>
      </c>
      <c r="J57" s="65"/>
      <c r="K57" s="65"/>
      <c r="L57" s="83"/>
      <c r="M57" s="67"/>
      <c r="N57" s="68"/>
      <c r="O57" s="62"/>
      <c r="P57" s="69"/>
      <c r="Q57" s="70"/>
      <c r="R57" s="50">
        <f t="shared" si="8"/>
        <v>0</v>
      </c>
      <c r="S57" s="71"/>
      <c r="T57" s="94"/>
      <c r="U57" s="72"/>
      <c r="V57" s="73"/>
      <c r="W57" s="74"/>
      <c r="X57" s="75"/>
      <c r="Y57" s="75"/>
      <c r="Z57" s="76"/>
      <c r="AA57" s="77"/>
      <c r="AB57" s="73"/>
      <c r="AC57" s="74"/>
      <c r="AD57" s="75"/>
      <c r="AE57" s="75"/>
      <c r="AF57" s="75"/>
      <c r="AG57" s="75"/>
      <c r="AH57" s="75"/>
      <c r="AI57" s="75"/>
      <c r="AJ57" s="78"/>
      <c r="AK57" s="79"/>
      <c r="AL57" s="75"/>
      <c r="AM57" s="75"/>
      <c r="AN57" s="75"/>
      <c r="AO57" s="75"/>
      <c r="AP57" s="75"/>
      <c r="AQ57" s="75"/>
      <c r="AR57" s="75"/>
      <c r="AS57" s="77"/>
      <c r="AT57" s="74"/>
      <c r="AU57" s="78"/>
      <c r="AV57" s="79"/>
      <c r="AW57" s="75"/>
      <c r="AX57" s="75"/>
      <c r="AY57" s="75"/>
      <c r="AZ57" s="77"/>
      <c r="BA57" s="74"/>
      <c r="BB57" s="75"/>
      <c r="BC57" s="75"/>
      <c r="BD57" s="77"/>
      <c r="BE57" s="6">
        <f t="shared" si="14"/>
        <v>0</v>
      </c>
    </row>
    <row r="58" spans="1:57">
      <c r="A58" s="61"/>
      <c r="B58" s="40"/>
      <c r="C58" s="62">
        <f t="shared" si="9"/>
        <v>0</v>
      </c>
      <c r="D58" s="63">
        <f t="shared" si="10"/>
        <v>0</v>
      </c>
      <c r="E58" s="63">
        <f t="shared" si="11"/>
        <v>0</v>
      </c>
      <c r="F58" s="63">
        <f t="shared" si="12"/>
        <v>0</v>
      </c>
      <c r="G58" s="63">
        <f t="shared" si="6"/>
        <v>0</v>
      </c>
      <c r="H58" s="63">
        <f t="shared" si="13"/>
        <v>0</v>
      </c>
      <c r="I58" s="64">
        <f t="shared" si="7"/>
        <v>0</v>
      </c>
      <c r="J58" s="65"/>
      <c r="K58" s="65"/>
      <c r="L58" s="83"/>
      <c r="M58" s="67"/>
      <c r="N58" s="68"/>
      <c r="O58" s="62"/>
      <c r="P58" s="69"/>
      <c r="Q58" s="70"/>
      <c r="R58" s="50">
        <f t="shared" si="8"/>
        <v>0</v>
      </c>
      <c r="S58" s="71"/>
      <c r="T58" s="85"/>
      <c r="U58" s="72"/>
      <c r="V58" s="73"/>
      <c r="W58" s="74"/>
      <c r="X58" s="75"/>
      <c r="Y58" s="75"/>
      <c r="Z58" s="76"/>
      <c r="AA58" s="77"/>
      <c r="AB58" s="87"/>
      <c r="AC58" s="88"/>
      <c r="AD58" s="89"/>
      <c r="AE58" s="89"/>
      <c r="AF58" s="89"/>
      <c r="AG58" s="89"/>
      <c r="AH58" s="89"/>
      <c r="AI58" s="89"/>
      <c r="AJ58" s="90"/>
      <c r="AK58" s="79"/>
      <c r="AL58" s="75"/>
      <c r="AM58" s="75"/>
      <c r="AN58" s="75"/>
      <c r="AO58" s="75"/>
      <c r="AP58" s="75"/>
      <c r="AQ58" s="75"/>
      <c r="AR58" s="75"/>
      <c r="AS58" s="77"/>
      <c r="AT58" s="74"/>
      <c r="AU58" s="78"/>
      <c r="AV58" s="79"/>
      <c r="AW58" s="75"/>
      <c r="AX58" s="75"/>
      <c r="AY58" s="75"/>
      <c r="AZ58" s="77"/>
      <c r="BA58" s="74"/>
      <c r="BB58" s="75"/>
      <c r="BC58" s="75"/>
      <c r="BD58" s="77"/>
      <c r="BE58" s="6">
        <f t="shared" si="14"/>
        <v>0</v>
      </c>
    </row>
    <row r="59" spans="1:57">
      <c r="A59" s="61"/>
      <c r="B59" s="40"/>
      <c r="C59" s="62">
        <f t="shared" si="9"/>
        <v>0</v>
      </c>
      <c r="D59" s="63">
        <f t="shared" si="10"/>
        <v>0</v>
      </c>
      <c r="E59" s="63">
        <f t="shared" si="11"/>
        <v>0</v>
      </c>
      <c r="F59" s="63">
        <f t="shared" si="12"/>
        <v>0</v>
      </c>
      <c r="G59" s="63">
        <f t="shared" si="6"/>
        <v>0</v>
      </c>
      <c r="H59" s="63">
        <f t="shared" si="13"/>
        <v>0</v>
      </c>
      <c r="I59" s="64">
        <f t="shared" si="7"/>
        <v>0</v>
      </c>
      <c r="J59" s="65"/>
      <c r="K59" s="65"/>
      <c r="L59" s="83"/>
      <c r="M59" s="67"/>
      <c r="N59" s="68"/>
      <c r="O59" s="62"/>
      <c r="P59" s="69"/>
      <c r="Q59" s="70"/>
      <c r="R59" s="50">
        <f t="shared" si="8"/>
        <v>0</v>
      </c>
      <c r="S59" s="71"/>
      <c r="T59" s="94"/>
      <c r="U59" s="72"/>
      <c r="V59" s="73"/>
      <c r="W59" s="74"/>
      <c r="X59" s="75"/>
      <c r="Y59" s="75"/>
      <c r="Z59" s="76"/>
      <c r="AA59" s="77"/>
      <c r="AB59" s="74"/>
      <c r="AC59" s="74"/>
      <c r="AD59" s="75"/>
      <c r="AE59" s="75"/>
      <c r="AF59" s="75"/>
      <c r="AG59" s="75"/>
      <c r="AH59" s="75"/>
      <c r="AI59" s="75"/>
      <c r="AJ59" s="78"/>
      <c r="AK59" s="79"/>
      <c r="AL59" s="75"/>
      <c r="AM59" s="75"/>
      <c r="AN59" s="75"/>
      <c r="AO59" s="75"/>
      <c r="AP59" s="75"/>
      <c r="AQ59" s="75"/>
      <c r="AR59" s="75"/>
      <c r="AS59" s="77"/>
      <c r="AT59" s="74"/>
      <c r="AU59" s="78"/>
      <c r="AV59" s="79"/>
      <c r="AW59" s="75"/>
      <c r="AX59" s="75"/>
      <c r="AY59" s="75"/>
      <c r="AZ59" s="77"/>
      <c r="BA59" s="74"/>
      <c r="BB59" s="75"/>
      <c r="BC59" s="75"/>
      <c r="BD59" s="77"/>
      <c r="BE59" s="6">
        <f t="shared" si="14"/>
        <v>0</v>
      </c>
    </row>
    <row r="60" spans="1:57" ht="15" customHeight="1">
      <c r="A60" s="61"/>
      <c r="B60" s="40"/>
      <c r="C60" s="62">
        <f t="shared" si="9"/>
        <v>0</v>
      </c>
      <c r="D60" s="63">
        <f t="shared" si="10"/>
        <v>0</v>
      </c>
      <c r="E60" s="63">
        <f t="shared" si="11"/>
        <v>0</v>
      </c>
      <c r="F60" s="63">
        <f t="shared" si="12"/>
        <v>0</v>
      </c>
      <c r="G60" s="63">
        <f t="shared" si="6"/>
        <v>0</v>
      </c>
      <c r="H60" s="63">
        <f t="shared" si="13"/>
        <v>0</v>
      </c>
      <c r="I60" s="64">
        <f t="shared" si="7"/>
        <v>0</v>
      </c>
      <c r="J60" s="65"/>
      <c r="K60" s="65"/>
      <c r="L60" s="83"/>
      <c r="M60" s="67"/>
      <c r="N60" s="68"/>
      <c r="O60" s="62"/>
      <c r="P60" s="69"/>
      <c r="Q60" s="70"/>
      <c r="R60" s="50">
        <f t="shared" si="8"/>
        <v>0</v>
      </c>
      <c r="S60" s="71"/>
      <c r="T60" s="94"/>
      <c r="U60" s="72"/>
      <c r="V60" s="73"/>
      <c r="W60" s="74"/>
      <c r="X60" s="75"/>
      <c r="Y60" s="75"/>
      <c r="Z60" s="76"/>
      <c r="AA60" s="77"/>
      <c r="AB60" s="74"/>
      <c r="AC60" s="74"/>
      <c r="AD60" s="75"/>
      <c r="AE60" s="75"/>
      <c r="AF60" s="75"/>
      <c r="AG60" s="75"/>
      <c r="AH60" s="75"/>
      <c r="AI60" s="75"/>
      <c r="AJ60" s="78"/>
      <c r="AK60" s="79"/>
      <c r="AL60" s="75"/>
      <c r="AM60" s="75"/>
      <c r="AN60" s="75"/>
      <c r="AO60" s="75"/>
      <c r="AP60" s="75"/>
      <c r="AQ60" s="75"/>
      <c r="AR60" s="75"/>
      <c r="AS60" s="77"/>
      <c r="AT60" s="74"/>
      <c r="AU60" s="78"/>
      <c r="AV60" s="79"/>
      <c r="AW60" s="75"/>
      <c r="AX60" s="75"/>
      <c r="AY60" s="75"/>
      <c r="AZ60" s="77"/>
      <c r="BA60" s="74"/>
      <c r="BB60" s="75"/>
      <c r="BC60" s="75"/>
      <c r="BD60" s="77"/>
      <c r="BE60" s="6">
        <f t="shared" si="14"/>
        <v>0</v>
      </c>
    </row>
    <row r="61" spans="1:57">
      <c r="A61" s="61"/>
      <c r="B61" s="40"/>
      <c r="C61" s="62">
        <f t="shared" si="9"/>
        <v>0</v>
      </c>
      <c r="D61" s="63">
        <f t="shared" si="10"/>
        <v>0</v>
      </c>
      <c r="E61" s="63">
        <f t="shared" si="11"/>
        <v>0</v>
      </c>
      <c r="F61" s="63">
        <f t="shared" si="12"/>
        <v>0</v>
      </c>
      <c r="G61" s="63">
        <f t="shared" si="6"/>
        <v>0</v>
      </c>
      <c r="H61" s="63">
        <f t="shared" si="13"/>
        <v>0</v>
      </c>
      <c r="I61" s="64">
        <f t="shared" si="7"/>
        <v>0</v>
      </c>
      <c r="J61" s="65"/>
      <c r="K61" s="65"/>
      <c r="L61" s="83"/>
      <c r="M61" s="67"/>
      <c r="N61" s="68"/>
      <c r="O61" s="62"/>
      <c r="P61" s="69"/>
      <c r="Q61" s="70"/>
      <c r="R61" s="50">
        <f t="shared" si="8"/>
        <v>0</v>
      </c>
      <c r="S61" s="71"/>
      <c r="T61" s="94"/>
      <c r="U61" s="72"/>
      <c r="V61" s="73"/>
      <c r="W61" s="74"/>
      <c r="X61" s="75"/>
      <c r="Y61" s="75"/>
      <c r="Z61" s="76"/>
      <c r="AA61" s="77"/>
      <c r="AB61" s="74"/>
      <c r="AC61" s="74"/>
      <c r="AD61" s="75"/>
      <c r="AE61" s="75"/>
      <c r="AF61" s="75"/>
      <c r="AG61" s="75"/>
      <c r="AH61" s="75"/>
      <c r="AI61" s="75"/>
      <c r="AJ61" s="78"/>
      <c r="AK61" s="79"/>
      <c r="AL61" s="75"/>
      <c r="AM61" s="75"/>
      <c r="AN61" s="75"/>
      <c r="AO61" s="75"/>
      <c r="AP61" s="75"/>
      <c r="AQ61" s="75"/>
      <c r="AR61" s="75"/>
      <c r="AS61" s="77"/>
      <c r="AT61" s="74"/>
      <c r="AU61" s="78"/>
      <c r="AV61" s="79"/>
      <c r="AW61" s="75"/>
      <c r="AX61" s="75"/>
      <c r="AY61" s="75"/>
      <c r="AZ61" s="77"/>
      <c r="BA61" s="74"/>
      <c r="BB61" s="75"/>
      <c r="BC61" s="75"/>
      <c r="BD61" s="77"/>
      <c r="BE61" s="6">
        <f t="shared" si="14"/>
        <v>0</v>
      </c>
    </row>
    <row r="62" spans="1:57">
      <c r="A62" s="61"/>
      <c r="B62" s="40"/>
      <c r="C62" s="62">
        <f t="shared" si="9"/>
        <v>0</v>
      </c>
      <c r="D62" s="63">
        <f t="shared" si="10"/>
        <v>0</v>
      </c>
      <c r="E62" s="63">
        <f t="shared" si="11"/>
        <v>0</v>
      </c>
      <c r="F62" s="63">
        <f t="shared" si="12"/>
        <v>0</v>
      </c>
      <c r="G62" s="63">
        <f t="shared" si="6"/>
        <v>0</v>
      </c>
      <c r="H62" s="63">
        <f t="shared" si="13"/>
        <v>0</v>
      </c>
      <c r="I62" s="64">
        <f t="shared" si="7"/>
        <v>0</v>
      </c>
      <c r="J62" s="65"/>
      <c r="K62" s="65"/>
      <c r="L62" s="83"/>
      <c r="M62" s="67"/>
      <c r="N62" s="68"/>
      <c r="O62" s="62"/>
      <c r="P62" s="69"/>
      <c r="Q62" s="70"/>
      <c r="R62" s="50">
        <f t="shared" si="8"/>
        <v>0</v>
      </c>
      <c r="S62" s="71"/>
      <c r="T62" s="69"/>
      <c r="U62" s="72"/>
      <c r="V62" s="73"/>
      <c r="W62" s="74"/>
      <c r="X62" s="75"/>
      <c r="Y62" s="75"/>
      <c r="Z62" s="76"/>
      <c r="AA62" s="77"/>
      <c r="AB62" s="106"/>
      <c r="AC62" s="106"/>
      <c r="AD62" s="89"/>
      <c r="AE62" s="89"/>
      <c r="AF62" s="89"/>
      <c r="AG62" s="89"/>
      <c r="AH62" s="89"/>
      <c r="AI62" s="89"/>
      <c r="AJ62" s="90"/>
      <c r="AK62" s="79"/>
      <c r="AL62" s="75"/>
      <c r="AM62" s="75"/>
      <c r="AN62" s="75"/>
      <c r="AO62" s="75"/>
      <c r="AP62" s="75"/>
      <c r="AQ62" s="75"/>
      <c r="AR62" s="75"/>
      <c r="AS62" s="77"/>
      <c r="AT62" s="74"/>
      <c r="AU62" s="78"/>
      <c r="AV62" s="79"/>
      <c r="AW62" s="75"/>
      <c r="AX62" s="75"/>
      <c r="AY62" s="75"/>
      <c r="AZ62" s="77"/>
      <c r="BA62" s="74"/>
      <c r="BB62" s="75"/>
      <c r="BC62" s="75"/>
      <c r="BD62" s="77"/>
      <c r="BE62" s="6">
        <f t="shared" si="14"/>
        <v>0</v>
      </c>
    </row>
    <row r="63" spans="1:57">
      <c r="A63" s="61"/>
      <c r="B63" s="40"/>
      <c r="C63" s="62">
        <f t="shared" si="9"/>
        <v>0</v>
      </c>
      <c r="D63" s="63">
        <f t="shared" si="10"/>
        <v>0</v>
      </c>
      <c r="E63" s="63">
        <f t="shared" si="11"/>
        <v>0</v>
      </c>
      <c r="F63" s="63">
        <f t="shared" si="12"/>
        <v>0</v>
      </c>
      <c r="G63" s="63">
        <f t="shared" si="6"/>
        <v>0</v>
      </c>
      <c r="H63" s="63">
        <f t="shared" si="13"/>
        <v>0</v>
      </c>
      <c r="I63" s="64">
        <f t="shared" si="7"/>
        <v>0</v>
      </c>
      <c r="J63" s="65"/>
      <c r="K63" s="65"/>
      <c r="L63" s="83"/>
      <c r="M63" s="67"/>
      <c r="N63" s="68"/>
      <c r="O63" s="62"/>
      <c r="P63" s="69"/>
      <c r="Q63" s="70"/>
      <c r="R63" s="50">
        <f t="shared" si="8"/>
        <v>0</v>
      </c>
      <c r="S63" s="71"/>
      <c r="T63" s="69"/>
      <c r="U63" s="72"/>
      <c r="V63" s="73"/>
      <c r="W63" s="74"/>
      <c r="X63" s="75"/>
      <c r="Y63" s="75"/>
      <c r="Z63" s="76"/>
      <c r="AA63" s="77"/>
      <c r="AB63" s="74"/>
      <c r="AC63" s="74"/>
      <c r="AD63" s="75"/>
      <c r="AE63" s="75"/>
      <c r="AF63" s="75"/>
      <c r="AG63" s="75"/>
      <c r="AH63" s="75"/>
      <c r="AI63" s="75"/>
      <c r="AJ63" s="78"/>
      <c r="AK63" s="79"/>
      <c r="AL63" s="75"/>
      <c r="AM63" s="75"/>
      <c r="AN63" s="75"/>
      <c r="AO63" s="75"/>
      <c r="AP63" s="75"/>
      <c r="AQ63" s="75"/>
      <c r="AR63" s="75"/>
      <c r="AS63" s="77"/>
      <c r="AT63" s="74"/>
      <c r="AU63" s="78"/>
      <c r="AV63" s="79"/>
      <c r="AW63" s="75"/>
      <c r="AX63" s="75"/>
      <c r="AY63" s="75"/>
      <c r="AZ63" s="77"/>
      <c r="BA63" s="74"/>
      <c r="BB63" s="75"/>
      <c r="BC63" s="75"/>
      <c r="BD63" s="77"/>
      <c r="BE63" s="6">
        <f t="shared" si="14"/>
        <v>0</v>
      </c>
    </row>
    <row r="64" spans="1:57">
      <c r="A64" s="61"/>
      <c r="B64" s="40"/>
      <c r="C64" s="62">
        <f t="shared" si="9"/>
        <v>0</v>
      </c>
      <c r="D64" s="63">
        <f t="shared" si="10"/>
        <v>0</v>
      </c>
      <c r="E64" s="63">
        <f t="shared" si="11"/>
        <v>0</v>
      </c>
      <c r="F64" s="63">
        <f t="shared" si="12"/>
        <v>0</v>
      </c>
      <c r="G64" s="63">
        <f t="shared" si="6"/>
        <v>0</v>
      </c>
      <c r="H64" s="63">
        <f t="shared" si="13"/>
        <v>0</v>
      </c>
      <c r="I64" s="64">
        <f t="shared" si="7"/>
        <v>0</v>
      </c>
      <c r="J64" s="65"/>
      <c r="K64" s="65"/>
      <c r="L64" s="83"/>
      <c r="M64" s="67"/>
      <c r="N64" s="68"/>
      <c r="O64" s="62"/>
      <c r="P64" s="69"/>
      <c r="Q64" s="70"/>
      <c r="R64" s="50">
        <f t="shared" si="8"/>
        <v>0</v>
      </c>
      <c r="S64" s="71"/>
      <c r="T64" s="69"/>
      <c r="U64" s="72"/>
      <c r="V64" s="73"/>
      <c r="W64" s="74"/>
      <c r="X64" s="75"/>
      <c r="Y64" s="75"/>
      <c r="Z64" s="76"/>
      <c r="AA64" s="77"/>
      <c r="AB64" s="106"/>
      <c r="AC64" s="106"/>
      <c r="AD64" s="89"/>
      <c r="AE64" s="89"/>
      <c r="AF64" s="89"/>
      <c r="AG64" s="89"/>
      <c r="AH64" s="89"/>
      <c r="AI64" s="89"/>
      <c r="AJ64" s="90"/>
      <c r="AK64" s="79"/>
      <c r="AL64" s="75"/>
      <c r="AM64" s="75"/>
      <c r="AN64" s="75"/>
      <c r="AO64" s="75"/>
      <c r="AP64" s="75"/>
      <c r="AQ64" s="75"/>
      <c r="AR64" s="75"/>
      <c r="AS64" s="77"/>
      <c r="AT64" s="74"/>
      <c r="AU64" s="78"/>
      <c r="AV64" s="79"/>
      <c r="AW64" s="75"/>
      <c r="AX64" s="75"/>
      <c r="AY64" s="75"/>
      <c r="AZ64" s="77"/>
      <c r="BA64" s="74"/>
      <c r="BB64" s="75"/>
      <c r="BC64" s="75"/>
      <c r="BD64" s="77"/>
      <c r="BE64" s="6">
        <f t="shared" si="14"/>
        <v>0</v>
      </c>
    </row>
    <row r="65" spans="1:57">
      <c r="A65" s="61"/>
      <c r="B65" s="40"/>
      <c r="C65" s="62">
        <f t="shared" si="9"/>
        <v>0</v>
      </c>
      <c r="D65" s="63">
        <f t="shared" si="10"/>
        <v>0</v>
      </c>
      <c r="E65" s="63">
        <f t="shared" si="11"/>
        <v>0</v>
      </c>
      <c r="F65" s="63">
        <f t="shared" si="12"/>
        <v>0</v>
      </c>
      <c r="G65" s="63">
        <f t="shared" si="6"/>
        <v>0</v>
      </c>
      <c r="H65" s="63">
        <f t="shared" si="13"/>
        <v>0</v>
      </c>
      <c r="I65" s="64">
        <f t="shared" si="7"/>
        <v>0</v>
      </c>
      <c r="J65" s="65"/>
      <c r="K65" s="65"/>
      <c r="L65" s="83"/>
      <c r="M65" s="67"/>
      <c r="N65" s="68"/>
      <c r="O65" s="62"/>
      <c r="P65" s="69"/>
      <c r="Q65" s="70"/>
      <c r="R65" s="50">
        <f t="shared" si="8"/>
        <v>0</v>
      </c>
      <c r="S65" s="71"/>
      <c r="T65" s="69"/>
      <c r="U65" s="72"/>
      <c r="V65" s="73"/>
      <c r="W65" s="74"/>
      <c r="X65" s="75"/>
      <c r="Y65" s="75"/>
      <c r="Z65" s="76"/>
      <c r="AA65" s="77"/>
      <c r="AB65" s="74"/>
      <c r="AC65" s="74"/>
      <c r="AD65" s="75"/>
      <c r="AE65" s="75"/>
      <c r="AF65" s="75"/>
      <c r="AG65" s="75"/>
      <c r="AH65" s="75"/>
      <c r="AI65" s="75"/>
      <c r="AJ65" s="78"/>
      <c r="AK65" s="79"/>
      <c r="AL65" s="75"/>
      <c r="AM65" s="75"/>
      <c r="AN65" s="75"/>
      <c r="AO65" s="75"/>
      <c r="AP65" s="75"/>
      <c r="AQ65" s="75"/>
      <c r="AR65" s="75"/>
      <c r="AS65" s="77"/>
      <c r="AT65" s="74"/>
      <c r="AU65" s="78"/>
      <c r="AV65" s="79"/>
      <c r="AW65" s="75"/>
      <c r="AX65" s="75"/>
      <c r="AY65" s="75"/>
      <c r="AZ65" s="77"/>
      <c r="BA65" s="74"/>
      <c r="BB65" s="75"/>
      <c r="BC65" s="75"/>
      <c r="BD65" s="77"/>
      <c r="BE65" s="6">
        <f t="shared" si="14"/>
        <v>0</v>
      </c>
    </row>
    <row r="66" spans="1:57">
      <c r="A66" s="61"/>
      <c r="B66" s="40"/>
      <c r="C66" s="62">
        <f t="shared" si="9"/>
        <v>0</v>
      </c>
      <c r="D66" s="63">
        <f t="shared" si="10"/>
        <v>0</v>
      </c>
      <c r="E66" s="63">
        <f t="shared" si="11"/>
        <v>0</v>
      </c>
      <c r="F66" s="63">
        <f t="shared" si="12"/>
        <v>0</v>
      </c>
      <c r="G66" s="63">
        <f t="shared" si="6"/>
        <v>0</v>
      </c>
      <c r="H66" s="63">
        <f t="shared" si="13"/>
        <v>0</v>
      </c>
      <c r="I66" s="64">
        <f t="shared" si="7"/>
        <v>0</v>
      </c>
      <c r="J66" s="65"/>
      <c r="K66" s="65"/>
      <c r="L66" s="83"/>
      <c r="M66" s="67"/>
      <c r="N66" s="68"/>
      <c r="O66" s="62"/>
      <c r="P66" s="69"/>
      <c r="Q66" s="70"/>
      <c r="R66" s="50">
        <f t="shared" si="8"/>
        <v>0</v>
      </c>
      <c r="S66" s="71"/>
      <c r="T66" s="69"/>
      <c r="U66" s="72"/>
      <c r="V66" s="73"/>
      <c r="W66" s="74"/>
      <c r="X66" s="75"/>
      <c r="Y66" s="75"/>
      <c r="Z66" s="76"/>
      <c r="AA66" s="77"/>
      <c r="AB66" s="106"/>
      <c r="AC66" s="106"/>
      <c r="AD66" s="75"/>
      <c r="AE66" s="75"/>
      <c r="AF66" s="75"/>
      <c r="AG66" s="75"/>
      <c r="AH66" s="75"/>
      <c r="AI66" s="75"/>
      <c r="AJ66" s="78"/>
      <c r="AK66" s="79"/>
      <c r="AL66" s="75"/>
      <c r="AM66" s="75"/>
      <c r="AN66" s="75"/>
      <c r="AO66" s="75"/>
      <c r="AP66" s="75"/>
      <c r="AQ66" s="75"/>
      <c r="AR66" s="75"/>
      <c r="AS66" s="77"/>
      <c r="AT66" s="74"/>
      <c r="AU66" s="78"/>
      <c r="AV66" s="79"/>
      <c r="AW66" s="75"/>
      <c r="AX66" s="75"/>
      <c r="AY66" s="75"/>
      <c r="AZ66" s="77"/>
      <c r="BA66" s="74"/>
      <c r="BB66" s="75"/>
      <c r="BC66" s="75"/>
      <c r="BD66" s="77"/>
      <c r="BE66" s="6">
        <f t="shared" si="14"/>
        <v>0</v>
      </c>
    </row>
    <row r="67" spans="1:57">
      <c r="A67" s="61"/>
      <c r="B67" s="40"/>
      <c r="C67" s="62">
        <f t="shared" si="9"/>
        <v>0</v>
      </c>
      <c r="D67" s="63">
        <f t="shared" si="10"/>
        <v>0</v>
      </c>
      <c r="E67" s="63">
        <f t="shared" si="11"/>
        <v>0</v>
      </c>
      <c r="F67" s="63">
        <f t="shared" si="12"/>
        <v>0</v>
      </c>
      <c r="G67" s="63">
        <f t="shared" si="6"/>
        <v>0</v>
      </c>
      <c r="H67" s="63">
        <f t="shared" si="13"/>
        <v>0</v>
      </c>
      <c r="I67" s="64">
        <f t="shared" si="7"/>
        <v>0</v>
      </c>
      <c r="J67" s="65"/>
      <c r="K67" s="65"/>
      <c r="L67" s="83"/>
      <c r="M67" s="67"/>
      <c r="N67" s="68"/>
      <c r="O67" s="62"/>
      <c r="P67" s="69"/>
      <c r="Q67" s="70"/>
      <c r="R67" s="50">
        <f t="shared" si="8"/>
        <v>0</v>
      </c>
      <c r="S67" s="71"/>
      <c r="T67" s="69"/>
      <c r="U67" s="72"/>
      <c r="V67" s="73"/>
      <c r="W67" s="74"/>
      <c r="X67" s="75"/>
      <c r="Y67" s="75"/>
      <c r="Z67" s="76"/>
      <c r="AA67" s="77"/>
      <c r="AB67" s="74"/>
      <c r="AC67" s="74"/>
      <c r="AD67" s="75"/>
      <c r="AE67" s="75"/>
      <c r="AF67" s="75"/>
      <c r="AG67" s="75"/>
      <c r="AH67" s="75"/>
      <c r="AI67" s="75"/>
      <c r="AJ67" s="78"/>
      <c r="AK67" s="79"/>
      <c r="AL67" s="75"/>
      <c r="AM67" s="75"/>
      <c r="AN67" s="75"/>
      <c r="AO67" s="75"/>
      <c r="AP67" s="75"/>
      <c r="AQ67" s="75"/>
      <c r="AR67" s="75"/>
      <c r="AS67" s="77"/>
      <c r="AT67" s="74"/>
      <c r="AU67" s="78"/>
      <c r="AV67" s="79"/>
      <c r="AW67" s="75"/>
      <c r="AX67" s="75"/>
      <c r="AY67" s="75"/>
      <c r="AZ67" s="77"/>
      <c r="BA67" s="74"/>
      <c r="BB67" s="75"/>
      <c r="BC67" s="75"/>
      <c r="BD67" s="77"/>
      <c r="BE67" s="6">
        <f t="shared" si="14"/>
        <v>0</v>
      </c>
    </row>
    <row r="68" spans="1:57">
      <c r="A68" s="61"/>
      <c r="B68" s="40"/>
      <c r="C68" s="62">
        <f t="shared" si="9"/>
        <v>0</v>
      </c>
      <c r="D68" s="63">
        <f t="shared" si="10"/>
        <v>0</v>
      </c>
      <c r="E68" s="63">
        <f t="shared" si="11"/>
        <v>0</v>
      </c>
      <c r="F68" s="63">
        <f t="shared" si="12"/>
        <v>0</v>
      </c>
      <c r="G68" s="63">
        <f t="shared" si="6"/>
        <v>0</v>
      </c>
      <c r="H68" s="63">
        <f t="shared" si="13"/>
        <v>0</v>
      </c>
      <c r="I68" s="64">
        <f t="shared" si="7"/>
        <v>0</v>
      </c>
      <c r="J68" s="65"/>
      <c r="K68" s="65"/>
      <c r="L68" s="83"/>
      <c r="M68" s="67"/>
      <c r="N68" s="68"/>
      <c r="O68" s="62"/>
      <c r="P68" s="69"/>
      <c r="Q68" s="70"/>
      <c r="R68" s="50">
        <f t="shared" si="8"/>
        <v>0</v>
      </c>
      <c r="S68" s="71"/>
      <c r="T68" s="69"/>
      <c r="U68" s="72"/>
      <c r="V68" s="73"/>
      <c r="W68" s="74"/>
      <c r="X68" s="75"/>
      <c r="Y68" s="75"/>
      <c r="Z68" s="76"/>
      <c r="AA68" s="77"/>
      <c r="AB68" s="106"/>
      <c r="AC68" s="106"/>
      <c r="AD68" s="75"/>
      <c r="AE68" s="75"/>
      <c r="AF68" s="75"/>
      <c r="AG68" s="75"/>
      <c r="AH68" s="75"/>
      <c r="AI68" s="75"/>
      <c r="AJ68" s="78"/>
      <c r="AK68" s="79"/>
      <c r="AL68" s="75"/>
      <c r="AM68" s="75"/>
      <c r="AN68" s="75"/>
      <c r="AO68" s="75"/>
      <c r="AP68" s="75"/>
      <c r="AQ68" s="75"/>
      <c r="AR68" s="75"/>
      <c r="AS68" s="77"/>
      <c r="AT68" s="74"/>
      <c r="AU68" s="78"/>
      <c r="AV68" s="79"/>
      <c r="AW68" s="75"/>
      <c r="AX68" s="75"/>
      <c r="AY68" s="75"/>
      <c r="AZ68" s="77"/>
      <c r="BA68" s="74"/>
      <c r="BB68" s="75"/>
      <c r="BC68" s="75"/>
      <c r="BD68" s="77"/>
      <c r="BE68" s="6">
        <f t="shared" si="14"/>
        <v>0</v>
      </c>
    </row>
    <row r="69" spans="1:57">
      <c r="A69" s="61"/>
      <c r="B69" s="40"/>
      <c r="C69" s="62">
        <f t="shared" ref="C69:C100" si="15">SUM(AB69:AJ69)</f>
        <v>0</v>
      </c>
      <c r="D69" s="63">
        <f t="shared" ref="D69:D100" si="16">SUM(AK69:AS69)</f>
        <v>0</v>
      </c>
      <c r="E69" s="63">
        <f t="shared" ref="E69:E100" si="17">SUM(AT69:AU69)</f>
        <v>0</v>
      </c>
      <c r="F69" s="63">
        <f t="shared" ref="F69:F100" si="18">SUM(AV69:AZ69)</f>
        <v>0</v>
      </c>
      <c r="G69" s="63">
        <f t="shared" si="6"/>
        <v>0</v>
      </c>
      <c r="H69" s="63">
        <f t="shared" ref="H69:H100" si="19">SUM(V69:AA69)</f>
        <v>0</v>
      </c>
      <c r="I69" s="64">
        <f t="shared" si="7"/>
        <v>0</v>
      </c>
      <c r="J69" s="65"/>
      <c r="K69" s="65"/>
      <c r="L69" s="83"/>
      <c r="M69" s="67"/>
      <c r="N69" s="68"/>
      <c r="O69" s="62"/>
      <c r="P69" s="69"/>
      <c r="Q69" s="70"/>
      <c r="R69" s="50">
        <f t="shared" si="8"/>
        <v>0</v>
      </c>
      <c r="S69" s="71"/>
      <c r="T69" s="69"/>
      <c r="U69" s="72"/>
      <c r="V69" s="73"/>
      <c r="W69" s="74"/>
      <c r="X69" s="75"/>
      <c r="Y69" s="75"/>
      <c r="Z69" s="76"/>
      <c r="AA69" s="77"/>
      <c r="AB69" s="74"/>
      <c r="AC69" s="74"/>
      <c r="AD69" s="75"/>
      <c r="AE69" s="75"/>
      <c r="AF69" s="75"/>
      <c r="AG69" s="75"/>
      <c r="AH69" s="75"/>
      <c r="AI69" s="75"/>
      <c r="AJ69" s="78"/>
      <c r="AK69" s="79"/>
      <c r="AL69" s="75"/>
      <c r="AM69" s="75"/>
      <c r="AN69" s="75"/>
      <c r="AO69" s="75"/>
      <c r="AP69" s="75"/>
      <c r="AQ69" s="75"/>
      <c r="AR69" s="75"/>
      <c r="AS69" s="77"/>
      <c r="AT69" s="74"/>
      <c r="AU69" s="78"/>
      <c r="AV69" s="79"/>
      <c r="AW69" s="75"/>
      <c r="AX69" s="75"/>
      <c r="AY69" s="75"/>
      <c r="AZ69" s="77"/>
      <c r="BA69" s="74"/>
      <c r="BB69" s="75"/>
      <c r="BC69" s="75"/>
      <c r="BD69" s="77"/>
      <c r="BE69" s="6">
        <f t="shared" si="14"/>
        <v>0</v>
      </c>
    </row>
    <row r="70" spans="1:57">
      <c r="A70" s="61"/>
      <c r="B70" s="40"/>
      <c r="C70" s="62">
        <f t="shared" si="15"/>
        <v>0</v>
      </c>
      <c r="D70" s="63">
        <f t="shared" si="16"/>
        <v>0</v>
      </c>
      <c r="E70" s="63">
        <f t="shared" si="17"/>
        <v>0</v>
      </c>
      <c r="F70" s="63">
        <f t="shared" si="18"/>
        <v>0</v>
      </c>
      <c r="G70" s="63">
        <f t="shared" ref="G70:G113" si="20">SUM(BA70:BD70)</f>
        <v>0</v>
      </c>
      <c r="H70" s="63">
        <f t="shared" si="19"/>
        <v>0</v>
      </c>
      <c r="I70" s="64">
        <f t="shared" ref="I70:I113" si="21">SUM(C70:H70)</f>
        <v>0</v>
      </c>
      <c r="J70" s="65"/>
      <c r="K70" s="65"/>
      <c r="L70" s="91"/>
      <c r="M70" s="67"/>
      <c r="N70" s="68"/>
      <c r="O70" s="62"/>
      <c r="P70" s="69"/>
      <c r="Q70" s="70"/>
      <c r="R70" s="50">
        <f t="shared" ref="R70:R113" si="22">R69+SUM(N70:Q70)-SUM(I70:M70)</f>
        <v>0</v>
      </c>
      <c r="S70" s="71"/>
      <c r="T70" s="69"/>
      <c r="U70" s="72"/>
      <c r="V70" s="73"/>
      <c r="W70" s="74"/>
      <c r="X70" s="75"/>
      <c r="Y70" s="75"/>
      <c r="Z70" s="76"/>
      <c r="AA70" s="77"/>
      <c r="AB70" s="73"/>
      <c r="AC70" s="74"/>
      <c r="AD70" s="75"/>
      <c r="AE70" s="75"/>
      <c r="AF70" s="75"/>
      <c r="AG70" s="75"/>
      <c r="AH70" s="75"/>
      <c r="AI70" s="75"/>
      <c r="AJ70" s="78"/>
      <c r="AK70" s="79"/>
      <c r="AL70" s="75"/>
      <c r="AM70" s="75"/>
      <c r="AN70" s="75"/>
      <c r="AO70" s="75"/>
      <c r="AP70" s="75"/>
      <c r="AQ70" s="75"/>
      <c r="AR70" s="75"/>
      <c r="AS70" s="77"/>
      <c r="AT70" s="74"/>
      <c r="AU70" s="78"/>
      <c r="AV70" s="79"/>
      <c r="AW70" s="75"/>
      <c r="AX70" s="75"/>
      <c r="AY70" s="75"/>
      <c r="AZ70" s="77"/>
      <c r="BA70" s="74"/>
      <c r="BB70" s="75"/>
      <c r="BC70" s="75"/>
      <c r="BD70" s="77"/>
      <c r="BE70" s="6">
        <f t="shared" si="14"/>
        <v>0</v>
      </c>
    </row>
    <row r="71" spans="1:57">
      <c r="A71" s="61"/>
      <c r="B71" s="40"/>
      <c r="C71" s="62">
        <f t="shared" si="15"/>
        <v>0</v>
      </c>
      <c r="D71" s="63">
        <f t="shared" si="16"/>
        <v>0</v>
      </c>
      <c r="E71" s="63">
        <f t="shared" si="17"/>
        <v>0</v>
      </c>
      <c r="F71" s="63">
        <f t="shared" si="18"/>
        <v>0</v>
      </c>
      <c r="G71" s="63">
        <f t="shared" si="20"/>
        <v>0</v>
      </c>
      <c r="H71" s="63">
        <f t="shared" si="19"/>
        <v>0</v>
      </c>
      <c r="I71" s="64">
        <f t="shared" si="21"/>
        <v>0</v>
      </c>
      <c r="J71" s="65"/>
      <c r="K71" s="65"/>
      <c r="L71" s="83"/>
      <c r="M71" s="67"/>
      <c r="N71" s="68"/>
      <c r="O71" s="62"/>
      <c r="P71" s="69"/>
      <c r="Q71" s="70"/>
      <c r="R71" s="50">
        <f t="shared" si="22"/>
        <v>0</v>
      </c>
      <c r="S71" s="71"/>
      <c r="T71" s="69"/>
      <c r="U71" s="72"/>
      <c r="V71" s="73"/>
      <c r="W71" s="74"/>
      <c r="X71" s="75"/>
      <c r="Y71" s="75"/>
      <c r="Z71" s="76"/>
      <c r="AA71" s="77"/>
      <c r="AB71" s="73"/>
      <c r="AC71" s="74"/>
      <c r="AD71" s="75"/>
      <c r="AE71" s="75"/>
      <c r="AF71" s="75"/>
      <c r="AG71" s="75"/>
      <c r="AH71" s="75"/>
      <c r="AI71" s="75"/>
      <c r="AJ71" s="78"/>
      <c r="AK71" s="79"/>
      <c r="AL71" s="75"/>
      <c r="AM71" s="75"/>
      <c r="AN71" s="75"/>
      <c r="AO71" s="75"/>
      <c r="AP71" s="75"/>
      <c r="AQ71" s="75"/>
      <c r="AR71" s="75"/>
      <c r="AS71" s="77"/>
      <c r="AT71" s="74"/>
      <c r="AU71" s="78"/>
      <c r="AV71" s="79"/>
      <c r="AW71" s="75"/>
      <c r="AX71" s="75"/>
      <c r="AY71" s="75"/>
      <c r="AZ71" s="77"/>
      <c r="BA71" s="74"/>
      <c r="BB71" s="75"/>
      <c r="BC71" s="75"/>
      <c r="BD71" s="77"/>
      <c r="BE71" s="6">
        <f t="shared" si="14"/>
        <v>0</v>
      </c>
    </row>
    <row r="72" spans="1:57">
      <c r="A72" s="61"/>
      <c r="B72" s="40"/>
      <c r="C72" s="62">
        <f t="shared" si="15"/>
        <v>0</v>
      </c>
      <c r="D72" s="63">
        <f t="shared" si="16"/>
        <v>0</v>
      </c>
      <c r="E72" s="63">
        <f t="shared" si="17"/>
        <v>0</v>
      </c>
      <c r="F72" s="63">
        <f t="shared" si="18"/>
        <v>0</v>
      </c>
      <c r="G72" s="63">
        <f t="shared" si="20"/>
        <v>0</v>
      </c>
      <c r="H72" s="63">
        <f t="shared" si="19"/>
        <v>0</v>
      </c>
      <c r="I72" s="64">
        <f t="shared" si="21"/>
        <v>0</v>
      </c>
      <c r="J72" s="65"/>
      <c r="K72" s="65"/>
      <c r="L72" s="83"/>
      <c r="M72" s="67"/>
      <c r="N72" s="68"/>
      <c r="O72" s="62"/>
      <c r="P72" s="69"/>
      <c r="Q72" s="70"/>
      <c r="R72" s="50">
        <f t="shared" si="22"/>
        <v>0</v>
      </c>
      <c r="S72" s="71"/>
      <c r="T72" s="69"/>
      <c r="U72" s="72"/>
      <c r="V72" s="73"/>
      <c r="W72" s="74"/>
      <c r="X72" s="75"/>
      <c r="Y72" s="75"/>
      <c r="Z72" s="76"/>
      <c r="AA72" s="77"/>
      <c r="AB72" s="73"/>
      <c r="AC72" s="74"/>
      <c r="AD72" s="75"/>
      <c r="AE72" s="75"/>
      <c r="AF72" s="75"/>
      <c r="AG72" s="75"/>
      <c r="AH72" s="75"/>
      <c r="AI72" s="75"/>
      <c r="AJ72" s="78"/>
      <c r="AK72" s="79"/>
      <c r="AL72" s="75"/>
      <c r="AM72" s="75"/>
      <c r="AN72" s="75"/>
      <c r="AO72" s="75"/>
      <c r="AP72" s="75"/>
      <c r="AQ72" s="75"/>
      <c r="AR72" s="75"/>
      <c r="AS72" s="77"/>
      <c r="AT72" s="74"/>
      <c r="AU72" s="78"/>
      <c r="AV72" s="79"/>
      <c r="AW72" s="75"/>
      <c r="AX72" s="75"/>
      <c r="AY72" s="75"/>
      <c r="AZ72" s="77"/>
      <c r="BA72" s="74"/>
      <c r="BB72" s="75"/>
      <c r="BC72" s="75"/>
      <c r="BD72" s="77"/>
      <c r="BE72" s="6">
        <f t="shared" si="14"/>
        <v>0</v>
      </c>
    </row>
    <row r="73" spans="1:57">
      <c r="A73" s="61"/>
      <c r="B73" s="40"/>
      <c r="C73" s="62">
        <f t="shared" si="15"/>
        <v>0</v>
      </c>
      <c r="D73" s="63">
        <f t="shared" si="16"/>
        <v>0</v>
      </c>
      <c r="E73" s="63">
        <f t="shared" si="17"/>
        <v>0</v>
      </c>
      <c r="F73" s="63">
        <f t="shared" si="18"/>
        <v>0</v>
      </c>
      <c r="G73" s="63">
        <f t="shared" si="20"/>
        <v>0</v>
      </c>
      <c r="H73" s="63">
        <f t="shared" si="19"/>
        <v>0</v>
      </c>
      <c r="I73" s="64">
        <f t="shared" si="21"/>
        <v>0</v>
      </c>
      <c r="J73" s="65"/>
      <c r="K73" s="65"/>
      <c r="L73" s="83"/>
      <c r="M73" s="67"/>
      <c r="N73" s="68"/>
      <c r="O73" s="62"/>
      <c r="P73" s="69"/>
      <c r="Q73" s="70"/>
      <c r="R73" s="50">
        <f t="shared" si="22"/>
        <v>0</v>
      </c>
      <c r="S73" s="71"/>
      <c r="T73" s="69"/>
      <c r="U73" s="72"/>
      <c r="V73" s="73"/>
      <c r="W73" s="74"/>
      <c r="X73" s="75"/>
      <c r="Y73" s="75"/>
      <c r="Z73" s="76"/>
      <c r="AA73" s="77"/>
      <c r="AB73" s="73"/>
      <c r="AC73" s="74"/>
      <c r="AD73" s="75"/>
      <c r="AE73" s="75"/>
      <c r="AF73" s="75"/>
      <c r="AG73" s="75"/>
      <c r="AH73" s="75"/>
      <c r="AI73" s="75"/>
      <c r="AJ73" s="78"/>
      <c r="AK73" s="79"/>
      <c r="AL73" s="75"/>
      <c r="AM73" s="75"/>
      <c r="AN73" s="75"/>
      <c r="AO73" s="75"/>
      <c r="AP73" s="75"/>
      <c r="AQ73" s="75"/>
      <c r="AR73" s="75"/>
      <c r="AS73" s="77"/>
      <c r="AT73" s="74"/>
      <c r="AU73" s="78"/>
      <c r="AV73" s="79"/>
      <c r="AW73" s="75"/>
      <c r="AX73" s="75"/>
      <c r="AY73" s="75"/>
      <c r="AZ73" s="77"/>
      <c r="BA73" s="74"/>
      <c r="BB73" s="75"/>
      <c r="BC73" s="75"/>
      <c r="BD73" s="77"/>
      <c r="BE73" s="6">
        <f t="shared" si="14"/>
        <v>0</v>
      </c>
    </row>
    <row r="74" spans="1:57">
      <c r="A74" s="61"/>
      <c r="B74" s="40"/>
      <c r="C74" s="62">
        <f t="shared" si="15"/>
        <v>0</v>
      </c>
      <c r="D74" s="63">
        <f t="shared" si="16"/>
        <v>0</v>
      </c>
      <c r="E74" s="63">
        <f t="shared" si="17"/>
        <v>0</v>
      </c>
      <c r="F74" s="63">
        <f t="shared" si="18"/>
        <v>0</v>
      </c>
      <c r="G74" s="63">
        <f t="shared" si="20"/>
        <v>0</v>
      </c>
      <c r="H74" s="63">
        <f t="shared" si="19"/>
        <v>0</v>
      </c>
      <c r="I74" s="64">
        <f t="shared" si="21"/>
        <v>0</v>
      </c>
      <c r="J74" s="65"/>
      <c r="K74" s="65"/>
      <c r="L74" s="100"/>
      <c r="M74" s="67"/>
      <c r="N74" s="68"/>
      <c r="O74" s="62"/>
      <c r="P74" s="69"/>
      <c r="Q74" s="70"/>
      <c r="R74" s="50">
        <f t="shared" si="22"/>
        <v>0</v>
      </c>
      <c r="S74" s="71"/>
      <c r="T74" s="69"/>
      <c r="U74" s="72"/>
      <c r="V74" s="73"/>
      <c r="W74" s="74"/>
      <c r="X74" s="75"/>
      <c r="Y74" s="75"/>
      <c r="Z74" s="76"/>
      <c r="AA74" s="77"/>
      <c r="AB74" s="73"/>
      <c r="AC74" s="74"/>
      <c r="AD74" s="75"/>
      <c r="AE74" s="75"/>
      <c r="AF74" s="75"/>
      <c r="AG74" s="75"/>
      <c r="AH74" s="75"/>
      <c r="AI74" s="75"/>
      <c r="AJ74" s="78"/>
      <c r="AK74" s="79"/>
      <c r="AL74" s="75"/>
      <c r="AM74" s="75"/>
      <c r="AN74" s="75"/>
      <c r="AO74" s="75"/>
      <c r="AP74" s="75"/>
      <c r="AQ74" s="75"/>
      <c r="AR74" s="75"/>
      <c r="AS74" s="77"/>
      <c r="AT74" s="74"/>
      <c r="AU74" s="78"/>
      <c r="AV74" s="79"/>
      <c r="AW74" s="75"/>
      <c r="AX74" s="75"/>
      <c r="AY74" s="75"/>
      <c r="AZ74" s="77"/>
      <c r="BA74" s="74"/>
      <c r="BB74" s="75"/>
      <c r="BC74" s="75"/>
      <c r="BD74" s="77"/>
      <c r="BE74" s="6">
        <f t="shared" si="14"/>
        <v>0</v>
      </c>
    </row>
    <row r="75" spans="1:57">
      <c r="A75" s="61"/>
      <c r="B75" s="40"/>
      <c r="C75" s="62">
        <f t="shared" si="15"/>
        <v>0</v>
      </c>
      <c r="D75" s="63">
        <f t="shared" si="16"/>
        <v>0</v>
      </c>
      <c r="E75" s="63">
        <f t="shared" si="17"/>
        <v>0</v>
      </c>
      <c r="F75" s="63">
        <f t="shared" si="18"/>
        <v>0</v>
      </c>
      <c r="G75" s="63">
        <f t="shared" si="20"/>
        <v>0</v>
      </c>
      <c r="H75" s="63">
        <f t="shared" si="19"/>
        <v>0</v>
      </c>
      <c r="I75" s="64">
        <f t="shared" si="21"/>
        <v>0</v>
      </c>
      <c r="J75" s="65"/>
      <c r="K75" s="65"/>
      <c r="L75" s="83"/>
      <c r="M75" s="67"/>
      <c r="N75" s="68"/>
      <c r="O75" s="62"/>
      <c r="P75" s="69"/>
      <c r="Q75" s="70"/>
      <c r="R75" s="50">
        <f t="shared" si="22"/>
        <v>0</v>
      </c>
      <c r="S75" s="71"/>
      <c r="T75" s="69"/>
      <c r="U75" s="72"/>
      <c r="V75" s="73"/>
      <c r="W75" s="74"/>
      <c r="X75" s="75"/>
      <c r="Y75" s="75"/>
      <c r="Z75" s="76"/>
      <c r="AA75" s="77"/>
      <c r="AB75" s="73"/>
      <c r="AC75" s="74"/>
      <c r="AD75" s="75"/>
      <c r="AE75" s="75"/>
      <c r="AF75" s="75"/>
      <c r="AG75" s="75"/>
      <c r="AH75" s="75"/>
      <c r="AI75" s="75"/>
      <c r="AJ75" s="78"/>
      <c r="AK75" s="79"/>
      <c r="AL75" s="75"/>
      <c r="AM75" s="75"/>
      <c r="AN75" s="75"/>
      <c r="AO75" s="75"/>
      <c r="AP75" s="75"/>
      <c r="AQ75" s="75"/>
      <c r="AR75" s="75"/>
      <c r="AS75" s="77"/>
      <c r="AT75" s="74"/>
      <c r="AU75" s="78"/>
      <c r="AV75" s="79"/>
      <c r="AW75" s="75"/>
      <c r="AX75" s="75"/>
      <c r="AY75" s="75"/>
      <c r="AZ75" s="77"/>
      <c r="BA75" s="74"/>
      <c r="BB75" s="75"/>
      <c r="BC75" s="75"/>
      <c r="BD75" s="77"/>
      <c r="BE75" s="6">
        <f t="shared" si="14"/>
        <v>0</v>
      </c>
    </row>
    <row r="76" spans="1:57">
      <c r="A76" s="61"/>
      <c r="B76" s="40"/>
      <c r="C76" s="62">
        <f t="shared" si="15"/>
        <v>0</v>
      </c>
      <c r="D76" s="63">
        <f t="shared" si="16"/>
        <v>0</v>
      </c>
      <c r="E76" s="63">
        <f t="shared" si="17"/>
        <v>0</v>
      </c>
      <c r="F76" s="63">
        <f t="shared" si="18"/>
        <v>0</v>
      </c>
      <c r="G76" s="63">
        <f t="shared" si="20"/>
        <v>0</v>
      </c>
      <c r="H76" s="63">
        <f t="shared" si="19"/>
        <v>0</v>
      </c>
      <c r="I76" s="64">
        <f t="shared" si="21"/>
        <v>0</v>
      </c>
      <c r="J76" s="65"/>
      <c r="K76" s="65"/>
      <c r="L76" s="83"/>
      <c r="M76" s="67"/>
      <c r="N76" s="68"/>
      <c r="O76" s="62"/>
      <c r="P76" s="69"/>
      <c r="Q76" s="70"/>
      <c r="R76" s="50">
        <f t="shared" si="22"/>
        <v>0</v>
      </c>
      <c r="S76" s="71"/>
      <c r="T76" s="85"/>
      <c r="U76" s="72"/>
      <c r="V76" s="73"/>
      <c r="W76" s="74"/>
      <c r="X76" s="75"/>
      <c r="Y76" s="75"/>
      <c r="Z76" s="76"/>
      <c r="AA76" s="77"/>
      <c r="AB76" s="73"/>
      <c r="AC76" s="74"/>
      <c r="AD76" s="75"/>
      <c r="AE76" s="75"/>
      <c r="AF76" s="75"/>
      <c r="AG76" s="75"/>
      <c r="AH76" s="75"/>
      <c r="AI76" s="75"/>
      <c r="AJ76" s="78"/>
      <c r="AK76" s="79"/>
      <c r="AL76" s="75"/>
      <c r="AM76" s="75"/>
      <c r="AN76" s="75"/>
      <c r="AO76" s="75"/>
      <c r="AP76" s="75"/>
      <c r="AQ76" s="75"/>
      <c r="AR76" s="75"/>
      <c r="AS76" s="77"/>
      <c r="AT76" s="74"/>
      <c r="AU76" s="78"/>
      <c r="AV76" s="79"/>
      <c r="AW76" s="75"/>
      <c r="AX76" s="75"/>
      <c r="AY76" s="75"/>
      <c r="AZ76" s="77"/>
      <c r="BA76" s="74"/>
      <c r="BB76" s="75"/>
      <c r="BC76" s="75"/>
      <c r="BD76" s="77"/>
      <c r="BE76" s="6">
        <f t="shared" si="14"/>
        <v>0</v>
      </c>
    </row>
    <row r="77" spans="1:57">
      <c r="A77" s="61"/>
      <c r="B77" s="40"/>
      <c r="C77" s="62">
        <f t="shared" si="15"/>
        <v>0</v>
      </c>
      <c r="D77" s="63">
        <f t="shared" si="16"/>
        <v>0</v>
      </c>
      <c r="E77" s="63">
        <f t="shared" si="17"/>
        <v>0</v>
      </c>
      <c r="F77" s="63">
        <f t="shared" si="18"/>
        <v>0</v>
      </c>
      <c r="G77" s="63">
        <f t="shared" si="20"/>
        <v>0</v>
      </c>
      <c r="H77" s="63">
        <f t="shared" si="19"/>
        <v>0</v>
      </c>
      <c r="I77" s="64">
        <f t="shared" si="21"/>
        <v>0</v>
      </c>
      <c r="J77" s="65"/>
      <c r="K77" s="65"/>
      <c r="L77" s="83"/>
      <c r="M77" s="67"/>
      <c r="N77" s="68"/>
      <c r="O77" s="62"/>
      <c r="P77" s="69"/>
      <c r="Q77" s="70"/>
      <c r="R77" s="50">
        <f t="shared" si="22"/>
        <v>0</v>
      </c>
      <c r="S77" s="71"/>
      <c r="T77" s="94"/>
      <c r="U77" s="72"/>
      <c r="V77" s="73"/>
      <c r="W77" s="74"/>
      <c r="X77" s="75"/>
      <c r="Y77" s="75"/>
      <c r="Z77" s="76"/>
      <c r="AA77" s="77"/>
      <c r="AB77" s="73"/>
      <c r="AC77" s="74"/>
      <c r="AD77" s="75"/>
      <c r="AE77" s="75"/>
      <c r="AF77" s="75"/>
      <c r="AG77" s="75"/>
      <c r="AH77" s="75"/>
      <c r="AI77" s="75"/>
      <c r="AJ77" s="78"/>
      <c r="AK77" s="79"/>
      <c r="AL77" s="75"/>
      <c r="AM77" s="75"/>
      <c r="AN77" s="75"/>
      <c r="AO77" s="75"/>
      <c r="AP77" s="75"/>
      <c r="AQ77" s="75"/>
      <c r="AR77" s="75"/>
      <c r="AS77" s="77"/>
      <c r="AT77" s="74"/>
      <c r="AU77" s="78"/>
      <c r="AV77" s="79"/>
      <c r="AW77" s="75"/>
      <c r="AX77" s="75"/>
      <c r="AY77" s="75"/>
      <c r="AZ77" s="77"/>
      <c r="BA77" s="74"/>
      <c r="BB77" s="75"/>
      <c r="BC77" s="75"/>
      <c r="BD77" s="77"/>
      <c r="BE77" s="6">
        <f t="shared" si="14"/>
        <v>0</v>
      </c>
    </row>
    <row r="78" spans="1:57">
      <c r="A78" s="61"/>
      <c r="B78" s="40"/>
      <c r="C78" s="62">
        <f t="shared" si="15"/>
        <v>0</v>
      </c>
      <c r="D78" s="63">
        <f t="shared" si="16"/>
        <v>0</v>
      </c>
      <c r="E78" s="63">
        <f t="shared" si="17"/>
        <v>0</v>
      </c>
      <c r="F78" s="63">
        <f t="shared" si="18"/>
        <v>0</v>
      </c>
      <c r="G78" s="63">
        <f t="shared" si="20"/>
        <v>0</v>
      </c>
      <c r="H78" s="63">
        <f t="shared" si="19"/>
        <v>0</v>
      </c>
      <c r="I78" s="64">
        <f t="shared" si="21"/>
        <v>0</v>
      </c>
      <c r="J78" s="65"/>
      <c r="K78" s="91"/>
      <c r="L78" s="83"/>
      <c r="M78" s="67"/>
      <c r="N78" s="68"/>
      <c r="O78" s="62"/>
      <c r="P78" s="69"/>
      <c r="Q78" s="70"/>
      <c r="R78" s="50">
        <f t="shared" si="22"/>
        <v>0</v>
      </c>
      <c r="S78" s="71"/>
      <c r="T78" s="94"/>
      <c r="U78" s="72"/>
      <c r="V78" s="73"/>
      <c r="W78" s="74"/>
      <c r="X78" s="75"/>
      <c r="Y78" s="75"/>
      <c r="Z78" s="76"/>
      <c r="AA78" s="77"/>
      <c r="AB78" s="73"/>
      <c r="AC78" s="74"/>
      <c r="AD78" s="75"/>
      <c r="AE78" s="75"/>
      <c r="AF78" s="75"/>
      <c r="AG78" s="75"/>
      <c r="AH78" s="75"/>
      <c r="AI78" s="75"/>
      <c r="AJ78" s="78"/>
      <c r="AK78" s="79"/>
      <c r="AL78" s="75"/>
      <c r="AM78" s="75"/>
      <c r="AN78" s="75"/>
      <c r="AO78" s="75"/>
      <c r="AP78" s="75"/>
      <c r="AQ78" s="75"/>
      <c r="AR78" s="75"/>
      <c r="AS78" s="77"/>
      <c r="AT78" s="74"/>
      <c r="AU78" s="78"/>
      <c r="AV78" s="79"/>
      <c r="AW78" s="75"/>
      <c r="AX78" s="75"/>
      <c r="AY78" s="75"/>
      <c r="AZ78" s="77"/>
      <c r="BA78" s="74"/>
      <c r="BB78" s="75"/>
      <c r="BC78" s="75"/>
      <c r="BD78" s="77"/>
      <c r="BE78" s="6">
        <f t="shared" si="14"/>
        <v>0</v>
      </c>
    </row>
    <row r="79" spans="1:57">
      <c r="A79" s="61"/>
      <c r="B79" s="40"/>
      <c r="C79" s="62">
        <f t="shared" si="15"/>
        <v>0</v>
      </c>
      <c r="D79" s="63">
        <f t="shared" si="16"/>
        <v>0</v>
      </c>
      <c r="E79" s="63">
        <f t="shared" si="17"/>
        <v>0</v>
      </c>
      <c r="F79" s="63">
        <f t="shared" si="18"/>
        <v>0</v>
      </c>
      <c r="G79" s="63">
        <f t="shared" si="20"/>
        <v>0</v>
      </c>
      <c r="H79" s="63">
        <f t="shared" si="19"/>
        <v>0</v>
      </c>
      <c r="I79" s="64">
        <f t="shared" si="21"/>
        <v>0</v>
      </c>
      <c r="J79" s="65"/>
      <c r="K79" s="65"/>
      <c r="L79" s="83"/>
      <c r="M79" s="67"/>
      <c r="N79" s="68"/>
      <c r="O79" s="62"/>
      <c r="P79" s="69"/>
      <c r="Q79" s="70"/>
      <c r="R79" s="50">
        <f t="shared" si="22"/>
        <v>0</v>
      </c>
      <c r="S79" s="92"/>
      <c r="T79" s="69"/>
      <c r="U79" s="72"/>
      <c r="V79" s="73"/>
      <c r="W79" s="74"/>
      <c r="X79" s="75"/>
      <c r="Y79" s="75"/>
      <c r="Z79" s="76"/>
      <c r="AA79" s="77"/>
      <c r="AB79" s="73"/>
      <c r="AC79" s="74"/>
      <c r="AD79" s="75"/>
      <c r="AE79" s="75"/>
      <c r="AF79" s="75"/>
      <c r="AG79" s="75"/>
      <c r="AH79" s="75"/>
      <c r="AI79" s="75"/>
      <c r="AJ79" s="78"/>
      <c r="AK79" s="79"/>
      <c r="AL79" s="75"/>
      <c r="AM79" s="75"/>
      <c r="AN79" s="75"/>
      <c r="AO79" s="75"/>
      <c r="AP79" s="75"/>
      <c r="AQ79" s="75"/>
      <c r="AR79" s="75"/>
      <c r="AS79" s="77"/>
      <c r="AT79" s="74"/>
      <c r="AU79" s="78"/>
      <c r="AV79" s="79"/>
      <c r="AW79" s="75"/>
      <c r="AX79" s="75"/>
      <c r="AY79" s="75"/>
      <c r="AZ79" s="77"/>
      <c r="BA79" s="74"/>
      <c r="BB79" s="75"/>
      <c r="BC79" s="75"/>
      <c r="BD79" s="77"/>
      <c r="BE79" s="6">
        <f t="shared" ref="BE79:BE110" si="23">I79-SUM(AB79:BD79)</f>
        <v>0</v>
      </c>
    </row>
    <row r="80" spans="1:57">
      <c r="A80" s="61"/>
      <c r="B80" s="40"/>
      <c r="C80" s="62">
        <f t="shared" si="15"/>
        <v>0</v>
      </c>
      <c r="D80" s="63">
        <f t="shared" si="16"/>
        <v>0</v>
      </c>
      <c r="E80" s="63">
        <f t="shared" si="17"/>
        <v>0</v>
      </c>
      <c r="F80" s="63">
        <f t="shared" si="18"/>
        <v>0</v>
      </c>
      <c r="G80" s="63">
        <f t="shared" si="20"/>
        <v>0</v>
      </c>
      <c r="H80" s="63">
        <f t="shared" si="19"/>
        <v>0</v>
      </c>
      <c r="I80" s="64">
        <f t="shared" si="21"/>
        <v>0</v>
      </c>
      <c r="J80" s="65"/>
      <c r="K80" s="65"/>
      <c r="L80" s="83"/>
      <c r="M80" s="67"/>
      <c r="N80" s="68"/>
      <c r="O80" s="62"/>
      <c r="P80" s="69"/>
      <c r="Q80" s="70"/>
      <c r="R80" s="50">
        <f t="shared" si="22"/>
        <v>0</v>
      </c>
      <c r="S80" s="71"/>
      <c r="T80" s="69"/>
      <c r="U80" s="72"/>
      <c r="V80" s="73"/>
      <c r="W80" s="74"/>
      <c r="X80" s="75"/>
      <c r="Y80" s="75"/>
      <c r="Z80" s="76"/>
      <c r="AA80" s="77"/>
      <c r="AB80" s="73"/>
      <c r="AC80" s="74"/>
      <c r="AD80" s="75"/>
      <c r="AE80" s="75"/>
      <c r="AF80" s="75"/>
      <c r="AG80" s="75"/>
      <c r="AH80" s="75"/>
      <c r="AI80" s="75"/>
      <c r="AJ80" s="78"/>
      <c r="AK80" s="79"/>
      <c r="AL80" s="75"/>
      <c r="AM80" s="75"/>
      <c r="AN80" s="75"/>
      <c r="AO80" s="75"/>
      <c r="AP80" s="75"/>
      <c r="AQ80" s="75"/>
      <c r="AR80" s="75"/>
      <c r="AS80" s="77"/>
      <c r="AT80" s="74"/>
      <c r="AU80" s="78"/>
      <c r="AV80" s="79"/>
      <c r="AW80" s="75"/>
      <c r="AX80" s="75"/>
      <c r="AY80" s="75"/>
      <c r="AZ80" s="77"/>
      <c r="BA80" s="74"/>
      <c r="BB80" s="75"/>
      <c r="BC80" s="75"/>
      <c r="BD80" s="77"/>
      <c r="BE80" s="6">
        <f t="shared" si="23"/>
        <v>0</v>
      </c>
    </row>
    <row r="81" spans="1:57">
      <c r="A81" s="61"/>
      <c r="B81" s="40"/>
      <c r="C81" s="62">
        <f t="shared" si="15"/>
        <v>0</v>
      </c>
      <c r="D81" s="63">
        <f t="shared" si="16"/>
        <v>0</v>
      </c>
      <c r="E81" s="63">
        <f t="shared" si="17"/>
        <v>0</v>
      </c>
      <c r="F81" s="63">
        <f t="shared" si="18"/>
        <v>0</v>
      </c>
      <c r="G81" s="63">
        <f t="shared" si="20"/>
        <v>0</v>
      </c>
      <c r="H81" s="63">
        <f t="shared" si="19"/>
        <v>0</v>
      </c>
      <c r="I81" s="64">
        <f t="shared" si="21"/>
        <v>0</v>
      </c>
      <c r="J81" s="65"/>
      <c r="K81" s="65"/>
      <c r="L81" s="83"/>
      <c r="M81" s="67"/>
      <c r="N81" s="68"/>
      <c r="O81" s="62"/>
      <c r="P81" s="69"/>
      <c r="Q81" s="70"/>
      <c r="R81" s="50">
        <f t="shared" si="22"/>
        <v>0</v>
      </c>
      <c r="S81" s="71"/>
      <c r="T81" s="94"/>
      <c r="U81" s="72"/>
      <c r="V81" s="73"/>
      <c r="W81" s="74"/>
      <c r="X81" s="75"/>
      <c r="Y81" s="75"/>
      <c r="Z81" s="76"/>
      <c r="AA81" s="77"/>
      <c r="AB81" s="73"/>
      <c r="AC81" s="74"/>
      <c r="AD81" s="75"/>
      <c r="AE81" s="75"/>
      <c r="AF81" s="75"/>
      <c r="AG81" s="75"/>
      <c r="AH81" s="75"/>
      <c r="AI81" s="75"/>
      <c r="AJ81" s="78"/>
      <c r="AK81" s="79"/>
      <c r="AL81" s="75"/>
      <c r="AM81" s="75"/>
      <c r="AN81" s="75"/>
      <c r="AO81" s="75"/>
      <c r="AP81" s="75"/>
      <c r="AQ81" s="75"/>
      <c r="AR81" s="75"/>
      <c r="AS81" s="77"/>
      <c r="AT81" s="74"/>
      <c r="AU81" s="78"/>
      <c r="AV81" s="79"/>
      <c r="AW81" s="75"/>
      <c r="AX81" s="75"/>
      <c r="AY81" s="75"/>
      <c r="AZ81" s="77"/>
      <c r="BA81" s="74"/>
      <c r="BB81" s="75"/>
      <c r="BC81" s="75"/>
      <c r="BD81" s="77"/>
      <c r="BE81" s="6">
        <f t="shared" si="23"/>
        <v>0</v>
      </c>
    </row>
    <row r="82" spans="1:57">
      <c r="A82" s="61"/>
      <c r="B82" s="40"/>
      <c r="C82" s="62">
        <f t="shared" si="15"/>
        <v>0</v>
      </c>
      <c r="D82" s="63">
        <f t="shared" si="16"/>
        <v>0</v>
      </c>
      <c r="E82" s="63">
        <f t="shared" si="17"/>
        <v>0</v>
      </c>
      <c r="F82" s="63">
        <f t="shared" si="18"/>
        <v>0</v>
      </c>
      <c r="G82" s="63">
        <f t="shared" si="20"/>
        <v>0</v>
      </c>
      <c r="H82" s="63">
        <f t="shared" si="19"/>
        <v>0</v>
      </c>
      <c r="I82" s="64">
        <f t="shared" si="21"/>
        <v>0</v>
      </c>
      <c r="J82" s="65"/>
      <c r="K82" s="91"/>
      <c r="L82" s="83"/>
      <c r="M82" s="67"/>
      <c r="N82" s="68"/>
      <c r="O82" s="62"/>
      <c r="P82" s="69"/>
      <c r="Q82" s="70"/>
      <c r="R82" s="50">
        <f t="shared" si="22"/>
        <v>0</v>
      </c>
      <c r="S82" s="71"/>
      <c r="T82" s="94"/>
      <c r="U82" s="72"/>
      <c r="V82" s="73"/>
      <c r="W82" s="74"/>
      <c r="X82" s="75"/>
      <c r="Y82" s="75"/>
      <c r="Z82" s="76"/>
      <c r="AA82" s="77"/>
      <c r="AB82" s="73"/>
      <c r="AC82" s="74"/>
      <c r="AD82" s="75"/>
      <c r="AE82" s="75"/>
      <c r="AF82" s="75"/>
      <c r="AG82" s="75"/>
      <c r="AH82" s="75"/>
      <c r="AI82" s="75"/>
      <c r="AJ82" s="78"/>
      <c r="AK82" s="79"/>
      <c r="AL82" s="75"/>
      <c r="AM82" s="75"/>
      <c r="AN82" s="75"/>
      <c r="AO82" s="75"/>
      <c r="AP82" s="75"/>
      <c r="AQ82" s="75"/>
      <c r="AR82" s="75"/>
      <c r="AS82" s="77"/>
      <c r="AT82" s="74"/>
      <c r="AU82" s="78"/>
      <c r="AV82" s="79"/>
      <c r="AW82" s="75"/>
      <c r="AX82" s="75"/>
      <c r="AY82" s="75"/>
      <c r="AZ82" s="77"/>
      <c r="BA82" s="74"/>
      <c r="BB82" s="75"/>
      <c r="BC82" s="75"/>
      <c r="BD82" s="77"/>
      <c r="BE82" s="6">
        <f t="shared" si="23"/>
        <v>0</v>
      </c>
    </row>
    <row r="83" spans="1:57">
      <c r="A83" s="61"/>
      <c r="B83" s="40"/>
      <c r="C83" s="62">
        <f t="shared" si="15"/>
        <v>0</v>
      </c>
      <c r="D83" s="63">
        <f t="shared" si="16"/>
        <v>0</v>
      </c>
      <c r="E83" s="63">
        <f t="shared" si="17"/>
        <v>0</v>
      </c>
      <c r="F83" s="63">
        <f t="shared" si="18"/>
        <v>0</v>
      </c>
      <c r="G83" s="63">
        <f t="shared" si="20"/>
        <v>0</v>
      </c>
      <c r="H83" s="63">
        <f t="shared" si="19"/>
        <v>0</v>
      </c>
      <c r="I83" s="64">
        <f t="shared" si="21"/>
        <v>0</v>
      </c>
      <c r="J83" s="65"/>
      <c r="K83" s="91"/>
      <c r="L83" s="83"/>
      <c r="M83" s="67"/>
      <c r="N83" s="68"/>
      <c r="O83" s="62"/>
      <c r="P83" s="69"/>
      <c r="Q83" s="70"/>
      <c r="R83" s="50">
        <f t="shared" si="22"/>
        <v>0</v>
      </c>
      <c r="S83" s="71"/>
      <c r="T83" s="69"/>
      <c r="U83" s="72"/>
      <c r="V83" s="73"/>
      <c r="W83" s="74"/>
      <c r="X83" s="75"/>
      <c r="Y83" s="75"/>
      <c r="Z83" s="76"/>
      <c r="AA83" s="77"/>
      <c r="AB83" s="73"/>
      <c r="AC83" s="74"/>
      <c r="AD83" s="75"/>
      <c r="AE83" s="75"/>
      <c r="AF83" s="75"/>
      <c r="AG83" s="75"/>
      <c r="AH83" s="75"/>
      <c r="AI83" s="75"/>
      <c r="AJ83" s="78"/>
      <c r="AK83" s="79"/>
      <c r="AL83" s="75"/>
      <c r="AM83" s="75"/>
      <c r="AN83" s="75"/>
      <c r="AO83" s="75"/>
      <c r="AP83" s="75"/>
      <c r="AQ83" s="75"/>
      <c r="AR83" s="75"/>
      <c r="AS83" s="77"/>
      <c r="AT83" s="74"/>
      <c r="AU83" s="78"/>
      <c r="AV83" s="79"/>
      <c r="AW83" s="75"/>
      <c r="AX83" s="75"/>
      <c r="AY83" s="75"/>
      <c r="AZ83" s="77"/>
      <c r="BA83" s="74"/>
      <c r="BB83" s="75"/>
      <c r="BC83" s="75"/>
      <c r="BD83" s="77"/>
      <c r="BE83" s="6">
        <f t="shared" si="23"/>
        <v>0</v>
      </c>
    </row>
    <row r="84" spans="1:57">
      <c r="A84" s="61"/>
      <c r="B84" s="40"/>
      <c r="C84" s="62">
        <f t="shared" si="15"/>
        <v>0</v>
      </c>
      <c r="D84" s="63">
        <f t="shared" si="16"/>
        <v>0</v>
      </c>
      <c r="E84" s="63">
        <f t="shared" si="17"/>
        <v>0</v>
      </c>
      <c r="F84" s="63">
        <f t="shared" si="18"/>
        <v>0</v>
      </c>
      <c r="G84" s="63">
        <f t="shared" si="20"/>
        <v>0</v>
      </c>
      <c r="H84" s="63">
        <f t="shared" si="19"/>
        <v>0</v>
      </c>
      <c r="I84" s="64">
        <f t="shared" si="21"/>
        <v>0</v>
      </c>
      <c r="J84" s="65"/>
      <c r="K84" s="65"/>
      <c r="L84" s="83"/>
      <c r="M84" s="67"/>
      <c r="N84" s="68"/>
      <c r="O84" s="62"/>
      <c r="P84" s="69"/>
      <c r="Q84" s="70"/>
      <c r="R84" s="50">
        <f t="shared" si="22"/>
        <v>0</v>
      </c>
      <c r="S84" s="71"/>
      <c r="T84" s="94"/>
      <c r="U84" s="72"/>
      <c r="V84" s="73"/>
      <c r="W84" s="74"/>
      <c r="X84" s="75"/>
      <c r="Y84" s="75"/>
      <c r="Z84" s="76"/>
      <c r="AA84" s="77"/>
      <c r="AB84" s="73"/>
      <c r="AC84" s="74"/>
      <c r="AD84" s="75"/>
      <c r="AE84" s="75"/>
      <c r="AF84" s="75"/>
      <c r="AG84" s="75"/>
      <c r="AH84" s="75"/>
      <c r="AI84" s="75"/>
      <c r="AJ84" s="78"/>
      <c r="AK84" s="79"/>
      <c r="AL84" s="75"/>
      <c r="AM84" s="75"/>
      <c r="AN84" s="75"/>
      <c r="AO84" s="75"/>
      <c r="AP84" s="75"/>
      <c r="AQ84" s="75"/>
      <c r="AR84" s="75"/>
      <c r="AS84" s="77"/>
      <c r="AT84" s="74"/>
      <c r="AU84" s="78"/>
      <c r="AV84" s="79"/>
      <c r="AW84" s="75"/>
      <c r="AX84" s="75"/>
      <c r="AY84" s="75"/>
      <c r="AZ84" s="77"/>
      <c r="BA84" s="74"/>
      <c r="BB84" s="75"/>
      <c r="BC84" s="75"/>
      <c r="BD84" s="77"/>
      <c r="BE84" s="6">
        <f t="shared" si="23"/>
        <v>0</v>
      </c>
    </row>
    <row r="85" spans="1:57">
      <c r="A85" s="61"/>
      <c r="B85" s="40"/>
      <c r="C85" s="62">
        <f t="shared" si="15"/>
        <v>0</v>
      </c>
      <c r="D85" s="63">
        <f t="shared" si="16"/>
        <v>0</v>
      </c>
      <c r="E85" s="63">
        <f t="shared" si="17"/>
        <v>0</v>
      </c>
      <c r="F85" s="63">
        <f t="shared" si="18"/>
        <v>0</v>
      </c>
      <c r="G85" s="63">
        <f t="shared" si="20"/>
        <v>0</v>
      </c>
      <c r="H85" s="63">
        <f t="shared" si="19"/>
        <v>0</v>
      </c>
      <c r="I85" s="64">
        <f t="shared" si="21"/>
        <v>0</v>
      </c>
      <c r="J85" s="65"/>
      <c r="K85" s="65"/>
      <c r="L85" s="83"/>
      <c r="M85" s="67"/>
      <c r="N85" s="68"/>
      <c r="O85" s="62"/>
      <c r="P85" s="69"/>
      <c r="Q85" s="70"/>
      <c r="R85" s="50">
        <f t="shared" si="22"/>
        <v>0</v>
      </c>
      <c r="S85" s="71"/>
      <c r="T85" s="94"/>
      <c r="U85" s="72"/>
      <c r="V85" s="73"/>
      <c r="W85" s="74"/>
      <c r="X85" s="75"/>
      <c r="Y85" s="75"/>
      <c r="Z85" s="76"/>
      <c r="AA85" s="77"/>
      <c r="AB85" s="73"/>
      <c r="AC85" s="74"/>
      <c r="AD85" s="75"/>
      <c r="AE85" s="75"/>
      <c r="AF85" s="75"/>
      <c r="AG85" s="75"/>
      <c r="AH85" s="75"/>
      <c r="AI85" s="75"/>
      <c r="AJ85" s="78"/>
      <c r="AK85" s="79"/>
      <c r="AL85" s="75"/>
      <c r="AM85" s="75"/>
      <c r="AN85" s="75"/>
      <c r="AO85" s="75"/>
      <c r="AP85" s="75"/>
      <c r="AQ85" s="75"/>
      <c r="AR85" s="75"/>
      <c r="AS85" s="77"/>
      <c r="AT85" s="74"/>
      <c r="AU85" s="78"/>
      <c r="AV85" s="79"/>
      <c r="AW85" s="75"/>
      <c r="AX85" s="75"/>
      <c r="AY85" s="75"/>
      <c r="AZ85" s="77"/>
      <c r="BA85" s="74"/>
      <c r="BB85" s="75"/>
      <c r="BC85" s="75"/>
      <c r="BD85" s="77"/>
      <c r="BE85" s="6">
        <f t="shared" si="23"/>
        <v>0</v>
      </c>
    </row>
    <row r="86" spans="1:57">
      <c r="A86" s="61"/>
      <c r="B86" s="40"/>
      <c r="C86" s="62">
        <f t="shared" si="15"/>
        <v>0</v>
      </c>
      <c r="D86" s="63">
        <f t="shared" si="16"/>
        <v>0</v>
      </c>
      <c r="E86" s="63">
        <f t="shared" si="17"/>
        <v>0</v>
      </c>
      <c r="F86" s="63">
        <f t="shared" si="18"/>
        <v>0</v>
      </c>
      <c r="G86" s="63">
        <f t="shared" si="20"/>
        <v>0</v>
      </c>
      <c r="H86" s="63">
        <f t="shared" si="19"/>
        <v>0</v>
      </c>
      <c r="I86" s="64">
        <f t="shared" si="21"/>
        <v>0</v>
      </c>
      <c r="J86" s="65"/>
      <c r="K86" s="65"/>
      <c r="L86" s="83"/>
      <c r="M86" s="67"/>
      <c r="N86" s="68"/>
      <c r="O86" s="62"/>
      <c r="P86" s="69"/>
      <c r="Q86" s="70"/>
      <c r="R86" s="50">
        <f t="shared" si="22"/>
        <v>0</v>
      </c>
      <c r="S86" s="71"/>
      <c r="T86" s="94"/>
      <c r="U86" s="72"/>
      <c r="V86" s="73"/>
      <c r="W86" s="74"/>
      <c r="X86" s="75"/>
      <c r="Y86" s="75"/>
      <c r="Z86" s="76"/>
      <c r="AA86" s="77"/>
      <c r="AB86" s="73"/>
      <c r="AC86" s="74"/>
      <c r="AD86" s="75"/>
      <c r="AE86" s="75"/>
      <c r="AF86" s="75"/>
      <c r="AG86" s="75"/>
      <c r="AH86" s="75"/>
      <c r="AI86" s="75"/>
      <c r="AJ86" s="78"/>
      <c r="AK86" s="79"/>
      <c r="AL86" s="75"/>
      <c r="AM86" s="75"/>
      <c r="AN86" s="75"/>
      <c r="AO86" s="75"/>
      <c r="AP86" s="75"/>
      <c r="AQ86" s="75"/>
      <c r="AR86" s="75"/>
      <c r="AS86" s="77"/>
      <c r="AT86" s="74"/>
      <c r="AU86" s="78"/>
      <c r="AV86" s="79"/>
      <c r="AW86" s="75"/>
      <c r="AX86" s="75"/>
      <c r="AY86" s="75"/>
      <c r="AZ86" s="77"/>
      <c r="BA86" s="74"/>
      <c r="BB86" s="75"/>
      <c r="BC86" s="75"/>
      <c r="BD86" s="77"/>
      <c r="BE86" s="6">
        <f t="shared" si="23"/>
        <v>0</v>
      </c>
    </row>
    <row r="87" spans="1:57">
      <c r="A87" s="61"/>
      <c r="B87" s="40"/>
      <c r="C87" s="62">
        <f t="shared" si="15"/>
        <v>0</v>
      </c>
      <c r="D87" s="63">
        <f t="shared" si="16"/>
        <v>0</v>
      </c>
      <c r="E87" s="63">
        <f t="shared" si="17"/>
        <v>0</v>
      </c>
      <c r="F87" s="63">
        <f t="shared" si="18"/>
        <v>0</v>
      </c>
      <c r="G87" s="63">
        <f t="shared" si="20"/>
        <v>0</v>
      </c>
      <c r="H87" s="63">
        <f t="shared" si="19"/>
        <v>0</v>
      </c>
      <c r="I87" s="64">
        <f t="shared" si="21"/>
        <v>0</v>
      </c>
      <c r="J87" s="65"/>
      <c r="K87" s="65"/>
      <c r="L87" s="83"/>
      <c r="M87" s="67"/>
      <c r="N87" s="68"/>
      <c r="O87" s="62"/>
      <c r="P87" s="69"/>
      <c r="Q87" s="70"/>
      <c r="R87" s="50">
        <f t="shared" si="22"/>
        <v>0</v>
      </c>
      <c r="S87" s="71"/>
      <c r="T87" s="69"/>
      <c r="U87" s="72"/>
      <c r="V87" s="73"/>
      <c r="W87" s="74"/>
      <c r="X87" s="75"/>
      <c r="Y87" s="75"/>
      <c r="Z87" s="76"/>
      <c r="AA87" s="77"/>
      <c r="AB87" s="73"/>
      <c r="AC87" s="74"/>
      <c r="AD87" s="75"/>
      <c r="AE87" s="75"/>
      <c r="AF87" s="75"/>
      <c r="AG87" s="75"/>
      <c r="AH87" s="75"/>
      <c r="AI87" s="75"/>
      <c r="AJ87" s="78"/>
      <c r="AK87" s="79"/>
      <c r="AL87" s="75"/>
      <c r="AM87" s="75"/>
      <c r="AN87" s="75"/>
      <c r="AO87" s="75"/>
      <c r="AP87" s="75"/>
      <c r="AQ87" s="75"/>
      <c r="AR87" s="75"/>
      <c r="AS87" s="77"/>
      <c r="AT87" s="74"/>
      <c r="AU87" s="78"/>
      <c r="AV87" s="79"/>
      <c r="AW87" s="75"/>
      <c r="AX87" s="75"/>
      <c r="AY87" s="75"/>
      <c r="AZ87" s="77"/>
      <c r="BA87" s="74"/>
      <c r="BB87" s="75"/>
      <c r="BC87" s="75"/>
      <c r="BD87" s="77"/>
      <c r="BE87" s="6">
        <f t="shared" si="23"/>
        <v>0</v>
      </c>
    </row>
    <row r="88" spans="1:57">
      <c r="A88" s="61"/>
      <c r="B88" s="40"/>
      <c r="C88" s="62">
        <f t="shared" si="15"/>
        <v>0</v>
      </c>
      <c r="D88" s="63">
        <f t="shared" si="16"/>
        <v>0</v>
      </c>
      <c r="E88" s="63">
        <f t="shared" si="17"/>
        <v>0</v>
      </c>
      <c r="F88" s="63">
        <f t="shared" si="18"/>
        <v>0</v>
      </c>
      <c r="G88" s="63">
        <f t="shared" si="20"/>
        <v>0</v>
      </c>
      <c r="H88" s="63">
        <f t="shared" si="19"/>
        <v>0</v>
      </c>
      <c r="I88" s="64">
        <f t="shared" si="21"/>
        <v>0</v>
      </c>
      <c r="J88" s="65"/>
      <c r="K88" s="65"/>
      <c r="L88" s="83"/>
      <c r="M88" s="67"/>
      <c r="N88" s="68"/>
      <c r="O88" s="62"/>
      <c r="P88" s="69"/>
      <c r="Q88" s="70"/>
      <c r="R88" s="50">
        <f t="shared" si="22"/>
        <v>0</v>
      </c>
      <c r="S88" s="71"/>
      <c r="T88" s="69"/>
      <c r="U88" s="72"/>
      <c r="V88" s="73"/>
      <c r="W88" s="74"/>
      <c r="X88" s="75"/>
      <c r="Y88" s="75"/>
      <c r="Z88" s="107"/>
      <c r="AA88" s="77"/>
      <c r="AB88" s="73"/>
      <c r="AC88" s="74"/>
      <c r="AD88" s="75"/>
      <c r="AE88" s="75"/>
      <c r="AF88" s="75"/>
      <c r="AG88" s="75"/>
      <c r="AH88" s="75"/>
      <c r="AI88" s="75"/>
      <c r="AJ88" s="78"/>
      <c r="AK88" s="79"/>
      <c r="AL88" s="75"/>
      <c r="AM88" s="75"/>
      <c r="AN88" s="75"/>
      <c r="AO88" s="75"/>
      <c r="AP88" s="75"/>
      <c r="AQ88" s="75"/>
      <c r="AR88" s="75"/>
      <c r="AS88" s="77"/>
      <c r="AT88" s="74"/>
      <c r="AU88" s="78"/>
      <c r="AV88" s="79"/>
      <c r="AW88" s="75"/>
      <c r="AX88" s="75"/>
      <c r="AY88" s="75"/>
      <c r="AZ88" s="77"/>
      <c r="BA88" s="74"/>
      <c r="BB88" s="75"/>
      <c r="BC88" s="75"/>
      <c r="BD88" s="77"/>
      <c r="BE88" s="6">
        <f t="shared" si="23"/>
        <v>0</v>
      </c>
    </row>
    <row r="89" spans="1:57">
      <c r="A89" s="61"/>
      <c r="B89" s="40"/>
      <c r="C89" s="62">
        <f t="shared" si="15"/>
        <v>0</v>
      </c>
      <c r="D89" s="63">
        <f t="shared" si="16"/>
        <v>0</v>
      </c>
      <c r="E89" s="63">
        <f t="shared" si="17"/>
        <v>0</v>
      </c>
      <c r="F89" s="63">
        <f t="shared" si="18"/>
        <v>0</v>
      </c>
      <c r="G89" s="63">
        <f t="shared" si="20"/>
        <v>0</v>
      </c>
      <c r="H89" s="63">
        <f t="shared" si="19"/>
        <v>0</v>
      </c>
      <c r="I89" s="64">
        <f t="shared" si="21"/>
        <v>0</v>
      </c>
      <c r="J89" s="65"/>
      <c r="K89" s="65"/>
      <c r="L89" s="83"/>
      <c r="M89" s="67"/>
      <c r="N89" s="68"/>
      <c r="O89" s="62"/>
      <c r="P89" s="69"/>
      <c r="Q89" s="70"/>
      <c r="R89" s="50">
        <f t="shared" si="22"/>
        <v>0</v>
      </c>
      <c r="S89" s="71"/>
      <c r="T89" s="94"/>
      <c r="U89" s="72"/>
      <c r="V89" s="73"/>
      <c r="W89" s="74"/>
      <c r="X89" s="75"/>
      <c r="Y89" s="75"/>
      <c r="Z89" s="76"/>
      <c r="AA89" s="77"/>
      <c r="AB89" s="73"/>
      <c r="AC89" s="74"/>
      <c r="AD89" s="75"/>
      <c r="AE89" s="75"/>
      <c r="AF89" s="75"/>
      <c r="AG89" s="75"/>
      <c r="AH89" s="75"/>
      <c r="AI89" s="75"/>
      <c r="AJ89" s="78"/>
      <c r="AK89" s="79"/>
      <c r="AL89" s="75"/>
      <c r="AM89" s="75"/>
      <c r="AN89" s="75"/>
      <c r="AO89" s="75"/>
      <c r="AP89" s="75"/>
      <c r="AQ89" s="75"/>
      <c r="AR89" s="75"/>
      <c r="AS89" s="77"/>
      <c r="AT89" s="74"/>
      <c r="AU89" s="78"/>
      <c r="AV89" s="79"/>
      <c r="AW89" s="75"/>
      <c r="AX89" s="75"/>
      <c r="AY89" s="75"/>
      <c r="AZ89" s="77"/>
      <c r="BA89" s="74"/>
      <c r="BB89" s="75"/>
      <c r="BC89" s="75"/>
      <c r="BD89" s="77"/>
      <c r="BE89" s="6">
        <f t="shared" si="23"/>
        <v>0</v>
      </c>
    </row>
    <row r="90" spans="1:57">
      <c r="A90" s="61"/>
      <c r="B90" s="40"/>
      <c r="C90" s="62">
        <f t="shared" si="15"/>
        <v>0</v>
      </c>
      <c r="D90" s="63">
        <f t="shared" si="16"/>
        <v>0</v>
      </c>
      <c r="E90" s="63">
        <f t="shared" si="17"/>
        <v>0</v>
      </c>
      <c r="F90" s="63">
        <f t="shared" si="18"/>
        <v>0</v>
      </c>
      <c r="G90" s="63">
        <f t="shared" si="20"/>
        <v>0</v>
      </c>
      <c r="H90" s="63">
        <f t="shared" si="19"/>
        <v>0</v>
      </c>
      <c r="I90" s="64">
        <f t="shared" si="21"/>
        <v>0</v>
      </c>
      <c r="J90" s="65"/>
      <c r="K90" s="65"/>
      <c r="L90" s="83"/>
      <c r="M90" s="67"/>
      <c r="N90" s="68"/>
      <c r="O90" s="62"/>
      <c r="P90" s="69"/>
      <c r="Q90" s="70"/>
      <c r="R90" s="50">
        <f t="shared" si="22"/>
        <v>0</v>
      </c>
      <c r="S90" s="71"/>
      <c r="T90" s="94"/>
      <c r="U90" s="72"/>
      <c r="V90" s="73"/>
      <c r="W90" s="74"/>
      <c r="X90" s="75"/>
      <c r="Y90" s="75"/>
      <c r="Z90" s="76"/>
      <c r="AA90" s="77"/>
      <c r="AB90" s="73"/>
      <c r="AC90" s="74"/>
      <c r="AD90" s="75"/>
      <c r="AE90" s="75"/>
      <c r="AF90" s="75"/>
      <c r="AG90" s="75"/>
      <c r="AH90" s="75"/>
      <c r="AI90" s="75"/>
      <c r="AJ90" s="78"/>
      <c r="AK90" s="79"/>
      <c r="AL90" s="75"/>
      <c r="AM90" s="75"/>
      <c r="AN90" s="75"/>
      <c r="AO90" s="75"/>
      <c r="AP90" s="75"/>
      <c r="AQ90" s="75"/>
      <c r="AR90" s="75"/>
      <c r="AS90" s="77"/>
      <c r="AT90" s="74"/>
      <c r="AU90" s="78"/>
      <c r="AV90" s="79"/>
      <c r="AW90" s="75"/>
      <c r="AX90" s="75"/>
      <c r="AY90" s="75"/>
      <c r="AZ90" s="77"/>
      <c r="BA90" s="74"/>
      <c r="BB90" s="75"/>
      <c r="BC90" s="75"/>
      <c r="BD90" s="77"/>
      <c r="BE90" s="6">
        <f t="shared" si="23"/>
        <v>0</v>
      </c>
    </row>
    <row r="91" spans="1:57">
      <c r="A91" s="61"/>
      <c r="B91" s="40"/>
      <c r="C91" s="62">
        <f t="shared" si="15"/>
        <v>0</v>
      </c>
      <c r="D91" s="63">
        <f t="shared" si="16"/>
        <v>0</v>
      </c>
      <c r="E91" s="63">
        <f t="shared" si="17"/>
        <v>0</v>
      </c>
      <c r="F91" s="63">
        <f t="shared" si="18"/>
        <v>0</v>
      </c>
      <c r="G91" s="63">
        <f t="shared" si="20"/>
        <v>0</v>
      </c>
      <c r="H91" s="63">
        <f t="shared" si="19"/>
        <v>0</v>
      </c>
      <c r="I91" s="64">
        <f t="shared" si="21"/>
        <v>0</v>
      </c>
      <c r="J91" s="65"/>
      <c r="K91" s="65"/>
      <c r="L91" s="83"/>
      <c r="M91" s="67"/>
      <c r="N91" s="68"/>
      <c r="O91" s="62"/>
      <c r="P91" s="69"/>
      <c r="Q91" s="70"/>
      <c r="R91" s="50">
        <f t="shared" si="22"/>
        <v>0</v>
      </c>
      <c r="S91" s="71"/>
      <c r="T91" s="85"/>
      <c r="U91" s="72"/>
      <c r="V91" s="73"/>
      <c r="W91" s="74"/>
      <c r="X91" s="75"/>
      <c r="Y91" s="75"/>
      <c r="Z91" s="76"/>
      <c r="AA91" s="77"/>
      <c r="AB91" s="73"/>
      <c r="AC91" s="74"/>
      <c r="AD91" s="75"/>
      <c r="AE91" s="75"/>
      <c r="AF91" s="75"/>
      <c r="AG91" s="75"/>
      <c r="AH91" s="75"/>
      <c r="AI91" s="75"/>
      <c r="AJ91" s="78"/>
      <c r="AK91" s="79"/>
      <c r="AL91" s="75"/>
      <c r="AM91" s="75"/>
      <c r="AN91" s="75"/>
      <c r="AO91" s="75"/>
      <c r="AP91" s="75"/>
      <c r="AQ91" s="75"/>
      <c r="AR91" s="75"/>
      <c r="AS91" s="77"/>
      <c r="AT91" s="74"/>
      <c r="AU91" s="78"/>
      <c r="AV91" s="79"/>
      <c r="AW91" s="75"/>
      <c r="AX91" s="75"/>
      <c r="AY91" s="75"/>
      <c r="AZ91" s="77"/>
      <c r="BA91" s="74"/>
      <c r="BB91" s="75"/>
      <c r="BC91" s="75"/>
      <c r="BD91" s="77"/>
      <c r="BE91" s="6">
        <f t="shared" si="23"/>
        <v>0</v>
      </c>
    </row>
    <row r="92" spans="1:57" ht="15" customHeight="1">
      <c r="A92" s="61"/>
      <c r="B92" s="40"/>
      <c r="C92" s="62">
        <f t="shared" si="15"/>
        <v>0</v>
      </c>
      <c r="D92" s="63">
        <f t="shared" si="16"/>
        <v>0</v>
      </c>
      <c r="E92" s="63">
        <f t="shared" si="17"/>
        <v>0</v>
      </c>
      <c r="F92" s="63">
        <f t="shared" si="18"/>
        <v>0</v>
      </c>
      <c r="G92" s="63">
        <f t="shared" si="20"/>
        <v>0</v>
      </c>
      <c r="H92" s="63">
        <f t="shared" si="19"/>
        <v>0</v>
      </c>
      <c r="I92" s="64">
        <f t="shared" si="21"/>
        <v>0</v>
      </c>
      <c r="J92" s="91"/>
      <c r="K92" s="65"/>
      <c r="L92" s="83"/>
      <c r="M92" s="67"/>
      <c r="N92" s="68"/>
      <c r="O92" s="62"/>
      <c r="P92" s="69"/>
      <c r="Q92" s="70"/>
      <c r="R92" s="50">
        <f t="shared" si="22"/>
        <v>0</v>
      </c>
      <c r="S92" s="71"/>
      <c r="T92" s="94"/>
      <c r="U92" s="72"/>
      <c r="V92" s="73"/>
      <c r="W92" s="74"/>
      <c r="X92" s="75"/>
      <c r="Y92" s="75"/>
      <c r="Z92" s="76"/>
      <c r="AA92" s="77"/>
      <c r="AB92" s="73"/>
      <c r="AC92" s="74"/>
      <c r="AD92" s="75"/>
      <c r="AE92" s="75"/>
      <c r="AF92" s="75"/>
      <c r="AG92" s="75"/>
      <c r="AH92" s="75"/>
      <c r="AI92" s="75"/>
      <c r="AJ92" s="78"/>
      <c r="AK92" s="79"/>
      <c r="AL92" s="75"/>
      <c r="AM92" s="75"/>
      <c r="AN92" s="75"/>
      <c r="AO92" s="75"/>
      <c r="AP92" s="75"/>
      <c r="AQ92" s="75"/>
      <c r="AR92" s="75"/>
      <c r="AS92" s="77"/>
      <c r="AT92" s="74"/>
      <c r="AU92" s="78"/>
      <c r="AV92" s="79"/>
      <c r="AW92" s="75"/>
      <c r="AX92" s="75"/>
      <c r="AY92" s="75"/>
      <c r="AZ92" s="77"/>
      <c r="BA92" s="74"/>
      <c r="BB92" s="75"/>
      <c r="BC92" s="75"/>
      <c r="BD92" s="77"/>
      <c r="BE92" s="6">
        <f t="shared" si="23"/>
        <v>0</v>
      </c>
    </row>
    <row r="93" spans="1:57">
      <c r="A93" s="61"/>
      <c r="B93" s="40"/>
      <c r="C93" s="62">
        <f t="shared" si="15"/>
        <v>0</v>
      </c>
      <c r="D93" s="63">
        <f t="shared" si="16"/>
        <v>0</v>
      </c>
      <c r="E93" s="63">
        <f t="shared" si="17"/>
        <v>0</v>
      </c>
      <c r="F93" s="63">
        <f t="shared" si="18"/>
        <v>0</v>
      </c>
      <c r="G93" s="63">
        <f t="shared" si="20"/>
        <v>0</v>
      </c>
      <c r="H93" s="63">
        <f t="shared" si="19"/>
        <v>0</v>
      </c>
      <c r="I93" s="64">
        <f t="shared" si="21"/>
        <v>0</v>
      </c>
      <c r="J93" s="65"/>
      <c r="K93" s="65"/>
      <c r="L93" s="83"/>
      <c r="M93" s="67"/>
      <c r="N93" s="68"/>
      <c r="O93" s="62"/>
      <c r="P93" s="69"/>
      <c r="Q93" s="70"/>
      <c r="R93" s="50">
        <f t="shared" si="22"/>
        <v>0</v>
      </c>
      <c r="S93" s="71"/>
      <c r="T93" s="94"/>
      <c r="U93" s="72"/>
      <c r="V93" s="73"/>
      <c r="W93" s="74"/>
      <c r="X93" s="75"/>
      <c r="Y93" s="75"/>
      <c r="Z93" s="76"/>
      <c r="AA93" s="77"/>
      <c r="AB93" s="73"/>
      <c r="AC93" s="74"/>
      <c r="AD93" s="75"/>
      <c r="AE93" s="75"/>
      <c r="AF93" s="75"/>
      <c r="AG93" s="75"/>
      <c r="AH93" s="75"/>
      <c r="AI93" s="75"/>
      <c r="AJ93" s="78"/>
      <c r="AK93" s="79"/>
      <c r="AL93" s="75"/>
      <c r="AM93" s="75"/>
      <c r="AN93" s="75"/>
      <c r="AO93" s="75"/>
      <c r="AP93" s="75"/>
      <c r="AQ93" s="75"/>
      <c r="AR93" s="75"/>
      <c r="AS93" s="77"/>
      <c r="AT93" s="74"/>
      <c r="AU93" s="78"/>
      <c r="AV93" s="79"/>
      <c r="AW93" s="75"/>
      <c r="AX93" s="75"/>
      <c r="AY93" s="75"/>
      <c r="AZ93" s="77"/>
      <c r="BA93" s="74"/>
      <c r="BB93" s="75"/>
      <c r="BC93" s="75"/>
      <c r="BD93" s="77"/>
      <c r="BE93" s="6">
        <f t="shared" si="23"/>
        <v>0</v>
      </c>
    </row>
    <row r="94" spans="1:57">
      <c r="A94" s="61"/>
      <c r="B94" s="40"/>
      <c r="C94" s="62">
        <f t="shared" si="15"/>
        <v>0</v>
      </c>
      <c r="D94" s="63">
        <f t="shared" si="16"/>
        <v>0</v>
      </c>
      <c r="E94" s="63">
        <f t="shared" si="17"/>
        <v>0</v>
      </c>
      <c r="F94" s="63">
        <f t="shared" si="18"/>
        <v>0</v>
      </c>
      <c r="G94" s="63">
        <f t="shared" si="20"/>
        <v>0</v>
      </c>
      <c r="H94" s="63">
        <f t="shared" si="19"/>
        <v>0</v>
      </c>
      <c r="I94" s="64">
        <f t="shared" si="21"/>
        <v>0</v>
      </c>
      <c r="J94" s="65"/>
      <c r="K94" s="65"/>
      <c r="L94" s="83"/>
      <c r="M94" s="67"/>
      <c r="N94" s="68"/>
      <c r="O94" s="62"/>
      <c r="P94" s="69"/>
      <c r="Q94" s="70"/>
      <c r="R94" s="50">
        <f t="shared" si="22"/>
        <v>0</v>
      </c>
      <c r="S94" s="71"/>
      <c r="T94" s="94"/>
      <c r="U94" s="72"/>
      <c r="V94" s="73"/>
      <c r="W94" s="74"/>
      <c r="X94" s="75"/>
      <c r="Y94" s="75"/>
      <c r="Z94" s="76"/>
      <c r="AA94" s="77"/>
      <c r="AB94" s="73"/>
      <c r="AC94" s="74"/>
      <c r="AD94" s="75"/>
      <c r="AE94" s="75"/>
      <c r="AF94" s="75"/>
      <c r="AG94" s="75"/>
      <c r="AH94" s="75"/>
      <c r="AI94" s="75"/>
      <c r="AJ94" s="78"/>
      <c r="AK94" s="79"/>
      <c r="AL94" s="75"/>
      <c r="AM94" s="75"/>
      <c r="AN94" s="75"/>
      <c r="AO94" s="75"/>
      <c r="AP94" s="75"/>
      <c r="AQ94" s="75"/>
      <c r="AR94" s="75"/>
      <c r="AS94" s="77"/>
      <c r="AT94" s="74"/>
      <c r="AU94" s="78"/>
      <c r="AV94" s="79"/>
      <c r="AW94" s="75"/>
      <c r="AX94" s="75"/>
      <c r="AY94" s="75"/>
      <c r="AZ94" s="77"/>
      <c r="BA94" s="74"/>
      <c r="BB94" s="75"/>
      <c r="BC94" s="75"/>
      <c r="BD94" s="77"/>
      <c r="BE94" s="6">
        <f t="shared" si="23"/>
        <v>0</v>
      </c>
    </row>
    <row r="95" spans="1:57">
      <c r="A95" s="61"/>
      <c r="B95" s="40"/>
      <c r="C95" s="62">
        <f t="shared" si="15"/>
        <v>0</v>
      </c>
      <c r="D95" s="63">
        <f t="shared" si="16"/>
        <v>0</v>
      </c>
      <c r="E95" s="63">
        <f t="shared" si="17"/>
        <v>0</v>
      </c>
      <c r="F95" s="63">
        <f t="shared" si="18"/>
        <v>0</v>
      </c>
      <c r="G95" s="63">
        <f t="shared" si="20"/>
        <v>0</v>
      </c>
      <c r="H95" s="63">
        <f t="shared" si="19"/>
        <v>0</v>
      </c>
      <c r="I95" s="64">
        <f t="shared" si="21"/>
        <v>0</v>
      </c>
      <c r="J95" s="65"/>
      <c r="K95" s="65"/>
      <c r="L95" s="83"/>
      <c r="M95" s="67"/>
      <c r="N95" s="68"/>
      <c r="O95" s="62"/>
      <c r="P95" s="69"/>
      <c r="Q95" s="70"/>
      <c r="R95" s="50">
        <f t="shared" si="22"/>
        <v>0</v>
      </c>
      <c r="S95" s="71"/>
      <c r="T95" s="94"/>
      <c r="U95" s="72"/>
      <c r="V95" s="73"/>
      <c r="W95" s="74"/>
      <c r="X95" s="75"/>
      <c r="Y95" s="75"/>
      <c r="Z95" s="76"/>
      <c r="AA95" s="77"/>
      <c r="AB95" s="73"/>
      <c r="AC95" s="74"/>
      <c r="AD95" s="75"/>
      <c r="AE95" s="75"/>
      <c r="AF95" s="75"/>
      <c r="AG95" s="75"/>
      <c r="AH95" s="75"/>
      <c r="AI95" s="75"/>
      <c r="AJ95" s="78"/>
      <c r="AK95" s="79"/>
      <c r="AL95" s="75"/>
      <c r="AM95" s="75"/>
      <c r="AN95" s="75"/>
      <c r="AO95" s="75"/>
      <c r="AP95" s="75"/>
      <c r="AQ95" s="75"/>
      <c r="AR95" s="75"/>
      <c r="AS95" s="77"/>
      <c r="AT95" s="74"/>
      <c r="AU95" s="78"/>
      <c r="AV95" s="79"/>
      <c r="AW95" s="75"/>
      <c r="AX95" s="75"/>
      <c r="AY95" s="75"/>
      <c r="AZ95" s="77"/>
      <c r="BA95" s="74"/>
      <c r="BB95" s="75"/>
      <c r="BC95" s="75"/>
      <c r="BD95" s="77"/>
      <c r="BE95" s="6">
        <f t="shared" si="23"/>
        <v>0</v>
      </c>
    </row>
    <row r="96" spans="1:57">
      <c r="A96" s="61"/>
      <c r="B96" s="40"/>
      <c r="C96" s="62">
        <f t="shared" si="15"/>
        <v>0</v>
      </c>
      <c r="D96" s="63">
        <f t="shared" si="16"/>
        <v>0</v>
      </c>
      <c r="E96" s="63">
        <f t="shared" si="17"/>
        <v>0</v>
      </c>
      <c r="F96" s="63">
        <f t="shared" si="18"/>
        <v>0</v>
      </c>
      <c r="G96" s="63">
        <f t="shared" si="20"/>
        <v>0</v>
      </c>
      <c r="H96" s="63">
        <f t="shared" si="19"/>
        <v>0</v>
      </c>
      <c r="I96" s="64">
        <f t="shared" si="21"/>
        <v>0</v>
      </c>
      <c r="J96" s="65"/>
      <c r="K96" s="65"/>
      <c r="L96" s="83"/>
      <c r="M96" s="67"/>
      <c r="N96" s="68"/>
      <c r="O96" s="62"/>
      <c r="P96" s="69"/>
      <c r="Q96" s="70"/>
      <c r="R96" s="50">
        <f t="shared" si="22"/>
        <v>0</v>
      </c>
      <c r="S96" s="71"/>
      <c r="T96" s="94"/>
      <c r="U96" s="72"/>
      <c r="V96" s="73"/>
      <c r="W96" s="74"/>
      <c r="X96" s="75"/>
      <c r="Y96" s="75"/>
      <c r="Z96" s="76"/>
      <c r="AA96" s="77"/>
      <c r="AB96" s="73"/>
      <c r="AC96" s="74"/>
      <c r="AD96" s="75"/>
      <c r="AE96" s="75"/>
      <c r="AF96" s="75"/>
      <c r="AG96" s="75"/>
      <c r="AH96" s="75"/>
      <c r="AI96" s="75"/>
      <c r="AJ96" s="78"/>
      <c r="AK96" s="79"/>
      <c r="AL96" s="75"/>
      <c r="AM96" s="75"/>
      <c r="AN96" s="75"/>
      <c r="AO96" s="75"/>
      <c r="AP96" s="75"/>
      <c r="AQ96" s="75"/>
      <c r="AR96" s="75"/>
      <c r="AS96" s="77"/>
      <c r="AT96" s="74"/>
      <c r="AU96" s="78"/>
      <c r="AV96" s="79"/>
      <c r="AW96" s="75"/>
      <c r="AX96" s="75"/>
      <c r="AY96" s="75"/>
      <c r="AZ96" s="77"/>
      <c r="BA96" s="74"/>
      <c r="BB96" s="75"/>
      <c r="BC96" s="75"/>
      <c r="BD96" s="77"/>
      <c r="BE96" s="6">
        <f t="shared" si="23"/>
        <v>0</v>
      </c>
    </row>
    <row r="97" spans="1:57">
      <c r="A97" s="61"/>
      <c r="B97" s="40"/>
      <c r="C97" s="62">
        <f t="shared" si="15"/>
        <v>0</v>
      </c>
      <c r="D97" s="63">
        <f t="shared" si="16"/>
        <v>0</v>
      </c>
      <c r="E97" s="63">
        <f t="shared" si="17"/>
        <v>0</v>
      </c>
      <c r="F97" s="63">
        <f t="shared" si="18"/>
        <v>0</v>
      </c>
      <c r="G97" s="63">
        <f t="shared" si="20"/>
        <v>0</v>
      </c>
      <c r="H97" s="63">
        <f t="shared" si="19"/>
        <v>0</v>
      </c>
      <c r="I97" s="64">
        <f t="shared" si="21"/>
        <v>0</v>
      </c>
      <c r="J97" s="65"/>
      <c r="K97" s="65"/>
      <c r="L97" s="83"/>
      <c r="M97" s="67"/>
      <c r="N97" s="68"/>
      <c r="O97" s="62"/>
      <c r="P97" s="69"/>
      <c r="Q97" s="70"/>
      <c r="R97" s="50">
        <f t="shared" si="22"/>
        <v>0</v>
      </c>
      <c r="S97" s="71"/>
      <c r="T97" s="94"/>
      <c r="U97" s="72"/>
      <c r="V97" s="73"/>
      <c r="W97" s="74"/>
      <c r="X97" s="75"/>
      <c r="Y97" s="75"/>
      <c r="Z97" s="76"/>
      <c r="AA97" s="77"/>
      <c r="AB97" s="73"/>
      <c r="AC97" s="74"/>
      <c r="AD97" s="75"/>
      <c r="AE97" s="75"/>
      <c r="AF97" s="75"/>
      <c r="AG97" s="75"/>
      <c r="AH97" s="75"/>
      <c r="AI97" s="75"/>
      <c r="AJ97" s="78"/>
      <c r="AK97" s="79"/>
      <c r="AL97" s="75"/>
      <c r="AM97" s="75"/>
      <c r="AN97" s="75"/>
      <c r="AO97" s="75"/>
      <c r="AP97" s="75"/>
      <c r="AQ97" s="75"/>
      <c r="AR97" s="75"/>
      <c r="AS97" s="77"/>
      <c r="AT97" s="74"/>
      <c r="AU97" s="78"/>
      <c r="AV97" s="79"/>
      <c r="AW97" s="75"/>
      <c r="AX97" s="75"/>
      <c r="AY97" s="75"/>
      <c r="AZ97" s="77"/>
      <c r="BA97" s="74"/>
      <c r="BB97" s="75"/>
      <c r="BC97" s="75"/>
      <c r="BD97" s="77"/>
      <c r="BE97" s="6">
        <f t="shared" si="23"/>
        <v>0</v>
      </c>
    </row>
    <row r="98" spans="1:57">
      <c r="A98" s="61"/>
      <c r="B98" s="40"/>
      <c r="C98" s="62">
        <f t="shared" si="15"/>
        <v>0</v>
      </c>
      <c r="D98" s="63">
        <f t="shared" si="16"/>
        <v>0</v>
      </c>
      <c r="E98" s="63">
        <f t="shared" si="17"/>
        <v>0</v>
      </c>
      <c r="F98" s="63">
        <f t="shared" si="18"/>
        <v>0</v>
      </c>
      <c r="G98" s="63">
        <f t="shared" si="20"/>
        <v>0</v>
      </c>
      <c r="H98" s="63">
        <f t="shared" si="19"/>
        <v>0</v>
      </c>
      <c r="I98" s="64">
        <f t="shared" si="21"/>
        <v>0</v>
      </c>
      <c r="J98" s="65"/>
      <c r="K98" s="65"/>
      <c r="L98" s="83"/>
      <c r="M98" s="67"/>
      <c r="N98" s="68"/>
      <c r="O98" s="62"/>
      <c r="P98" s="69"/>
      <c r="Q98" s="70"/>
      <c r="R98" s="50">
        <f t="shared" si="22"/>
        <v>0</v>
      </c>
      <c r="S98" s="71"/>
      <c r="T98" s="94"/>
      <c r="U98" s="72"/>
      <c r="V98" s="73"/>
      <c r="W98" s="74"/>
      <c r="X98" s="75"/>
      <c r="Y98" s="75"/>
      <c r="Z98" s="76"/>
      <c r="AA98" s="77"/>
      <c r="AB98" s="73"/>
      <c r="AC98" s="74"/>
      <c r="AD98" s="75"/>
      <c r="AE98" s="75"/>
      <c r="AF98" s="75"/>
      <c r="AG98" s="75"/>
      <c r="AH98" s="75"/>
      <c r="AI98" s="75"/>
      <c r="AJ98" s="78"/>
      <c r="AK98" s="79"/>
      <c r="AL98" s="75"/>
      <c r="AM98" s="75"/>
      <c r="AN98" s="75"/>
      <c r="AO98" s="75"/>
      <c r="AP98" s="75"/>
      <c r="AQ98" s="75"/>
      <c r="AR98" s="75"/>
      <c r="AS98" s="77"/>
      <c r="AT98" s="74"/>
      <c r="AU98" s="78"/>
      <c r="AV98" s="79"/>
      <c r="AW98" s="75"/>
      <c r="AX98" s="75"/>
      <c r="AY98" s="75"/>
      <c r="AZ98" s="77"/>
      <c r="BA98" s="74"/>
      <c r="BB98" s="75"/>
      <c r="BC98" s="75"/>
      <c r="BD98" s="77"/>
      <c r="BE98" s="6">
        <f t="shared" si="23"/>
        <v>0</v>
      </c>
    </row>
    <row r="99" spans="1:57">
      <c r="A99" s="61"/>
      <c r="B99" s="40"/>
      <c r="C99" s="62">
        <f t="shared" si="15"/>
        <v>0</v>
      </c>
      <c r="D99" s="63">
        <f t="shared" si="16"/>
        <v>0</v>
      </c>
      <c r="E99" s="63">
        <f t="shared" si="17"/>
        <v>0</v>
      </c>
      <c r="F99" s="63">
        <f t="shared" si="18"/>
        <v>0</v>
      </c>
      <c r="G99" s="63">
        <f t="shared" si="20"/>
        <v>0</v>
      </c>
      <c r="H99" s="63">
        <f t="shared" si="19"/>
        <v>0</v>
      </c>
      <c r="I99" s="64">
        <f t="shared" si="21"/>
        <v>0</v>
      </c>
      <c r="J99" s="65"/>
      <c r="K99" s="65"/>
      <c r="L99" s="83"/>
      <c r="M99" s="108"/>
      <c r="N99" s="68"/>
      <c r="O99" s="62"/>
      <c r="P99" s="69"/>
      <c r="Q99" s="70"/>
      <c r="R99" s="50">
        <f t="shared" si="22"/>
        <v>0</v>
      </c>
      <c r="S99" s="71"/>
      <c r="T99" s="94"/>
      <c r="U99" s="72"/>
      <c r="V99" s="73"/>
      <c r="W99" s="74"/>
      <c r="X99" s="75"/>
      <c r="Y99" s="75"/>
      <c r="Z99" s="76"/>
      <c r="AA99" s="77"/>
      <c r="AB99" s="73"/>
      <c r="AC99" s="74"/>
      <c r="AD99" s="75"/>
      <c r="AE99" s="75"/>
      <c r="AF99" s="75"/>
      <c r="AG99" s="75"/>
      <c r="AH99" s="75"/>
      <c r="AI99" s="75"/>
      <c r="AJ99" s="78"/>
      <c r="AK99" s="79"/>
      <c r="AL99" s="75"/>
      <c r="AM99" s="75"/>
      <c r="AN99" s="75"/>
      <c r="AO99" s="75"/>
      <c r="AP99" s="75"/>
      <c r="AQ99" s="75"/>
      <c r="AR99" s="75"/>
      <c r="AS99" s="77"/>
      <c r="AT99" s="74"/>
      <c r="AU99" s="78"/>
      <c r="AV99" s="79"/>
      <c r="AW99" s="75"/>
      <c r="AX99" s="75"/>
      <c r="AY99" s="75"/>
      <c r="AZ99" s="77"/>
      <c r="BA99" s="74"/>
      <c r="BB99" s="75"/>
      <c r="BC99" s="75"/>
      <c r="BD99" s="77"/>
      <c r="BE99" s="6">
        <f t="shared" si="23"/>
        <v>0</v>
      </c>
    </row>
    <row r="100" spans="1:57">
      <c r="A100" s="61"/>
      <c r="B100" s="40"/>
      <c r="C100" s="62">
        <f t="shared" si="15"/>
        <v>0</v>
      </c>
      <c r="D100" s="63">
        <f t="shared" si="16"/>
        <v>0</v>
      </c>
      <c r="E100" s="63">
        <f t="shared" si="17"/>
        <v>0</v>
      </c>
      <c r="F100" s="63">
        <f t="shared" si="18"/>
        <v>0</v>
      </c>
      <c r="G100" s="63">
        <f t="shared" si="20"/>
        <v>0</v>
      </c>
      <c r="H100" s="63">
        <f t="shared" si="19"/>
        <v>0</v>
      </c>
      <c r="I100" s="64">
        <f t="shared" si="21"/>
        <v>0</v>
      </c>
      <c r="J100" s="65"/>
      <c r="K100" s="65"/>
      <c r="L100" s="83"/>
      <c r="M100" s="67"/>
      <c r="N100" s="68"/>
      <c r="O100" s="62"/>
      <c r="P100" s="69"/>
      <c r="Q100" s="70"/>
      <c r="R100" s="50">
        <f t="shared" si="22"/>
        <v>0</v>
      </c>
      <c r="S100" s="71"/>
      <c r="T100" s="94"/>
      <c r="U100" s="72"/>
      <c r="V100" s="73"/>
      <c r="W100" s="74"/>
      <c r="X100" s="75"/>
      <c r="Y100" s="75"/>
      <c r="Z100" s="76"/>
      <c r="AA100" s="77"/>
      <c r="AB100" s="73"/>
      <c r="AC100" s="74"/>
      <c r="AD100" s="75"/>
      <c r="AE100" s="75"/>
      <c r="AF100" s="75"/>
      <c r="AG100" s="75"/>
      <c r="AH100" s="75"/>
      <c r="AI100" s="75"/>
      <c r="AJ100" s="78"/>
      <c r="AK100" s="79"/>
      <c r="AL100" s="75"/>
      <c r="AM100" s="75"/>
      <c r="AN100" s="75"/>
      <c r="AO100" s="75"/>
      <c r="AP100" s="75"/>
      <c r="AQ100" s="75"/>
      <c r="AR100" s="75"/>
      <c r="AS100" s="77"/>
      <c r="AT100" s="74"/>
      <c r="AU100" s="78"/>
      <c r="AV100" s="79"/>
      <c r="AW100" s="75"/>
      <c r="AX100" s="75"/>
      <c r="AY100" s="75"/>
      <c r="AZ100" s="77"/>
      <c r="BA100" s="74"/>
      <c r="BB100" s="75"/>
      <c r="BC100" s="75"/>
      <c r="BD100" s="77"/>
      <c r="BE100" s="6">
        <f t="shared" si="23"/>
        <v>0</v>
      </c>
    </row>
    <row r="101" spans="1:57">
      <c r="A101" s="61"/>
      <c r="B101" s="40"/>
      <c r="C101" s="62">
        <f t="shared" ref="C101:C113" si="24">SUM(AB101:AJ101)</f>
        <v>0</v>
      </c>
      <c r="D101" s="63">
        <f t="shared" ref="D101:D113" si="25">SUM(AK101:AS101)</f>
        <v>0</v>
      </c>
      <c r="E101" s="63">
        <f t="shared" ref="E101:E113" si="26">SUM(AT101:AU101)</f>
        <v>0</v>
      </c>
      <c r="F101" s="63">
        <f t="shared" ref="F101:F113" si="27">SUM(AV101:AZ101)</f>
        <v>0</v>
      </c>
      <c r="G101" s="63">
        <f t="shared" si="20"/>
        <v>0</v>
      </c>
      <c r="H101" s="63">
        <f t="shared" ref="H101:H113" si="28">SUM(V101:AA101)</f>
        <v>0</v>
      </c>
      <c r="I101" s="64">
        <f t="shared" si="21"/>
        <v>0</v>
      </c>
      <c r="J101" s="65"/>
      <c r="K101" s="65"/>
      <c r="L101" s="83"/>
      <c r="M101" s="67"/>
      <c r="N101" s="68"/>
      <c r="O101" s="62"/>
      <c r="P101" s="69"/>
      <c r="Q101" s="70"/>
      <c r="R101" s="50">
        <f t="shared" si="22"/>
        <v>0</v>
      </c>
      <c r="S101" s="71"/>
      <c r="T101" s="94"/>
      <c r="U101" s="72"/>
      <c r="V101" s="73"/>
      <c r="W101" s="74"/>
      <c r="X101" s="75"/>
      <c r="Y101" s="75"/>
      <c r="Z101" s="76"/>
      <c r="AA101" s="77"/>
      <c r="AB101" s="73"/>
      <c r="AC101" s="74"/>
      <c r="AD101" s="75"/>
      <c r="AE101" s="75"/>
      <c r="AF101" s="75"/>
      <c r="AG101" s="75"/>
      <c r="AH101" s="75"/>
      <c r="AI101" s="75"/>
      <c r="AJ101" s="78"/>
      <c r="AK101" s="79"/>
      <c r="AL101" s="75"/>
      <c r="AM101" s="75"/>
      <c r="AN101" s="75"/>
      <c r="AO101" s="75"/>
      <c r="AP101" s="75"/>
      <c r="AQ101" s="75"/>
      <c r="AR101" s="75"/>
      <c r="AS101" s="77"/>
      <c r="AT101" s="74"/>
      <c r="AU101" s="78"/>
      <c r="AV101" s="79"/>
      <c r="AW101" s="75"/>
      <c r="AX101" s="75"/>
      <c r="AY101" s="75"/>
      <c r="AZ101" s="77"/>
      <c r="BA101" s="74"/>
      <c r="BB101" s="75"/>
      <c r="BC101" s="75"/>
      <c r="BD101" s="77"/>
      <c r="BE101" s="6">
        <f t="shared" si="23"/>
        <v>0</v>
      </c>
    </row>
    <row r="102" spans="1:57">
      <c r="A102" s="61"/>
      <c r="B102" s="40"/>
      <c r="C102" s="62">
        <f t="shared" si="24"/>
        <v>0</v>
      </c>
      <c r="D102" s="63">
        <f t="shared" si="25"/>
        <v>0</v>
      </c>
      <c r="E102" s="63">
        <f t="shared" si="26"/>
        <v>0</v>
      </c>
      <c r="F102" s="63">
        <f t="shared" si="27"/>
        <v>0</v>
      </c>
      <c r="G102" s="63">
        <f t="shared" si="20"/>
        <v>0</v>
      </c>
      <c r="H102" s="63">
        <f t="shared" si="28"/>
        <v>0</v>
      </c>
      <c r="I102" s="64">
        <f t="shared" si="21"/>
        <v>0</v>
      </c>
      <c r="J102" s="65"/>
      <c r="K102" s="65"/>
      <c r="L102" s="83"/>
      <c r="M102" s="67"/>
      <c r="N102" s="68"/>
      <c r="O102" s="62"/>
      <c r="P102" s="69"/>
      <c r="Q102" s="70"/>
      <c r="R102" s="50">
        <f t="shared" si="22"/>
        <v>0</v>
      </c>
      <c r="S102" s="71"/>
      <c r="T102" s="94"/>
      <c r="U102" s="72"/>
      <c r="V102" s="73"/>
      <c r="W102" s="74"/>
      <c r="X102" s="75"/>
      <c r="Y102" s="75"/>
      <c r="Z102" s="76"/>
      <c r="AA102" s="77"/>
      <c r="AB102" s="73"/>
      <c r="AC102" s="74"/>
      <c r="AD102" s="75"/>
      <c r="AE102" s="75"/>
      <c r="AF102" s="75"/>
      <c r="AG102" s="75"/>
      <c r="AH102" s="75"/>
      <c r="AI102" s="75"/>
      <c r="AJ102" s="78"/>
      <c r="AK102" s="79"/>
      <c r="AL102" s="75"/>
      <c r="AM102" s="75"/>
      <c r="AN102" s="75"/>
      <c r="AO102" s="75"/>
      <c r="AP102" s="75"/>
      <c r="AQ102" s="75"/>
      <c r="AR102" s="75"/>
      <c r="AS102" s="77"/>
      <c r="AT102" s="74"/>
      <c r="AU102" s="78"/>
      <c r="AV102" s="79"/>
      <c r="AW102" s="75"/>
      <c r="AX102" s="75"/>
      <c r="AY102" s="75"/>
      <c r="AZ102" s="77"/>
      <c r="BA102" s="74"/>
      <c r="BB102" s="75"/>
      <c r="BC102" s="75"/>
      <c r="BD102" s="77"/>
      <c r="BE102" s="6">
        <f t="shared" si="23"/>
        <v>0</v>
      </c>
    </row>
    <row r="103" spans="1:57">
      <c r="A103" s="61"/>
      <c r="B103" s="40"/>
      <c r="C103" s="62">
        <f t="shared" si="24"/>
        <v>0</v>
      </c>
      <c r="D103" s="63">
        <f t="shared" si="25"/>
        <v>0</v>
      </c>
      <c r="E103" s="63">
        <f t="shared" si="26"/>
        <v>0</v>
      </c>
      <c r="F103" s="63">
        <f t="shared" si="27"/>
        <v>0</v>
      </c>
      <c r="G103" s="63">
        <f t="shared" si="20"/>
        <v>0</v>
      </c>
      <c r="H103" s="63">
        <f t="shared" si="28"/>
        <v>0</v>
      </c>
      <c r="I103" s="64">
        <f t="shared" si="21"/>
        <v>0</v>
      </c>
      <c r="J103" s="65"/>
      <c r="K103" s="65"/>
      <c r="L103" s="83"/>
      <c r="M103" s="67"/>
      <c r="N103" s="68"/>
      <c r="O103" s="62"/>
      <c r="P103" s="69"/>
      <c r="Q103" s="70"/>
      <c r="R103" s="50">
        <f t="shared" si="22"/>
        <v>0</v>
      </c>
      <c r="S103" s="71"/>
      <c r="T103" s="94"/>
      <c r="U103" s="72"/>
      <c r="V103" s="73"/>
      <c r="W103" s="74"/>
      <c r="X103" s="75"/>
      <c r="Y103" s="74"/>
      <c r="Z103" s="73"/>
      <c r="AA103" s="77"/>
      <c r="AB103" s="73"/>
      <c r="AC103" s="74"/>
      <c r="AD103" s="75"/>
      <c r="AE103" s="75"/>
      <c r="AF103" s="75"/>
      <c r="AG103" s="75"/>
      <c r="AH103" s="75"/>
      <c r="AI103" s="75"/>
      <c r="AJ103" s="78"/>
      <c r="AK103" s="79"/>
      <c r="AL103" s="75"/>
      <c r="AM103" s="75"/>
      <c r="AN103" s="75"/>
      <c r="AO103" s="75"/>
      <c r="AP103" s="75"/>
      <c r="AQ103" s="75"/>
      <c r="AR103" s="75"/>
      <c r="AS103" s="77"/>
      <c r="AT103" s="74"/>
      <c r="AU103" s="78"/>
      <c r="AV103" s="79"/>
      <c r="AW103" s="75"/>
      <c r="AX103" s="75"/>
      <c r="AY103" s="75"/>
      <c r="AZ103" s="77"/>
      <c r="BA103" s="74"/>
      <c r="BB103" s="75"/>
      <c r="BC103" s="75"/>
      <c r="BD103" s="77"/>
      <c r="BE103" s="6">
        <f t="shared" si="23"/>
        <v>0</v>
      </c>
    </row>
    <row r="104" spans="1:57">
      <c r="A104" s="61"/>
      <c r="B104" s="40"/>
      <c r="C104" s="62">
        <f t="shared" si="24"/>
        <v>0</v>
      </c>
      <c r="D104" s="63">
        <f t="shared" si="25"/>
        <v>0</v>
      </c>
      <c r="E104" s="63">
        <f t="shared" si="26"/>
        <v>0</v>
      </c>
      <c r="F104" s="63">
        <f t="shared" si="27"/>
        <v>0</v>
      </c>
      <c r="G104" s="63">
        <f t="shared" si="20"/>
        <v>0</v>
      </c>
      <c r="H104" s="63">
        <f t="shared" si="28"/>
        <v>0</v>
      </c>
      <c r="I104" s="64">
        <f t="shared" si="21"/>
        <v>0</v>
      </c>
      <c r="J104" s="65"/>
      <c r="K104" s="65"/>
      <c r="L104" s="83"/>
      <c r="M104" s="67"/>
      <c r="N104" s="68"/>
      <c r="O104" s="62"/>
      <c r="P104" s="69"/>
      <c r="Q104" s="70"/>
      <c r="R104" s="50">
        <f t="shared" si="22"/>
        <v>0</v>
      </c>
      <c r="S104" s="71"/>
      <c r="T104" s="94"/>
      <c r="U104" s="72"/>
      <c r="V104" s="73"/>
      <c r="W104" s="74"/>
      <c r="X104" s="75"/>
      <c r="Y104" s="74"/>
      <c r="Z104" s="73"/>
      <c r="AA104" s="77"/>
      <c r="AB104" s="73"/>
      <c r="AC104" s="74"/>
      <c r="AD104" s="75"/>
      <c r="AE104" s="75"/>
      <c r="AF104" s="75"/>
      <c r="AG104" s="75"/>
      <c r="AH104" s="75"/>
      <c r="AI104" s="75"/>
      <c r="AJ104" s="78"/>
      <c r="AK104" s="79"/>
      <c r="AL104" s="75"/>
      <c r="AM104" s="75"/>
      <c r="AN104" s="75"/>
      <c r="AO104" s="75"/>
      <c r="AP104" s="75"/>
      <c r="AQ104" s="75"/>
      <c r="AR104" s="75"/>
      <c r="AS104" s="77"/>
      <c r="AT104" s="74"/>
      <c r="AU104" s="78"/>
      <c r="AV104" s="79"/>
      <c r="AW104" s="75"/>
      <c r="AX104" s="75"/>
      <c r="AY104" s="75"/>
      <c r="AZ104" s="77"/>
      <c r="BA104" s="74"/>
      <c r="BB104" s="75"/>
      <c r="BC104" s="75"/>
      <c r="BD104" s="77"/>
      <c r="BE104" s="6">
        <f t="shared" si="23"/>
        <v>0</v>
      </c>
    </row>
    <row r="105" spans="1:57">
      <c r="A105" s="61"/>
      <c r="B105" s="40"/>
      <c r="C105" s="62">
        <f t="shared" si="24"/>
        <v>0</v>
      </c>
      <c r="D105" s="63">
        <f t="shared" si="25"/>
        <v>0</v>
      </c>
      <c r="E105" s="63">
        <f t="shared" si="26"/>
        <v>0</v>
      </c>
      <c r="F105" s="63">
        <f t="shared" si="27"/>
        <v>0</v>
      </c>
      <c r="G105" s="63">
        <f t="shared" si="20"/>
        <v>0</v>
      </c>
      <c r="H105" s="63">
        <f t="shared" si="28"/>
        <v>0</v>
      </c>
      <c r="I105" s="64">
        <f t="shared" si="21"/>
        <v>0</v>
      </c>
      <c r="J105" s="65"/>
      <c r="K105" s="65"/>
      <c r="L105" s="83"/>
      <c r="M105" s="67"/>
      <c r="N105" s="68"/>
      <c r="O105" s="62"/>
      <c r="P105" s="69"/>
      <c r="Q105" s="70"/>
      <c r="R105" s="50">
        <f t="shared" si="22"/>
        <v>0</v>
      </c>
      <c r="S105" s="71"/>
      <c r="T105" s="94"/>
      <c r="U105" s="72"/>
      <c r="V105" s="73"/>
      <c r="W105" s="74"/>
      <c r="X105" s="75"/>
      <c r="Y105" s="74"/>
      <c r="Z105" s="73"/>
      <c r="AA105" s="77"/>
      <c r="AB105" s="73"/>
      <c r="AC105" s="74"/>
      <c r="AD105" s="75"/>
      <c r="AE105" s="75"/>
      <c r="AF105" s="75"/>
      <c r="AG105" s="75"/>
      <c r="AH105" s="75"/>
      <c r="AI105" s="75"/>
      <c r="AJ105" s="78"/>
      <c r="AK105" s="79"/>
      <c r="AL105" s="75"/>
      <c r="AM105" s="75"/>
      <c r="AN105" s="75"/>
      <c r="AO105" s="75"/>
      <c r="AP105" s="75"/>
      <c r="AQ105" s="75"/>
      <c r="AR105" s="75"/>
      <c r="AS105" s="77"/>
      <c r="AT105" s="74"/>
      <c r="AU105" s="78"/>
      <c r="AV105" s="79"/>
      <c r="AW105" s="75"/>
      <c r="AX105" s="75"/>
      <c r="AY105" s="75"/>
      <c r="AZ105" s="77"/>
      <c r="BA105" s="74"/>
      <c r="BB105" s="75"/>
      <c r="BC105" s="75"/>
      <c r="BD105" s="77"/>
      <c r="BE105" s="6">
        <f t="shared" si="23"/>
        <v>0</v>
      </c>
    </row>
    <row r="106" spans="1:57" ht="16.2" customHeight="1">
      <c r="A106" s="61"/>
      <c r="B106" s="40"/>
      <c r="C106" s="62">
        <f t="shared" si="24"/>
        <v>0</v>
      </c>
      <c r="D106" s="63">
        <f t="shared" si="25"/>
        <v>0</v>
      </c>
      <c r="E106" s="63">
        <f t="shared" si="26"/>
        <v>0</v>
      </c>
      <c r="F106" s="63">
        <f t="shared" si="27"/>
        <v>0</v>
      </c>
      <c r="G106" s="63">
        <f t="shared" si="20"/>
        <v>0</v>
      </c>
      <c r="H106" s="63">
        <f t="shared" si="28"/>
        <v>0</v>
      </c>
      <c r="I106" s="64">
        <f t="shared" si="21"/>
        <v>0</v>
      </c>
      <c r="J106" s="65"/>
      <c r="K106" s="65"/>
      <c r="L106" s="83"/>
      <c r="M106" s="67"/>
      <c r="N106" s="68"/>
      <c r="O106" s="62"/>
      <c r="P106" s="69"/>
      <c r="Q106" s="70"/>
      <c r="R106" s="50">
        <f t="shared" si="22"/>
        <v>0</v>
      </c>
      <c r="S106" s="71"/>
      <c r="T106" s="94"/>
      <c r="U106" s="72"/>
      <c r="V106" s="73"/>
      <c r="W106" s="74"/>
      <c r="X106" s="75"/>
      <c r="Y106" s="74"/>
      <c r="Z106" s="73"/>
      <c r="AA106" s="77"/>
      <c r="AB106" s="73"/>
      <c r="AC106" s="74"/>
      <c r="AD106" s="75"/>
      <c r="AE106" s="75"/>
      <c r="AF106" s="75"/>
      <c r="AG106" s="75"/>
      <c r="AH106" s="75"/>
      <c r="AI106" s="75"/>
      <c r="AJ106" s="78"/>
      <c r="AK106" s="79"/>
      <c r="AL106" s="75"/>
      <c r="AM106" s="75"/>
      <c r="AN106" s="75"/>
      <c r="AO106" s="75"/>
      <c r="AP106" s="75"/>
      <c r="AQ106" s="75"/>
      <c r="AR106" s="75"/>
      <c r="AS106" s="77"/>
      <c r="AT106" s="74"/>
      <c r="AU106" s="78"/>
      <c r="AV106" s="79"/>
      <c r="AW106" s="75"/>
      <c r="AX106" s="75"/>
      <c r="AY106" s="75"/>
      <c r="AZ106" s="77"/>
      <c r="BA106" s="74"/>
      <c r="BB106" s="75"/>
      <c r="BC106" s="75"/>
      <c r="BD106" s="77"/>
      <c r="BE106" s="6">
        <f t="shared" si="23"/>
        <v>0</v>
      </c>
    </row>
    <row r="107" spans="1:57">
      <c r="A107" s="61"/>
      <c r="B107" s="40"/>
      <c r="C107" s="62">
        <f t="shared" si="24"/>
        <v>0</v>
      </c>
      <c r="D107" s="63">
        <f t="shared" si="25"/>
        <v>0</v>
      </c>
      <c r="E107" s="63">
        <f t="shared" si="26"/>
        <v>0</v>
      </c>
      <c r="F107" s="63">
        <f t="shared" si="27"/>
        <v>0</v>
      </c>
      <c r="G107" s="63">
        <f t="shared" si="20"/>
        <v>0</v>
      </c>
      <c r="H107" s="63">
        <f t="shared" si="28"/>
        <v>0</v>
      </c>
      <c r="I107" s="64">
        <f t="shared" si="21"/>
        <v>0</v>
      </c>
      <c r="J107" s="65"/>
      <c r="K107" s="65"/>
      <c r="L107" s="83"/>
      <c r="M107" s="67"/>
      <c r="N107" s="68"/>
      <c r="O107" s="62"/>
      <c r="P107" s="69"/>
      <c r="Q107" s="70"/>
      <c r="R107" s="50">
        <f t="shared" si="22"/>
        <v>0</v>
      </c>
      <c r="S107" s="109"/>
      <c r="T107" s="94"/>
      <c r="U107" s="72"/>
      <c r="V107" s="73"/>
      <c r="W107" s="74"/>
      <c r="X107" s="75"/>
      <c r="Y107" s="75"/>
      <c r="Z107" s="76"/>
      <c r="AA107" s="77"/>
      <c r="AB107" s="73"/>
      <c r="AC107" s="74"/>
      <c r="AD107" s="75"/>
      <c r="AE107" s="75"/>
      <c r="AF107" s="75"/>
      <c r="AG107" s="75"/>
      <c r="AH107" s="75"/>
      <c r="AI107" s="75"/>
      <c r="AJ107" s="78"/>
      <c r="AK107" s="79"/>
      <c r="AL107" s="75"/>
      <c r="AM107" s="75"/>
      <c r="AN107" s="75"/>
      <c r="AO107" s="75"/>
      <c r="AP107" s="75"/>
      <c r="AQ107" s="75"/>
      <c r="AR107" s="75"/>
      <c r="AS107" s="77"/>
      <c r="AT107" s="74"/>
      <c r="AU107" s="78"/>
      <c r="AV107" s="79"/>
      <c r="AW107" s="75"/>
      <c r="AX107" s="75"/>
      <c r="AY107" s="75"/>
      <c r="AZ107" s="77"/>
      <c r="BA107" s="74"/>
      <c r="BB107" s="75"/>
      <c r="BC107" s="75"/>
      <c r="BD107" s="77"/>
      <c r="BE107" s="6">
        <f t="shared" si="23"/>
        <v>0</v>
      </c>
    </row>
    <row r="108" spans="1:57">
      <c r="A108" s="61"/>
      <c r="B108" s="40"/>
      <c r="C108" s="62">
        <f t="shared" si="24"/>
        <v>0</v>
      </c>
      <c r="D108" s="63">
        <f t="shared" si="25"/>
        <v>0</v>
      </c>
      <c r="E108" s="63">
        <f t="shared" si="26"/>
        <v>0</v>
      </c>
      <c r="F108" s="63">
        <f t="shared" si="27"/>
        <v>0</v>
      </c>
      <c r="G108" s="63">
        <f t="shared" si="20"/>
        <v>0</v>
      </c>
      <c r="H108" s="63">
        <f t="shared" si="28"/>
        <v>0</v>
      </c>
      <c r="I108" s="64">
        <f t="shared" si="21"/>
        <v>0</v>
      </c>
      <c r="J108" s="65"/>
      <c r="K108" s="65"/>
      <c r="L108" s="83"/>
      <c r="M108" s="67"/>
      <c r="N108" s="68"/>
      <c r="O108" s="62"/>
      <c r="P108" s="69"/>
      <c r="Q108" s="70"/>
      <c r="R108" s="50">
        <f t="shared" si="22"/>
        <v>0</v>
      </c>
      <c r="S108" s="71"/>
      <c r="T108" s="94"/>
      <c r="U108" s="72"/>
      <c r="V108" s="73"/>
      <c r="W108" s="74"/>
      <c r="X108" s="75"/>
      <c r="Y108" s="75"/>
      <c r="Z108" s="76"/>
      <c r="AA108" s="77"/>
      <c r="AB108" s="73"/>
      <c r="AC108" s="74"/>
      <c r="AD108" s="75"/>
      <c r="AE108" s="75"/>
      <c r="AF108" s="75"/>
      <c r="AG108" s="75"/>
      <c r="AH108" s="75"/>
      <c r="AI108" s="75"/>
      <c r="AJ108" s="78"/>
      <c r="AK108" s="79"/>
      <c r="AL108" s="75"/>
      <c r="AM108" s="75"/>
      <c r="AN108" s="75"/>
      <c r="AO108" s="75"/>
      <c r="AP108" s="75"/>
      <c r="AQ108" s="75"/>
      <c r="AR108" s="75"/>
      <c r="AS108" s="77"/>
      <c r="AT108" s="74"/>
      <c r="AU108" s="78"/>
      <c r="AV108" s="79"/>
      <c r="AW108" s="75"/>
      <c r="AX108" s="75"/>
      <c r="AY108" s="75"/>
      <c r="AZ108" s="77"/>
      <c r="BA108" s="74"/>
      <c r="BB108" s="75"/>
      <c r="BC108" s="75"/>
      <c r="BD108" s="77"/>
      <c r="BE108" s="6">
        <f t="shared" si="23"/>
        <v>0</v>
      </c>
    </row>
    <row r="109" spans="1:57">
      <c r="A109" s="61"/>
      <c r="B109" s="40"/>
      <c r="C109" s="62">
        <f t="shared" si="24"/>
        <v>0</v>
      </c>
      <c r="D109" s="63">
        <f t="shared" si="25"/>
        <v>0</v>
      </c>
      <c r="E109" s="63">
        <f t="shared" si="26"/>
        <v>0</v>
      </c>
      <c r="F109" s="63">
        <f t="shared" si="27"/>
        <v>0</v>
      </c>
      <c r="G109" s="63">
        <f t="shared" si="20"/>
        <v>0</v>
      </c>
      <c r="H109" s="63">
        <f t="shared" si="28"/>
        <v>0</v>
      </c>
      <c r="I109" s="64">
        <f t="shared" si="21"/>
        <v>0</v>
      </c>
      <c r="J109" s="65"/>
      <c r="K109" s="65"/>
      <c r="L109" s="83"/>
      <c r="M109" s="67"/>
      <c r="N109" s="68"/>
      <c r="O109" s="62"/>
      <c r="P109" s="69"/>
      <c r="Q109" s="70"/>
      <c r="R109" s="50">
        <f t="shared" si="22"/>
        <v>0</v>
      </c>
      <c r="S109" s="71"/>
      <c r="T109" s="94"/>
      <c r="U109" s="72"/>
      <c r="V109" s="73"/>
      <c r="W109" s="74"/>
      <c r="X109" s="75"/>
      <c r="Y109" s="75"/>
      <c r="Z109" s="76"/>
      <c r="AA109" s="77"/>
      <c r="AB109" s="73"/>
      <c r="AC109" s="74"/>
      <c r="AD109" s="75"/>
      <c r="AE109" s="75"/>
      <c r="AF109" s="75"/>
      <c r="AG109" s="75"/>
      <c r="AH109" s="75"/>
      <c r="AI109" s="75"/>
      <c r="AJ109" s="78"/>
      <c r="AK109" s="79"/>
      <c r="AL109" s="75"/>
      <c r="AM109" s="75"/>
      <c r="AN109" s="75"/>
      <c r="AO109" s="75"/>
      <c r="AP109" s="75"/>
      <c r="AQ109" s="75"/>
      <c r="AR109" s="75"/>
      <c r="AS109" s="77"/>
      <c r="AT109" s="74"/>
      <c r="AU109" s="78"/>
      <c r="AV109" s="79"/>
      <c r="AW109" s="75"/>
      <c r="AX109" s="75"/>
      <c r="AY109" s="75"/>
      <c r="AZ109" s="77"/>
      <c r="BA109" s="74"/>
      <c r="BB109" s="75"/>
      <c r="BC109" s="75"/>
      <c r="BD109" s="77"/>
      <c r="BE109" s="6">
        <f t="shared" si="23"/>
        <v>0</v>
      </c>
    </row>
    <row r="110" spans="1:57">
      <c r="A110" s="61"/>
      <c r="B110" s="40"/>
      <c r="C110" s="62">
        <f t="shared" si="24"/>
        <v>0</v>
      </c>
      <c r="D110" s="63">
        <f t="shared" si="25"/>
        <v>0</v>
      </c>
      <c r="E110" s="63">
        <f t="shared" si="26"/>
        <v>0</v>
      </c>
      <c r="F110" s="63">
        <f t="shared" si="27"/>
        <v>0</v>
      </c>
      <c r="G110" s="63">
        <f t="shared" si="20"/>
        <v>0</v>
      </c>
      <c r="H110" s="63">
        <f t="shared" si="28"/>
        <v>0</v>
      </c>
      <c r="I110" s="64">
        <f t="shared" si="21"/>
        <v>0</v>
      </c>
      <c r="J110" s="65"/>
      <c r="K110" s="65"/>
      <c r="L110" s="83"/>
      <c r="M110" s="67"/>
      <c r="N110" s="68"/>
      <c r="O110" s="62"/>
      <c r="P110" s="69"/>
      <c r="Q110" s="70"/>
      <c r="R110" s="50">
        <f t="shared" si="22"/>
        <v>0</v>
      </c>
      <c r="S110" s="71"/>
      <c r="T110" s="94"/>
      <c r="U110" s="72"/>
      <c r="V110" s="73"/>
      <c r="W110" s="74"/>
      <c r="X110" s="75"/>
      <c r="Y110" s="75"/>
      <c r="Z110" s="76"/>
      <c r="AA110" s="77"/>
      <c r="AB110" s="73"/>
      <c r="AC110" s="74"/>
      <c r="AD110" s="75"/>
      <c r="AE110" s="75"/>
      <c r="AF110" s="75"/>
      <c r="AG110" s="75"/>
      <c r="AH110" s="75"/>
      <c r="AI110" s="75"/>
      <c r="AJ110" s="78"/>
      <c r="AK110" s="79"/>
      <c r="AL110" s="75"/>
      <c r="AM110" s="75"/>
      <c r="AN110" s="75"/>
      <c r="AO110" s="75"/>
      <c r="AP110" s="75"/>
      <c r="AQ110" s="75"/>
      <c r="AR110" s="75"/>
      <c r="AS110" s="77"/>
      <c r="AT110" s="74"/>
      <c r="AU110" s="78"/>
      <c r="AV110" s="79"/>
      <c r="AW110" s="75"/>
      <c r="AX110" s="75"/>
      <c r="AY110" s="75"/>
      <c r="AZ110" s="77"/>
      <c r="BA110" s="74"/>
      <c r="BB110" s="75"/>
      <c r="BC110" s="75"/>
      <c r="BD110" s="77"/>
      <c r="BE110" s="6">
        <f t="shared" si="23"/>
        <v>0</v>
      </c>
    </row>
    <row r="111" spans="1:57">
      <c r="A111" s="61"/>
      <c r="B111" s="40"/>
      <c r="C111" s="62">
        <f t="shared" si="24"/>
        <v>0</v>
      </c>
      <c r="D111" s="63">
        <f t="shared" si="25"/>
        <v>0</v>
      </c>
      <c r="E111" s="63">
        <f t="shared" si="26"/>
        <v>0</v>
      </c>
      <c r="F111" s="63">
        <f t="shared" si="27"/>
        <v>0</v>
      </c>
      <c r="G111" s="63">
        <f t="shared" si="20"/>
        <v>0</v>
      </c>
      <c r="H111" s="63">
        <f t="shared" si="28"/>
        <v>0</v>
      </c>
      <c r="I111" s="64">
        <f t="shared" si="21"/>
        <v>0</v>
      </c>
      <c r="J111" s="65"/>
      <c r="K111" s="65"/>
      <c r="L111" s="83"/>
      <c r="M111" s="67"/>
      <c r="N111" s="68"/>
      <c r="O111" s="62"/>
      <c r="P111" s="69"/>
      <c r="Q111" s="70"/>
      <c r="R111" s="50">
        <f t="shared" si="22"/>
        <v>0</v>
      </c>
      <c r="S111" s="71"/>
      <c r="T111" s="94"/>
      <c r="U111" s="72"/>
      <c r="V111" s="73"/>
      <c r="W111" s="74"/>
      <c r="X111" s="75"/>
      <c r="Y111" s="75"/>
      <c r="Z111" s="76"/>
      <c r="AA111" s="77"/>
      <c r="AB111" s="106"/>
      <c r="AC111" s="106"/>
      <c r="AD111" s="75"/>
      <c r="AE111" s="75"/>
      <c r="AF111" s="75"/>
      <c r="AG111" s="75"/>
      <c r="AH111" s="75"/>
      <c r="AI111" s="75"/>
      <c r="AJ111" s="78"/>
      <c r="AK111" s="79"/>
      <c r="AL111" s="75"/>
      <c r="AM111" s="75"/>
      <c r="AN111" s="75"/>
      <c r="AO111" s="75"/>
      <c r="AP111" s="75"/>
      <c r="AQ111" s="75"/>
      <c r="AR111" s="75"/>
      <c r="AS111" s="77"/>
      <c r="AT111" s="74"/>
      <c r="AU111" s="78"/>
      <c r="AV111" s="79"/>
      <c r="AW111" s="75"/>
      <c r="AX111" s="75"/>
      <c r="AY111" s="75"/>
      <c r="AZ111" s="77"/>
      <c r="BA111" s="74"/>
      <c r="BB111" s="75"/>
      <c r="BC111" s="75"/>
      <c r="BD111" s="77"/>
      <c r="BE111" s="6">
        <f t="shared" ref="BE111:BE114" si="29">I111-SUM(AB111:BD111)</f>
        <v>0</v>
      </c>
    </row>
    <row r="112" spans="1:57" ht="16.2" customHeight="1">
      <c r="A112" s="61"/>
      <c r="B112" s="40"/>
      <c r="C112" s="62">
        <f t="shared" si="24"/>
        <v>0</v>
      </c>
      <c r="D112" s="63">
        <f t="shared" si="25"/>
        <v>0</v>
      </c>
      <c r="E112" s="63">
        <f t="shared" si="26"/>
        <v>0</v>
      </c>
      <c r="F112" s="63">
        <f t="shared" si="27"/>
        <v>0</v>
      </c>
      <c r="G112" s="63">
        <f t="shared" si="20"/>
        <v>0</v>
      </c>
      <c r="H112" s="63">
        <f t="shared" si="28"/>
        <v>0</v>
      </c>
      <c r="I112" s="64">
        <f t="shared" si="21"/>
        <v>0</v>
      </c>
      <c r="J112" s="65"/>
      <c r="K112" s="65"/>
      <c r="L112" s="83"/>
      <c r="M112" s="67"/>
      <c r="N112" s="68"/>
      <c r="O112" s="62"/>
      <c r="P112" s="69"/>
      <c r="Q112" s="70"/>
      <c r="R112" s="50">
        <f t="shared" si="22"/>
        <v>0</v>
      </c>
      <c r="S112" s="71"/>
      <c r="T112" s="94"/>
      <c r="U112" s="72"/>
      <c r="V112" s="73"/>
      <c r="W112" s="74"/>
      <c r="X112" s="75"/>
      <c r="Y112" s="75"/>
      <c r="Z112" s="76"/>
      <c r="AA112" s="77"/>
      <c r="AB112" s="73"/>
      <c r="AC112" s="74"/>
      <c r="AD112" s="75"/>
      <c r="AE112" s="75"/>
      <c r="AF112" s="75"/>
      <c r="AG112" s="75"/>
      <c r="AH112" s="75"/>
      <c r="AI112" s="75"/>
      <c r="AJ112" s="78"/>
      <c r="AK112" s="79"/>
      <c r="AL112" s="75"/>
      <c r="AM112" s="75"/>
      <c r="AN112" s="75"/>
      <c r="AO112" s="75"/>
      <c r="AP112" s="75"/>
      <c r="AQ112" s="75"/>
      <c r="AR112" s="75"/>
      <c r="AS112" s="77"/>
      <c r="AT112" s="74"/>
      <c r="AU112" s="78"/>
      <c r="AV112" s="79"/>
      <c r="AW112" s="75"/>
      <c r="AX112" s="75"/>
      <c r="AY112" s="75"/>
      <c r="AZ112" s="77"/>
      <c r="BA112" s="74"/>
      <c r="BB112" s="75"/>
      <c r="BC112" s="75"/>
      <c r="BD112" s="77"/>
      <c r="BE112" s="6">
        <f t="shared" si="29"/>
        <v>0</v>
      </c>
    </row>
    <row r="113" spans="1:57">
      <c r="A113" s="61"/>
      <c r="B113" s="40"/>
      <c r="C113" s="62">
        <f t="shared" si="24"/>
        <v>0</v>
      </c>
      <c r="D113" s="63">
        <f t="shared" si="25"/>
        <v>0</v>
      </c>
      <c r="E113" s="63">
        <f t="shared" si="26"/>
        <v>0</v>
      </c>
      <c r="F113" s="63">
        <f t="shared" si="27"/>
        <v>0</v>
      </c>
      <c r="G113" s="63">
        <f t="shared" si="20"/>
        <v>0</v>
      </c>
      <c r="H113" s="63">
        <f t="shared" si="28"/>
        <v>0</v>
      </c>
      <c r="I113" s="64">
        <f t="shared" si="21"/>
        <v>0</v>
      </c>
      <c r="J113" s="65"/>
      <c r="K113" s="65"/>
      <c r="L113" s="83"/>
      <c r="M113" s="67"/>
      <c r="N113" s="68"/>
      <c r="O113" s="62"/>
      <c r="P113" s="69"/>
      <c r="Q113" s="70"/>
      <c r="R113" s="50">
        <f t="shared" si="22"/>
        <v>0</v>
      </c>
      <c r="S113" s="71"/>
      <c r="T113" s="94"/>
      <c r="U113" s="72"/>
      <c r="V113" s="73"/>
      <c r="W113" s="74"/>
      <c r="X113" s="75"/>
      <c r="Y113" s="75"/>
      <c r="Z113" s="76"/>
      <c r="AA113" s="77"/>
      <c r="AB113" s="73"/>
      <c r="AC113" s="74"/>
      <c r="AD113" s="75"/>
      <c r="AE113" s="75"/>
      <c r="AF113" s="75"/>
      <c r="AG113" s="75"/>
      <c r="AH113" s="75"/>
      <c r="AI113" s="75"/>
      <c r="AJ113" s="78"/>
      <c r="AK113" s="79"/>
      <c r="AL113" s="75"/>
      <c r="AM113" s="75"/>
      <c r="AN113" s="75"/>
      <c r="AO113" s="75"/>
      <c r="AP113" s="75"/>
      <c r="AQ113" s="75"/>
      <c r="AR113" s="75"/>
      <c r="AS113" s="77"/>
      <c r="AT113" s="74"/>
      <c r="AU113" s="78"/>
      <c r="AV113" s="79"/>
      <c r="AW113" s="75"/>
      <c r="AX113" s="75"/>
      <c r="AY113" s="75"/>
      <c r="AZ113" s="77"/>
      <c r="BA113" s="74"/>
      <c r="BB113" s="75"/>
      <c r="BC113" s="75"/>
      <c r="BD113" s="77"/>
      <c r="BE113" s="6">
        <f t="shared" si="29"/>
        <v>0</v>
      </c>
    </row>
    <row r="114" spans="1:57" s="3" customFormat="1" ht="31.2" customHeight="1">
      <c r="A114" s="554" t="s">
        <v>97</v>
      </c>
      <c r="B114" s="555"/>
      <c r="C114" s="110">
        <f>SUM(C5:C113)</f>
        <v>0</v>
      </c>
      <c r="D114" s="110">
        <f t="shared" ref="D114:J114" si="30">SUM(D5:D113)</f>
        <v>0</v>
      </c>
      <c r="E114" s="110">
        <f t="shared" si="30"/>
        <v>0</v>
      </c>
      <c r="F114" s="110">
        <f t="shared" si="30"/>
        <v>0</v>
      </c>
      <c r="G114" s="110">
        <f t="shared" si="30"/>
        <v>0</v>
      </c>
      <c r="H114" s="110">
        <f t="shared" si="30"/>
        <v>0</v>
      </c>
      <c r="I114" s="110">
        <f t="shared" si="30"/>
        <v>0</v>
      </c>
      <c r="J114" s="110">
        <f t="shared" si="30"/>
        <v>0</v>
      </c>
      <c r="K114" s="110">
        <f t="shared" ref="K114:N114" si="31">SUM(K5:K113)</f>
        <v>0</v>
      </c>
      <c r="L114" s="110">
        <f t="shared" si="31"/>
        <v>0</v>
      </c>
      <c r="M114" s="110">
        <f t="shared" si="31"/>
        <v>0</v>
      </c>
      <c r="N114" s="110">
        <f t="shared" si="31"/>
        <v>0</v>
      </c>
      <c r="O114" s="110"/>
      <c r="P114" s="111">
        <f>SUM(P5:P113)</f>
        <v>0</v>
      </c>
      <c r="Q114" s="110">
        <f>SUM(Q5:Q113)</f>
        <v>0</v>
      </c>
      <c r="R114" s="112">
        <f>R4+N114+P114+Q114-M114-L114-K114-J114-I114</f>
        <v>0</v>
      </c>
      <c r="S114" s="110"/>
      <c r="T114" s="111"/>
      <c r="U114" s="111"/>
      <c r="V114" s="113">
        <f>SUM(V5:V113)</f>
        <v>0</v>
      </c>
      <c r="W114" s="113">
        <f>SUM(W5:W113)</f>
        <v>0</v>
      </c>
      <c r="X114" s="113">
        <f>SUM(X5:X113)</f>
        <v>0</v>
      </c>
      <c r="Y114" s="113">
        <f t="shared" ref="Y114:AD114" si="32">SUM(Y5:Y113)</f>
        <v>0</v>
      </c>
      <c r="Z114" s="113">
        <f t="shared" si="32"/>
        <v>0</v>
      </c>
      <c r="AA114" s="113">
        <f t="shared" si="32"/>
        <v>0</v>
      </c>
      <c r="AB114" s="114">
        <f t="shared" si="32"/>
        <v>0</v>
      </c>
      <c r="AC114" s="114">
        <f t="shared" si="32"/>
        <v>0</v>
      </c>
      <c r="AD114" s="114">
        <f t="shared" si="32"/>
        <v>0</v>
      </c>
      <c r="AE114" s="114">
        <f t="shared" ref="AE114:BD114" si="33">SUM(AE5:AE113)</f>
        <v>0</v>
      </c>
      <c r="AF114" s="114">
        <f t="shared" si="33"/>
        <v>0</v>
      </c>
      <c r="AG114" s="114">
        <f t="shared" si="33"/>
        <v>0</v>
      </c>
      <c r="AH114" s="114">
        <f t="shared" si="33"/>
        <v>0</v>
      </c>
      <c r="AI114" s="114">
        <f t="shared" si="33"/>
        <v>0</v>
      </c>
      <c r="AJ114" s="114">
        <f t="shared" si="33"/>
        <v>0</v>
      </c>
      <c r="AK114" s="114">
        <f t="shared" si="33"/>
        <v>0</v>
      </c>
      <c r="AL114" s="114">
        <f t="shared" si="33"/>
        <v>0</v>
      </c>
      <c r="AM114" s="114">
        <f t="shared" si="33"/>
        <v>0</v>
      </c>
      <c r="AN114" s="114">
        <f t="shared" si="33"/>
        <v>0</v>
      </c>
      <c r="AO114" s="114">
        <f t="shared" si="33"/>
        <v>0</v>
      </c>
      <c r="AP114" s="114">
        <f t="shared" si="33"/>
        <v>0</v>
      </c>
      <c r="AQ114" s="114">
        <f t="shared" si="33"/>
        <v>0</v>
      </c>
      <c r="AR114" s="114">
        <f t="shared" si="33"/>
        <v>0</v>
      </c>
      <c r="AS114" s="114">
        <f t="shared" si="33"/>
        <v>0</v>
      </c>
      <c r="AT114" s="114">
        <f t="shared" si="33"/>
        <v>0</v>
      </c>
      <c r="AU114" s="114">
        <f t="shared" si="33"/>
        <v>0</v>
      </c>
      <c r="AV114" s="114">
        <f t="shared" si="33"/>
        <v>0</v>
      </c>
      <c r="AW114" s="114">
        <f t="shared" si="33"/>
        <v>0</v>
      </c>
      <c r="AX114" s="114">
        <f t="shared" si="33"/>
        <v>0</v>
      </c>
      <c r="AY114" s="114">
        <f t="shared" si="33"/>
        <v>0</v>
      </c>
      <c r="AZ114" s="114">
        <f t="shared" si="33"/>
        <v>0</v>
      </c>
      <c r="BA114" s="114">
        <f t="shared" si="33"/>
        <v>0</v>
      </c>
      <c r="BB114" s="114">
        <f t="shared" si="33"/>
        <v>0</v>
      </c>
      <c r="BC114" s="114">
        <f t="shared" si="33"/>
        <v>0</v>
      </c>
      <c r="BD114" s="115">
        <f t="shared" si="33"/>
        <v>0</v>
      </c>
      <c r="BE114" s="6">
        <f t="shared" si="29"/>
        <v>0</v>
      </c>
    </row>
    <row r="115" spans="1:57" s="3" customFormat="1" ht="22.95" customHeight="1">
      <c r="A115" s="116" t="s">
        <v>118</v>
      </c>
      <c r="B115" s="117"/>
      <c r="C115" s="118"/>
      <c r="D115" s="119"/>
      <c r="E115" s="119"/>
      <c r="F115" s="119"/>
      <c r="G115" s="119"/>
      <c r="H115" s="119"/>
      <c r="I115" s="120">
        <f t="shared" ref="I115:I120" si="34">SUM(C115:H115)</f>
        <v>0</v>
      </c>
      <c r="J115" s="121"/>
      <c r="K115" s="121"/>
      <c r="L115" s="122"/>
      <c r="M115" s="123"/>
      <c r="N115" s="124"/>
      <c r="O115" s="118"/>
      <c r="P115" s="125"/>
      <c r="Q115" s="126"/>
      <c r="R115" s="50">
        <f t="shared" ref="R115:R122" si="35">R114+SUM(N115:Q115)-SUM(I115:M115)</f>
        <v>0</v>
      </c>
      <c r="S115" s="127"/>
      <c r="T115" s="128"/>
      <c r="U115" s="129"/>
      <c r="V115" s="130"/>
      <c r="W115" s="131"/>
      <c r="X115" s="132"/>
      <c r="Y115" s="132"/>
      <c r="Z115" s="133"/>
      <c r="AA115" s="134"/>
      <c r="AB115" s="130"/>
      <c r="AC115" s="131"/>
      <c r="AD115" s="132"/>
      <c r="AE115" s="132"/>
      <c r="AF115" s="132"/>
      <c r="AG115" s="132"/>
      <c r="AH115" s="132"/>
      <c r="AI115" s="132"/>
      <c r="AJ115" s="135"/>
      <c r="AK115" s="130"/>
      <c r="AL115" s="132"/>
      <c r="AM115" s="132"/>
      <c r="AN115" s="132"/>
      <c r="AO115" s="132"/>
      <c r="AP115" s="132"/>
      <c r="AQ115" s="132"/>
      <c r="AR115" s="132"/>
      <c r="AS115" s="135"/>
      <c r="AT115" s="130"/>
      <c r="AU115" s="135"/>
      <c r="AV115" s="130"/>
      <c r="AW115" s="132"/>
      <c r="AX115" s="132"/>
      <c r="AY115" s="132"/>
      <c r="AZ115" s="135"/>
      <c r="BA115" s="130"/>
      <c r="BB115" s="132"/>
      <c r="BC115" s="132"/>
      <c r="BD115" s="134"/>
      <c r="BE115" s="6"/>
    </row>
    <row r="116" spans="1:57" ht="15" customHeight="1">
      <c r="A116" s="136"/>
      <c r="B116" s="40"/>
      <c r="C116" s="62">
        <f>SUM(AB116:AJ116)</f>
        <v>0</v>
      </c>
      <c r="D116" s="63">
        <f>SUM(AK116:AS116)</f>
        <v>0</v>
      </c>
      <c r="E116" s="63">
        <f>SUM(AT116:AU116)</f>
        <v>0</v>
      </c>
      <c r="F116" s="63">
        <f>SUM(AV116:AZ116)</f>
        <v>0</v>
      </c>
      <c r="G116" s="63">
        <f t="shared" ref="G116:G118" si="36">SUM(BA116:BD116)</f>
        <v>0</v>
      </c>
      <c r="H116" s="63">
        <f>SUM(V116:AA116)</f>
        <v>0</v>
      </c>
      <c r="I116" s="64">
        <f t="shared" si="34"/>
        <v>0</v>
      </c>
      <c r="J116" s="65"/>
      <c r="K116" s="137"/>
      <c r="L116" s="83"/>
      <c r="M116" s="67"/>
      <c r="N116" s="68"/>
      <c r="O116" s="62"/>
      <c r="P116" s="69"/>
      <c r="Q116" s="70"/>
      <c r="R116" s="50">
        <f t="shared" si="35"/>
        <v>0</v>
      </c>
      <c r="S116" s="138"/>
      <c r="T116" s="69"/>
      <c r="U116" s="72"/>
      <c r="V116" s="139"/>
      <c r="W116" s="140"/>
      <c r="X116" s="141"/>
      <c r="Y116" s="141"/>
      <c r="Z116" s="142"/>
      <c r="AA116" s="143"/>
      <c r="AB116" s="139"/>
      <c r="AC116" s="140"/>
      <c r="AD116" s="141"/>
      <c r="AE116" s="141"/>
      <c r="AF116" s="141"/>
      <c r="AG116" s="141"/>
      <c r="AH116" s="141"/>
      <c r="AI116" s="141"/>
      <c r="AJ116" s="144"/>
      <c r="AK116" s="139"/>
      <c r="AL116" s="141"/>
      <c r="AM116" s="141"/>
      <c r="AN116" s="141"/>
      <c r="AO116" s="141"/>
      <c r="AP116" s="141"/>
      <c r="AQ116" s="141"/>
      <c r="AR116" s="141"/>
      <c r="AS116" s="144"/>
      <c r="AT116" s="139"/>
      <c r="AU116" s="144"/>
      <c r="AV116" s="139"/>
      <c r="AW116" s="141"/>
      <c r="AX116" s="141"/>
      <c r="AY116" s="141"/>
      <c r="AZ116" s="144"/>
      <c r="BA116" s="139"/>
      <c r="BB116" s="141"/>
      <c r="BC116" s="141"/>
      <c r="BD116" s="143"/>
      <c r="BE116" s="6">
        <f>I116-SUM(AB116:BD116)</f>
        <v>0</v>
      </c>
    </row>
    <row r="117" spans="1:57" ht="15" customHeight="1">
      <c r="A117" s="136"/>
      <c r="B117" s="40"/>
      <c r="C117" s="62">
        <f>SUM(AB117:AJ117)</f>
        <v>0</v>
      </c>
      <c r="D117" s="63">
        <f>SUM(AK117:AS117)</f>
        <v>0</v>
      </c>
      <c r="E117" s="63">
        <f>SUM(AT117:AU117)</f>
        <v>0</v>
      </c>
      <c r="F117" s="63">
        <f>SUM(AV117:AZ117)</f>
        <v>0</v>
      </c>
      <c r="G117" s="63">
        <f t="shared" si="36"/>
        <v>0</v>
      </c>
      <c r="H117" s="63">
        <f>SUM(V117:AA117)</f>
        <v>0</v>
      </c>
      <c r="I117" s="64">
        <f t="shared" si="34"/>
        <v>0</v>
      </c>
      <c r="J117" s="65"/>
      <c r="K117" s="137"/>
      <c r="L117" s="83"/>
      <c r="M117" s="67"/>
      <c r="N117" s="68"/>
      <c r="O117" s="62"/>
      <c r="P117" s="69"/>
      <c r="Q117" s="70"/>
      <c r="R117" s="50">
        <f t="shared" si="35"/>
        <v>0</v>
      </c>
      <c r="S117" s="138"/>
      <c r="T117" s="69"/>
      <c r="U117" s="145"/>
      <c r="V117" s="139"/>
      <c r="W117" s="140"/>
      <c r="X117" s="141"/>
      <c r="Y117" s="141"/>
      <c r="Z117" s="142"/>
      <c r="AA117" s="143"/>
      <c r="AB117" s="106"/>
      <c r="AC117" s="106"/>
      <c r="AD117" s="141"/>
      <c r="AE117" s="141"/>
      <c r="AF117" s="141"/>
      <c r="AG117" s="141"/>
      <c r="AH117" s="141"/>
      <c r="AI117" s="141"/>
      <c r="AJ117" s="144"/>
      <c r="AK117" s="139"/>
      <c r="AL117" s="141"/>
      <c r="AM117" s="141"/>
      <c r="AN117" s="141"/>
      <c r="AO117" s="141"/>
      <c r="AP117" s="141"/>
      <c r="AQ117" s="141"/>
      <c r="AR117" s="141"/>
      <c r="AS117" s="144"/>
      <c r="AT117" s="139"/>
      <c r="AU117" s="144"/>
      <c r="AV117" s="139"/>
      <c r="AW117" s="141"/>
      <c r="AX117" s="141"/>
      <c r="AY117" s="141"/>
      <c r="AZ117" s="144"/>
      <c r="BA117" s="139"/>
      <c r="BB117" s="141"/>
      <c r="BC117" s="141"/>
      <c r="BD117" s="143"/>
      <c r="BE117" s="6">
        <f>I117-SUM(AB117:BD117)</f>
        <v>0</v>
      </c>
    </row>
    <row r="118" spans="1:57" ht="15" customHeight="1">
      <c r="A118" s="136"/>
      <c r="B118" s="40"/>
      <c r="C118" s="62">
        <f>SUM(AB118:AJ118)</f>
        <v>0</v>
      </c>
      <c r="D118" s="63">
        <f>SUM(AK118:AS118)</f>
        <v>0</v>
      </c>
      <c r="E118" s="63">
        <f>SUM(AT118:AU118)</f>
        <v>0</v>
      </c>
      <c r="F118" s="63">
        <f>SUM(AV118:AZ118)</f>
        <v>0</v>
      </c>
      <c r="G118" s="63">
        <f t="shared" si="36"/>
        <v>0</v>
      </c>
      <c r="H118" s="63">
        <f>SUM(V118:AA118)</f>
        <v>0</v>
      </c>
      <c r="I118" s="64">
        <f t="shared" si="34"/>
        <v>0</v>
      </c>
      <c r="J118" s="65"/>
      <c r="K118" s="137"/>
      <c r="L118" s="83"/>
      <c r="M118" s="67"/>
      <c r="N118" s="68"/>
      <c r="O118" s="62"/>
      <c r="P118" s="69"/>
      <c r="Q118" s="70"/>
      <c r="R118" s="50">
        <f t="shared" si="35"/>
        <v>0</v>
      </c>
      <c r="S118" s="138"/>
      <c r="T118" s="69"/>
      <c r="U118" s="145"/>
      <c r="V118" s="139"/>
      <c r="W118" s="140"/>
      <c r="X118" s="141"/>
      <c r="Y118" s="141"/>
      <c r="Z118" s="142"/>
      <c r="AA118" s="143"/>
      <c r="AB118" s="139"/>
      <c r="AC118" s="140"/>
      <c r="AD118" s="141"/>
      <c r="AE118" s="141"/>
      <c r="AF118" s="141"/>
      <c r="AG118" s="141"/>
      <c r="AH118" s="141"/>
      <c r="AI118" s="141"/>
      <c r="AJ118" s="144"/>
      <c r="AK118" s="139"/>
      <c r="AL118" s="141"/>
      <c r="AM118" s="141"/>
      <c r="AN118" s="141"/>
      <c r="AO118" s="141"/>
      <c r="AP118" s="141"/>
      <c r="AQ118" s="141"/>
      <c r="AR118" s="141"/>
      <c r="AS118" s="144"/>
      <c r="AT118" s="139"/>
      <c r="AU118" s="144"/>
      <c r="AV118" s="139"/>
      <c r="AW118" s="141"/>
      <c r="AX118" s="141"/>
      <c r="AY118" s="141"/>
      <c r="AZ118" s="144"/>
      <c r="BA118" s="139"/>
      <c r="BB118" s="141"/>
      <c r="BC118" s="141"/>
      <c r="BD118" s="143"/>
      <c r="BE118" s="6">
        <f>I118-SUM(AB118:BD118)</f>
        <v>0</v>
      </c>
    </row>
    <row r="119" spans="1:57" ht="15" customHeight="1">
      <c r="A119" s="136"/>
      <c r="B119" s="40"/>
      <c r="C119" s="62"/>
      <c r="D119" s="63"/>
      <c r="E119" s="63"/>
      <c r="F119" s="63"/>
      <c r="G119" s="63"/>
      <c r="H119" s="63"/>
      <c r="I119" s="64"/>
      <c r="J119" s="65"/>
      <c r="K119" s="137"/>
      <c r="L119" s="83"/>
      <c r="M119" s="67"/>
      <c r="N119" s="68"/>
      <c r="O119" s="62"/>
      <c r="P119" s="69"/>
      <c r="Q119" s="70"/>
      <c r="R119" s="50">
        <f t="shared" si="35"/>
        <v>0</v>
      </c>
      <c r="S119" s="138"/>
      <c r="T119" s="69"/>
      <c r="U119" s="72"/>
      <c r="V119" s="139"/>
      <c r="W119" s="140"/>
      <c r="X119" s="141"/>
      <c r="Y119" s="141"/>
      <c r="Z119" s="142"/>
      <c r="AA119" s="143"/>
      <c r="AB119" s="139"/>
      <c r="AC119" s="140"/>
      <c r="AD119" s="141"/>
      <c r="AE119" s="141"/>
      <c r="AF119" s="141"/>
      <c r="AG119" s="141"/>
      <c r="AH119" s="141"/>
      <c r="AI119" s="141"/>
      <c r="AJ119" s="144"/>
      <c r="AK119" s="139"/>
      <c r="AL119" s="141"/>
      <c r="AM119" s="141"/>
      <c r="AN119" s="141"/>
      <c r="AO119" s="141"/>
      <c r="AP119" s="141"/>
      <c r="AQ119" s="141"/>
      <c r="AR119" s="141"/>
      <c r="AS119" s="144"/>
      <c r="AT119" s="139"/>
      <c r="AU119" s="144"/>
      <c r="AV119" s="139"/>
      <c r="AW119" s="141"/>
      <c r="AX119" s="141"/>
      <c r="AY119" s="141"/>
      <c r="AZ119" s="144"/>
      <c r="BA119" s="139"/>
      <c r="BB119" s="141"/>
      <c r="BC119" s="141"/>
      <c r="BD119" s="143"/>
    </row>
    <row r="120" spans="1:57" ht="15" customHeight="1">
      <c r="A120" s="136"/>
      <c r="B120" s="40"/>
      <c r="C120" s="62">
        <f>SUM(AB120:AJ120)</f>
        <v>0</v>
      </c>
      <c r="D120" s="63">
        <f>SUM(AK120:AS120)</f>
        <v>0</v>
      </c>
      <c r="E120" s="63">
        <f>SUM(AT120:AU120)</f>
        <v>0</v>
      </c>
      <c r="F120" s="63">
        <f>SUM(AV120:AZ120)</f>
        <v>0</v>
      </c>
      <c r="G120" s="63">
        <f>SUM(BA120:BD120)</f>
        <v>0</v>
      </c>
      <c r="H120" s="63">
        <f>SUM(V120:AA120)</f>
        <v>0</v>
      </c>
      <c r="I120" s="64">
        <f t="shared" si="34"/>
        <v>0</v>
      </c>
      <c r="J120" s="65"/>
      <c r="K120" s="137"/>
      <c r="L120" s="83"/>
      <c r="M120" s="67"/>
      <c r="N120" s="68"/>
      <c r="O120" s="62"/>
      <c r="P120" s="69"/>
      <c r="Q120" s="70"/>
      <c r="R120" s="50">
        <f t="shared" si="35"/>
        <v>0</v>
      </c>
      <c r="S120" s="138"/>
      <c r="T120" s="69"/>
      <c r="U120" s="72"/>
      <c r="V120" s="139"/>
      <c r="W120" s="140"/>
      <c r="X120" s="141"/>
      <c r="Y120" s="141"/>
      <c r="Z120" s="142"/>
      <c r="AA120" s="143"/>
      <c r="AB120" s="139"/>
      <c r="AC120" s="140"/>
      <c r="AD120" s="141"/>
      <c r="AE120" s="141"/>
      <c r="AF120" s="141"/>
      <c r="AG120" s="141"/>
      <c r="AH120" s="141"/>
      <c r="AI120" s="141"/>
      <c r="AJ120" s="144"/>
      <c r="AK120" s="139"/>
      <c r="AL120" s="141"/>
      <c r="AM120" s="141"/>
      <c r="AN120" s="141"/>
      <c r="AO120" s="141"/>
      <c r="AP120" s="141"/>
      <c r="AQ120" s="141"/>
      <c r="AR120" s="141"/>
      <c r="AS120" s="144"/>
      <c r="AT120" s="139"/>
      <c r="AU120" s="144"/>
      <c r="AV120" s="139"/>
      <c r="AW120" s="141"/>
      <c r="AX120" s="141"/>
      <c r="AY120" s="141"/>
      <c r="AZ120" s="144"/>
      <c r="BA120" s="139"/>
      <c r="BB120" s="141"/>
      <c r="BC120" s="141"/>
      <c r="BD120" s="143"/>
      <c r="BE120" s="6">
        <f>I120-SUM(AB120:BD120)</f>
        <v>0</v>
      </c>
    </row>
    <row r="121" spans="1:57" ht="15" customHeight="1">
      <c r="A121" s="136"/>
      <c r="B121" s="40"/>
      <c r="C121" s="146"/>
      <c r="D121" s="147"/>
      <c r="E121" s="147"/>
      <c r="F121" s="147"/>
      <c r="G121" s="147"/>
      <c r="H121" s="147"/>
      <c r="I121" s="148"/>
      <c r="J121" s="149"/>
      <c r="K121" s="150"/>
      <c r="L121" s="151"/>
      <c r="M121" s="152"/>
      <c r="N121" s="153"/>
      <c r="O121" s="146"/>
      <c r="P121" s="154"/>
      <c r="Q121" s="155"/>
      <c r="R121" s="50">
        <f t="shared" si="35"/>
        <v>0</v>
      </c>
      <c r="S121" s="138"/>
      <c r="T121" s="69"/>
      <c r="U121" s="72"/>
      <c r="V121" s="156"/>
      <c r="W121" s="157"/>
      <c r="X121" s="158"/>
      <c r="Y121" s="158"/>
      <c r="Z121" s="159"/>
      <c r="AA121" s="160"/>
      <c r="AB121" s="156"/>
      <c r="AC121" s="157"/>
      <c r="AD121" s="158"/>
      <c r="AE121" s="158"/>
      <c r="AF121" s="158"/>
      <c r="AG121" s="158"/>
      <c r="AH121" s="158"/>
      <c r="AI121" s="158"/>
      <c r="AJ121" s="161"/>
      <c r="AK121" s="156"/>
      <c r="AL121" s="158"/>
      <c r="AM121" s="157"/>
      <c r="AN121" s="158"/>
      <c r="AO121" s="158"/>
      <c r="AP121" s="158"/>
      <c r="AQ121" s="158"/>
      <c r="AR121" s="158"/>
      <c r="AS121" s="161"/>
      <c r="AT121" s="156"/>
      <c r="AU121" s="161"/>
      <c r="AV121" s="156"/>
      <c r="AW121" s="158"/>
      <c r="AX121" s="158"/>
      <c r="AY121" s="158"/>
      <c r="AZ121" s="161"/>
      <c r="BA121" s="156"/>
      <c r="BB121" s="158"/>
      <c r="BC121" s="158"/>
      <c r="BD121" s="160"/>
    </row>
    <row r="122" spans="1:57" s="3" customFormat="1" ht="15" customHeight="1">
      <c r="A122" s="162" t="s">
        <v>119</v>
      </c>
      <c r="B122" s="163"/>
      <c r="C122" s="164">
        <f t="shared" ref="C122:Q122" si="37">SUM(C116:C120)</f>
        <v>0</v>
      </c>
      <c r="D122" s="165">
        <f t="shared" si="37"/>
        <v>0</v>
      </c>
      <c r="E122" s="165">
        <f t="shared" si="37"/>
        <v>0</v>
      </c>
      <c r="F122" s="165">
        <f t="shared" si="37"/>
        <v>0</v>
      </c>
      <c r="G122" s="165">
        <f t="shared" si="37"/>
        <v>0</v>
      </c>
      <c r="H122" s="165">
        <f t="shared" si="37"/>
        <v>0</v>
      </c>
      <c r="I122" s="166">
        <f t="shared" si="37"/>
        <v>0</v>
      </c>
      <c r="J122" s="167">
        <f t="shared" si="37"/>
        <v>0</v>
      </c>
      <c r="K122" s="167">
        <f>SUM(K116:K121)</f>
        <v>0</v>
      </c>
      <c r="L122" s="168">
        <f>SUM(L116:L120)</f>
        <v>0</v>
      </c>
      <c r="M122" s="169">
        <f>SUM(M116:M120)</f>
        <v>0</v>
      </c>
      <c r="N122" s="170">
        <f t="shared" si="37"/>
        <v>0</v>
      </c>
      <c r="O122" s="164"/>
      <c r="P122" s="171">
        <f t="shared" si="37"/>
        <v>0</v>
      </c>
      <c r="Q122" s="172">
        <f t="shared" si="37"/>
        <v>0</v>
      </c>
      <c r="R122" s="173">
        <f t="shared" si="35"/>
        <v>0</v>
      </c>
      <c r="S122" s="174"/>
      <c r="T122" s="171"/>
      <c r="U122" s="175"/>
      <c r="V122" s="176">
        <f>SUM(V116:V120)</f>
        <v>0</v>
      </c>
      <c r="W122" s="177"/>
      <c r="X122" s="178">
        <f>SUM(X116:X120)</f>
        <v>0</v>
      </c>
      <c r="Y122" s="178"/>
      <c r="Z122" s="179">
        <f>SUM(Z116:Z120)</f>
        <v>0</v>
      </c>
      <c r="AA122" s="180">
        <f>SUM(AA116:AA120)</f>
        <v>0</v>
      </c>
      <c r="AB122" s="176">
        <f t="shared" ref="AB122:BD122" si="38">SUM(AB116:AB120)</f>
        <v>0</v>
      </c>
      <c r="AC122" s="177"/>
      <c r="AD122" s="178">
        <f t="shared" si="38"/>
        <v>0</v>
      </c>
      <c r="AE122" s="178">
        <f t="shared" si="38"/>
        <v>0</v>
      </c>
      <c r="AF122" s="178">
        <f t="shared" si="38"/>
        <v>0</v>
      </c>
      <c r="AG122" s="178">
        <f t="shared" si="38"/>
        <v>0</v>
      </c>
      <c r="AH122" s="178">
        <f t="shared" si="38"/>
        <v>0</v>
      </c>
      <c r="AI122" s="178">
        <f t="shared" si="38"/>
        <v>0</v>
      </c>
      <c r="AJ122" s="181">
        <f t="shared" si="38"/>
        <v>0</v>
      </c>
      <c r="AK122" s="176">
        <f t="shared" si="38"/>
        <v>0</v>
      </c>
      <c r="AL122" s="178">
        <f t="shared" si="38"/>
        <v>0</v>
      </c>
      <c r="AM122" s="176">
        <f t="shared" si="38"/>
        <v>0</v>
      </c>
      <c r="AN122" s="178">
        <f t="shared" si="38"/>
        <v>0</v>
      </c>
      <c r="AO122" s="178">
        <f t="shared" si="38"/>
        <v>0</v>
      </c>
      <c r="AP122" s="178">
        <f t="shared" si="38"/>
        <v>0</v>
      </c>
      <c r="AQ122" s="178">
        <f t="shared" si="38"/>
        <v>0</v>
      </c>
      <c r="AR122" s="178">
        <f t="shared" si="38"/>
        <v>0</v>
      </c>
      <c r="AS122" s="181">
        <f t="shared" si="38"/>
        <v>0</v>
      </c>
      <c r="AT122" s="176">
        <f t="shared" si="38"/>
        <v>0</v>
      </c>
      <c r="AU122" s="181">
        <f t="shared" si="38"/>
        <v>0</v>
      </c>
      <c r="AV122" s="176">
        <f t="shared" si="38"/>
        <v>0</v>
      </c>
      <c r="AW122" s="178">
        <f t="shared" si="38"/>
        <v>0</v>
      </c>
      <c r="AX122" s="178">
        <f t="shared" si="38"/>
        <v>0</v>
      </c>
      <c r="AY122" s="178">
        <f t="shared" si="38"/>
        <v>0</v>
      </c>
      <c r="AZ122" s="181">
        <f t="shared" si="38"/>
        <v>0</v>
      </c>
      <c r="BA122" s="176">
        <f t="shared" si="38"/>
        <v>0</v>
      </c>
      <c r="BB122" s="178">
        <f t="shared" si="38"/>
        <v>0</v>
      </c>
      <c r="BC122" s="178">
        <f t="shared" si="38"/>
        <v>0</v>
      </c>
      <c r="BD122" s="180">
        <f t="shared" si="38"/>
        <v>0</v>
      </c>
      <c r="BE122" s="6">
        <f>I122-SUM(AB122:BD122)</f>
        <v>0</v>
      </c>
    </row>
    <row r="123" spans="1:57" s="4" customFormat="1" ht="14.25" customHeight="1">
      <c r="B123" s="5"/>
      <c r="C123" s="182"/>
      <c r="D123" s="182"/>
      <c r="E123" s="182"/>
      <c r="F123" s="182"/>
      <c r="I123" s="183"/>
      <c r="P123" s="2"/>
      <c r="R123" s="183"/>
      <c r="S123" s="183"/>
      <c r="T123" s="2"/>
      <c r="U123" s="2"/>
      <c r="Z123" s="2"/>
      <c r="BE123" s="182"/>
    </row>
    <row r="124" spans="1:57" s="4" customFormat="1" ht="14.25" customHeight="1">
      <c r="B124" s="5"/>
      <c r="C124" s="183"/>
      <c r="D124" s="183"/>
      <c r="E124" s="183"/>
      <c r="F124" s="183"/>
      <c r="G124" s="183"/>
      <c r="H124" s="183"/>
      <c r="I124" s="183"/>
      <c r="J124" s="183"/>
      <c r="K124" s="183"/>
      <c r="L124" s="183"/>
      <c r="M124" s="183"/>
      <c r="N124" s="183"/>
      <c r="O124" s="183"/>
      <c r="P124" s="184"/>
      <c r="Q124" s="183"/>
      <c r="R124" s="183"/>
      <c r="S124" s="183"/>
      <c r="T124" s="184"/>
      <c r="U124" s="184"/>
      <c r="V124" s="183"/>
      <c r="W124" s="183"/>
      <c r="X124" s="183"/>
      <c r="Y124" s="183"/>
      <c r="Z124" s="183"/>
      <c r="AA124" s="183"/>
      <c r="AB124" s="183"/>
      <c r="AC124" s="183"/>
      <c r="AD124" s="183"/>
      <c r="AE124" s="183"/>
      <c r="AF124" s="183"/>
      <c r="AG124" s="183"/>
      <c r="AH124" s="183"/>
      <c r="AI124" s="183"/>
      <c r="AJ124" s="183"/>
      <c r="AK124" s="183"/>
      <c r="AL124" s="183"/>
      <c r="AM124" s="183"/>
      <c r="AN124" s="183"/>
      <c r="AO124" s="183"/>
      <c r="AP124" s="183"/>
      <c r="AQ124" s="183"/>
      <c r="AR124" s="183"/>
      <c r="AS124" s="183"/>
      <c r="AT124" s="183"/>
      <c r="AU124" s="183"/>
      <c r="AV124" s="183"/>
      <c r="AW124" s="183"/>
      <c r="AX124" s="183"/>
      <c r="AY124" s="183"/>
      <c r="AZ124" s="183"/>
      <c r="BA124" s="183"/>
      <c r="BB124" s="183"/>
      <c r="BC124" s="183"/>
      <c r="BD124" s="183"/>
      <c r="BE124" s="182"/>
    </row>
    <row r="125" spans="1:57" ht="31.5" customHeight="1">
      <c r="AB125" s="185"/>
      <c r="AC125" s="185"/>
    </row>
    <row r="126" spans="1:57" ht="21.75" customHeight="1">
      <c r="R126" s="186"/>
      <c r="AB126" s="187"/>
      <c r="AC126" s="187"/>
    </row>
  </sheetData>
  <autoFilter ref="A3:BE126" xr:uid="{00000000-0009-0000-0000-000008000000}"/>
  <mergeCells count="26">
    <mergeCell ref="V2:AA2"/>
    <mergeCell ref="AB2:AJ2"/>
    <mergeCell ref="AK2:AS2"/>
    <mergeCell ref="AT2:AU2"/>
    <mergeCell ref="AV2:AZ2"/>
    <mergeCell ref="BA2:BD2"/>
    <mergeCell ref="A4:B4"/>
    <mergeCell ref="A114:B114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R2:R3"/>
    <mergeCell ref="S2:S3"/>
    <mergeCell ref="T2:T3"/>
    <mergeCell ref="U2:U3"/>
    <mergeCell ref="N2:Q2"/>
  </mergeCells>
  <phoneticPr fontId="46" type="noConversion"/>
  <hyperlinks>
    <hyperlink ref="A1" location="汇总表!A1" display="←返回" xr:uid="{00000000-0004-0000-0800-000000000000}"/>
  </hyperlinks>
  <pageMargins left="0.7" right="0.7" top="0.75" bottom="0.75" header="0.3" footer="0.3"/>
  <pageSetup paperSize="9" orientation="landscape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E126"/>
  <sheetViews>
    <sheetView zoomScale="115" zoomScaleNormal="115" workbookViewId="0">
      <pane xSplit="2" ySplit="4" topLeftCell="C26" activePane="bottomRight" state="frozen"/>
      <selection pane="topRight"/>
      <selection pane="bottomLeft"/>
      <selection pane="bottomRight" activeCell="A31" sqref="A31:XFD40"/>
    </sheetView>
  </sheetViews>
  <sheetFormatPr defaultColWidth="9" defaultRowHeight="17.399999999999999" outlineLevelCol="1"/>
  <cols>
    <col min="1" max="1" width="6.69921875" style="4" customWidth="1"/>
    <col min="2" max="2" width="7" style="5" customWidth="1"/>
    <col min="3" max="6" width="4.8984375" style="6" customWidth="1" outlineLevel="1"/>
    <col min="7" max="8" width="4.8984375" style="7" customWidth="1" outlineLevel="1"/>
    <col min="9" max="9" width="4.8984375" style="7" customWidth="1"/>
    <col min="10" max="10" width="4.09765625" style="7" customWidth="1" outlineLevel="1"/>
    <col min="11" max="11" width="4.19921875" style="7" customWidth="1" outlineLevel="1"/>
    <col min="12" max="13" width="4.8984375" style="7" customWidth="1"/>
    <col min="14" max="15" width="4.8984375" style="7" customWidth="1" outlineLevel="1"/>
    <col min="16" max="16" width="4.8984375" style="8" customWidth="1" outlineLevel="1"/>
    <col min="17" max="17" width="4.8984375" style="7" customWidth="1" outlineLevel="1"/>
    <col min="18" max="18" width="7.59765625" style="7" customWidth="1"/>
    <col min="19" max="19" width="4.69921875" style="7" customWidth="1"/>
    <col min="20" max="20" width="4.09765625" style="8" customWidth="1"/>
    <col min="21" max="21" width="9.5" style="8" customWidth="1"/>
    <col min="22" max="25" width="5.3984375" style="7" customWidth="1" outlineLevel="1"/>
    <col min="26" max="26" width="4.8984375" style="8" customWidth="1" outlineLevel="1"/>
    <col min="27" max="27" width="5.69921875" style="7" customWidth="1" outlineLevel="1"/>
    <col min="28" max="28" width="5.09765625" style="9" customWidth="1" outlineLevel="1"/>
    <col min="29" max="29" width="4.09765625" style="9" customWidth="1" outlineLevel="1"/>
    <col min="30" max="30" width="4.59765625" style="9" customWidth="1" outlineLevel="1"/>
    <col min="31" max="35" width="3.8984375" style="9" customWidth="1" outlineLevel="1"/>
    <col min="36" max="36" width="3.8984375" style="9" customWidth="1"/>
    <col min="37" max="44" width="4.5" style="7" customWidth="1" outlineLevel="1"/>
    <col min="45" max="45" width="4.5" style="7" customWidth="1"/>
    <col min="46" max="47" width="4.8984375" style="7" customWidth="1"/>
    <col min="48" max="48" width="5" style="7" customWidth="1"/>
    <col min="49" max="50" width="4.09765625" style="7" customWidth="1"/>
    <col min="51" max="51" width="4.19921875" style="7" customWidth="1"/>
    <col min="52" max="52" width="4.8984375" style="7" customWidth="1"/>
    <col min="53" max="53" width="6.3984375" style="7" customWidth="1"/>
    <col min="54" max="54" width="6.59765625" style="7" customWidth="1"/>
    <col min="55" max="56" width="4.19921875" style="7" customWidth="1"/>
    <col min="57" max="57" width="2.3984375" style="6" customWidth="1"/>
    <col min="58" max="16384" width="9" style="7"/>
  </cols>
  <sheetData>
    <row r="1" spans="1:57">
      <c r="A1" s="10" t="s">
        <v>93</v>
      </c>
      <c r="R1" s="11"/>
      <c r="S1" s="11"/>
    </row>
    <row r="2" spans="1:57" s="1" customFormat="1" ht="25.5" customHeight="1">
      <c r="A2" s="556" t="s">
        <v>65</v>
      </c>
      <c r="B2" s="558" t="s">
        <v>66</v>
      </c>
      <c r="C2" s="560" t="s">
        <v>68</v>
      </c>
      <c r="D2" s="562" t="s">
        <v>69</v>
      </c>
      <c r="E2" s="564" t="s">
        <v>70</v>
      </c>
      <c r="F2" s="566" t="s">
        <v>71</v>
      </c>
      <c r="G2" s="550" t="s">
        <v>72</v>
      </c>
      <c r="H2" s="569" t="s">
        <v>73</v>
      </c>
      <c r="I2" s="571" t="s">
        <v>74</v>
      </c>
      <c r="J2" s="573" t="s">
        <v>75</v>
      </c>
      <c r="K2" s="575" t="s">
        <v>76</v>
      </c>
      <c r="L2" s="536" t="s">
        <v>100</v>
      </c>
      <c r="M2" s="536" t="s">
        <v>101</v>
      </c>
      <c r="N2" s="577" t="s">
        <v>79</v>
      </c>
      <c r="O2" s="577"/>
      <c r="P2" s="577"/>
      <c r="Q2" s="577"/>
      <c r="R2" s="538" t="s">
        <v>80</v>
      </c>
      <c r="S2" s="540" t="s">
        <v>81</v>
      </c>
      <c r="T2" s="542" t="s">
        <v>82</v>
      </c>
      <c r="U2" s="544" t="s">
        <v>83</v>
      </c>
      <c r="V2" s="578" t="s">
        <v>73</v>
      </c>
      <c r="W2" s="579"/>
      <c r="X2" s="569"/>
      <c r="Y2" s="569"/>
      <c r="Z2" s="569"/>
      <c r="AA2" s="580"/>
      <c r="AB2" s="581" t="s">
        <v>68</v>
      </c>
      <c r="AC2" s="582"/>
      <c r="AD2" s="583"/>
      <c r="AE2" s="583"/>
      <c r="AF2" s="583"/>
      <c r="AG2" s="583"/>
      <c r="AH2" s="583"/>
      <c r="AI2" s="583"/>
      <c r="AJ2" s="584"/>
      <c r="AK2" s="585" t="s">
        <v>69</v>
      </c>
      <c r="AL2" s="586"/>
      <c r="AM2" s="586"/>
      <c r="AN2" s="586"/>
      <c r="AO2" s="586"/>
      <c r="AP2" s="586"/>
      <c r="AQ2" s="586"/>
      <c r="AR2" s="586"/>
      <c r="AS2" s="587"/>
      <c r="AT2" s="588" t="s">
        <v>70</v>
      </c>
      <c r="AU2" s="589"/>
      <c r="AV2" s="546" t="s">
        <v>71</v>
      </c>
      <c r="AW2" s="547"/>
      <c r="AX2" s="547"/>
      <c r="AY2" s="547"/>
      <c r="AZ2" s="548"/>
      <c r="BA2" s="549" t="s">
        <v>84</v>
      </c>
      <c r="BB2" s="550"/>
      <c r="BC2" s="550"/>
      <c r="BD2" s="551"/>
      <c r="BE2" s="12"/>
    </row>
    <row r="3" spans="1:57" s="2" customFormat="1" ht="30" customHeight="1">
      <c r="A3" s="557"/>
      <c r="B3" s="559"/>
      <c r="C3" s="561"/>
      <c r="D3" s="563"/>
      <c r="E3" s="565"/>
      <c r="F3" s="567"/>
      <c r="G3" s="568"/>
      <c r="H3" s="570"/>
      <c r="I3" s="572"/>
      <c r="J3" s="574"/>
      <c r="K3" s="576"/>
      <c r="L3" s="537"/>
      <c r="M3" s="537"/>
      <c r="N3" s="13" t="s">
        <v>102</v>
      </c>
      <c r="O3" s="13" t="s">
        <v>103</v>
      </c>
      <c r="P3" s="13" t="s">
        <v>104</v>
      </c>
      <c r="Q3" s="14" t="s">
        <v>105</v>
      </c>
      <c r="R3" s="539"/>
      <c r="S3" s="541"/>
      <c r="T3" s="543"/>
      <c r="U3" s="545"/>
      <c r="V3" s="15" t="s">
        <v>19</v>
      </c>
      <c r="W3" s="16" t="s">
        <v>106</v>
      </c>
      <c r="X3" s="17" t="s">
        <v>107</v>
      </c>
      <c r="Y3" s="17" t="s">
        <v>108</v>
      </c>
      <c r="Z3" s="17" t="s">
        <v>109</v>
      </c>
      <c r="AA3" s="18" t="s">
        <v>32</v>
      </c>
      <c r="AB3" s="19" t="s">
        <v>110</v>
      </c>
      <c r="AC3" s="19" t="s">
        <v>111</v>
      </c>
      <c r="AD3" s="19" t="s">
        <v>26</v>
      </c>
      <c r="AE3" s="19" t="s">
        <v>27</v>
      </c>
      <c r="AF3" s="19" t="s">
        <v>28</v>
      </c>
      <c r="AG3" s="19" t="s">
        <v>29</v>
      </c>
      <c r="AH3" s="19" t="s">
        <v>30</v>
      </c>
      <c r="AI3" s="19" t="s">
        <v>19</v>
      </c>
      <c r="AJ3" s="20" t="s">
        <v>32</v>
      </c>
      <c r="AK3" s="21" t="s">
        <v>112</v>
      </c>
      <c r="AL3" s="22" t="s">
        <v>113</v>
      </c>
      <c r="AM3" s="22" t="s">
        <v>114</v>
      </c>
      <c r="AN3" s="22" t="s">
        <v>115</v>
      </c>
      <c r="AO3" s="22" t="s">
        <v>19</v>
      </c>
      <c r="AP3" s="22" t="s">
        <v>36</v>
      </c>
      <c r="AQ3" s="22" t="s">
        <v>37</v>
      </c>
      <c r="AR3" s="22" t="s">
        <v>38</v>
      </c>
      <c r="AS3" s="23" t="s">
        <v>32</v>
      </c>
      <c r="AT3" s="24" t="s">
        <v>40</v>
      </c>
      <c r="AU3" s="25" t="s">
        <v>116</v>
      </c>
      <c r="AV3" s="26" t="s">
        <v>51</v>
      </c>
      <c r="AW3" s="27" t="s">
        <v>52</v>
      </c>
      <c r="AX3" s="27" t="s">
        <v>53</v>
      </c>
      <c r="AY3" s="27" t="s">
        <v>86</v>
      </c>
      <c r="AZ3" s="28" t="s">
        <v>87</v>
      </c>
      <c r="BA3" s="29" t="s">
        <v>44</v>
      </c>
      <c r="BB3" s="30" t="s">
        <v>45</v>
      </c>
      <c r="BC3" s="30"/>
      <c r="BD3" s="31"/>
      <c r="BE3" s="32"/>
    </row>
    <row r="4" spans="1:57" s="3" customFormat="1" ht="20.25" customHeight="1">
      <c r="A4" s="552" t="s">
        <v>117</v>
      </c>
      <c r="B4" s="553"/>
      <c r="C4" s="33"/>
      <c r="D4" s="33"/>
      <c r="E4" s="33"/>
      <c r="F4" s="33"/>
      <c r="G4" s="34"/>
      <c r="H4" s="35"/>
      <c r="I4" s="33">
        <v>0</v>
      </c>
      <c r="J4" s="34"/>
      <c r="K4" s="34"/>
      <c r="L4" s="34"/>
      <c r="M4" s="34"/>
      <c r="N4" s="34"/>
      <c r="O4" s="34"/>
      <c r="P4" s="36"/>
      <c r="Q4" s="34"/>
      <c r="R4" s="33">
        <v>0</v>
      </c>
      <c r="S4" s="34"/>
      <c r="T4" s="36"/>
      <c r="U4" s="36"/>
      <c r="V4" s="34"/>
      <c r="W4" s="34"/>
      <c r="X4" s="34"/>
      <c r="Y4" s="34"/>
      <c r="Z4" s="36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34"/>
      <c r="BA4" s="34"/>
      <c r="BB4" s="34"/>
      <c r="BC4" s="34"/>
      <c r="BD4" s="37"/>
      <c r="BE4" s="38"/>
    </row>
    <row r="5" spans="1:57">
      <c r="A5" s="39"/>
      <c r="B5" s="40"/>
      <c r="C5" s="41">
        <f t="shared" ref="C5:C36" si="0">SUM(AB5:AJ5)</f>
        <v>0</v>
      </c>
      <c r="D5" s="42">
        <f t="shared" ref="D5:D36" si="1">SUM(AK5:AS5)</f>
        <v>0</v>
      </c>
      <c r="E5" s="42">
        <f t="shared" ref="E5:E36" si="2">SUM(AT5:AU5)</f>
        <v>0</v>
      </c>
      <c r="F5" s="42">
        <f t="shared" ref="F5:F36" si="3">SUM(AV5:AZ5)</f>
        <v>0</v>
      </c>
      <c r="G5" s="42">
        <f>SUM(BA5:BD5)</f>
        <v>0</v>
      </c>
      <c r="H5" s="42">
        <f t="shared" ref="H5:H36" si="4">SUM(V5:AA5)</f>
        <v>0</v>
      </c>
      <c r="I5" s="43">
        <f>SUM(C5:H5)</f>
        <v>0</v>
      </c>
      <c r="J5" s="44"/>
      <c r="K5" s="44"/>
      <c r="L5" s="45"/>
      <c r="M5" s="46"/>
      <c r="N5" s="47"/>
      <c r="O5" s="41"/>
      <c r="P5" s="48"/>
      <c r="Q5" s="49"/>
      <c r="R5" s="50">
        <f>R4+SUM(N5:Q5)-SUM(I5:M5)</f>
        <v>0</v>
      </c>
      <c r="S5" s="51"/>
      <c r="T5" s="52"/>
      <c r="U5" s="53"/>
      <c r="V5" s="54"/>
      <c r="W5" s="55"/>
      <c r="X5" s="56"/>
      <c r="Y5" s="56"/>
      <c r="Z5" s="57"/>
      <c r="AA5" s="58"/>
      <c r="AB5" s="54"/>
      <c r="AC5" s="55"/>
      <c r="AD5" s="56"/>
      <c r="AE5" s="56"/>
      <c r="AF5" s="56"/>
      <c r="AG5" s="56"/>
      <c r="AH5" s="56"/>
      <c r="AI5" s="56"/>
      <c r="AJ5" s="59"/>
      <c r="AK5" s="60"/>
      <c r="AL5" s="56"/>
      <c r="AM5" s="56"/>
      <c r="AN5" s="56"/>
      <c r="AO5" s="56"/>
      <c r="AP5" s="56"/>
      <c r="AQ5" s="56"/>
      <c r="AR5" s="56"/>
      <c r="AS5" s="58"/>
      <c r="AT5" s="55"/>
      <c r="AU5" s="59"/>
      <c r="AV5" s="60"/>
      <c r="AW5" s="56"/>
      <c r="AX5" s="56"/>
      <c r="AY5" s="56"/>
      <c r="AZ5" s="58"/>
      <c r="BA5" s="55"/>
      <c r="BB5" s="56"/>
      <c r="BC5" s="56"/>
      <c r="BD5" s="58"/>
      <c r="BE5" s="6">
        <f t="shared" ref="BE5:BE45" si="5">I5-SUM(AB5:BD5)</f>
        <v>0</v>
      </c>
    </row>
    <row r="6" spans="1:57">
      <c r="A6" s="61"/>
      <c r="B6" s="40"/>
      <c r="C6" s="62">
        <f t="shared" si="0"/>
        <v>0</v>
      </c>
      <c r="D6" s="63">
        <f t="shared" si="1"/>
        <v>0</v>
      </c>
      <c r="E6" s="63">
        <f t="shared" si="2"/>
        <v>0</v>
      </c>
      <c r="F6" s="63">
        <f t="shared" si="3"/>
        <v>0</v>
      </c>
      <c r="G6" s="63">
        <f t="shared" ref="G6:G69" si="6">SUM(BA6:BD6)</f>
        <v>0</v>
      </c>
      <c r="H6" s="63">
        <f t="shared" si="4"/>
        <v>0</v>
      </c>
      <c r="I6" s="64">
        <f t="shared" ref="I6:I69" si="7">SUM(C6:H6)</f>
        <v>0</v>
      </c>
      <c r="J6" s="65"/>
      <c r="K6" s="65"/>
      <c r="L6" s="66"/>
      <c r="M6" s="67"/>
      <c r="N6" s="68"/>
      <c r="O6" s="62"/>
      <c r="P6" s="69"/>
      <c r="Q6" s="70"/>
      <c r="R6" s="50">
        <f t="shared" ref="R6:R69" si="8">R5+SUM(N6:Q6)-SUM(I6:M6)</f>
        <v>0</v>
      </c>
      <c r="S6" s="71"/>
      <c r="T6" s="69"/>
      <c r="U6" s="72"/>
      <c r="V6" s="73"/>
      <c r="W6" s="74"/>
      <c r="X6" s="75"/>
      <c r="Y6" s="75"/>
      <c r="Z6" s="76"/>
      <c r="AA6" s="77"/>
      <c r="AB6" s="73"/>
      <c r="AC6" s="74"/>
      <c r="AD6" s="75"/>
      <c r="AE6" s="75"/>
      <c r="AF6" s="75"/>
      <c r="AG6" s="75"/>
      <c r="AI6" s="75"/>
      <c r="AJ6" s="78"/>
      <c r="AK6" s="79"/>
      <c r="AL6" s="75"/>
      <c r="AM6" s="75"/>
      <c r="AN6" s="75"/>
      <c r="AO6" s="75"/>
      <c r="AP6" s="75"/>
      <c r="AQ6" s="75"/>
      <c r="AR6" s="75"/>
      <c r="AS6" s="77"/>
      <c r="AT6" s="74"/>
      <c r="AU6" s="78"/>
      <c r="AV6" s="79"/>
      <c r="AW6" s="75"/>
      <c r="AX6" s="75"/>
      <c r="AY6" s="75"/>
      <c r="AZ6" s="77"/>
      <c r="BA6" s="74"/>
      <c r="BB6" s="75"/>
      <c r="BC6" s="75"/>
      <c r="BD6" s="77"/>
      <c r="BE6" s="6">
        <f t="shared" si="5"/>
        <v>0</v>
      </c>
    </row>
    <row r="7" spans="1:57">
      <c r="A7" s="61"/>
      <c r="B7" s="40"/>
      <c r="C7" s="62">
        <f t="shared" si="0"/>
        <v>0</v>
      </c>
      <c r="D7" s="63">
        <f t="shared" si="1"/>
        <v>0</v>
      </c>
      <c r="E7" s="63">
        <f t="shared" si="2"/>
        <v>0</v>
      </c>
      <c r="F7" s="63">
        <f t="shared" si="3"/>
        <v>0</v>
      </c>
      <c r="G7" s="63">
        <f t="shared" si="6"/>
        <v>0</v>
      </c>
      <c r="H7" s="63">
        <f t="shared" si="4"/>
        <v>0</v>
      </c>
      <c r="I7" s="64">
        <f t="shared" si="7"/>
        <v>0</v>
      </c>
      <c r="J7" s="65"/>
      <c r="K7" s="65"/>
      <c r="L7" s="80"/>
      <c r="M7" s="67"/>
      <c r="N7" s="68"/>
      <c r="O7" s="62"/>
      <c r="P7" s="69"/>
      <c r="Q7" s="70"/>
      <c r="R7" s="50">
        <f t="shared" si="8"/>
        <v>0</v>
      </c>
      <c r="S7" s="71"/>
      <c r="T7" s="69"/>
      <c r="U7" s="72"/>
      <c r="V7" s="73"/>
      <c r="W7" s="74"/>
      <c r="X7" s="75"/>
      <c r="Y7" s="75"/>
      <c r="Z7" s="76"/>
      <c r="AA7" s="77"/>
      <c r="AB7" s="73"/>
      <c r="AC7" s="74"/>
      <c r="AD7" s="75"/>
      <c r="AE7" s="75"/>
      <c r="AF7" s="75"/>
      <c r="AG7" s="75"/>
      <c r="AH7" s="75"/>
      <c r="AI7" s="75"/>
      <c r="AJ7" s="78"/>
      <c r="AK7" s="79"/>
      <c r="AL7" s="75"/>
      <c r="AM7" s="75"/>
      <c r="AN7" s="75"/>
      <c r="AO7" s="75"/>
      <c r="AP7" s="75"/>
      <c r="AQ7" s="75"/>
      <c r="AR7" s="75"/>
      <c r="AS7" s="77"/>
      <c r="AT7" s="74"/>
      <c r="AU7" s="78"/>
      <c r="AV7" s="79"/>
      <c r="AW7" s="75"/>
      <c r="AX7" s="75"/>
      <c r="AY7" s="75"/>
      <c r="AZ7" s="77"/>
      <c r="BA7" s="74"/>
      <c r="BB7" s="75"/>
      <c r="BC7" s="75"/>
      <c r="BD7" s="77"/>
      <c r="BE7" s="6">
        <f t="shared" si="5"/>
        <v>0</v>
      </c>
    </row>
    <row r="8" spans="1:57">
      <c r="A8" s="61"/>
      <c r="B8" s="40"/>
      <c r="C8" s="62">
        <f t="shared" si="0"/>
        <v>0</v>
      </c>
      <c r="D8" s="42">
        <f t="shared" si="1"/>
        <v>0</v>
      </c>
      <c r="E8" s="63">
        <f t="shared" si="2"/>
        <v>0</v>
      </c>
      <c r="F8" s="63">
        <f t="shared" si="3"/>
        <v>0</v>
      </c>
      <c r="G8" s="63">
        <f t="shared" si="6"/>
        <v>0</v>
      </c>
      <c r="H8" s="63">
        <f t="shared" si="4"/>
        <v>0</v>
      </c>
      <c r="I8" s="64">
        <f t="shared" si="7"/>
        <v>0</v>
      </c>
      <c r="J8" s="65"/>
      <c r="K8" s="65"/>
      <c r="L8" s="80"/>
      <c r="M8" s="67"/>
      <c r="N8" s="68"/>
      <c r="O8" s="41"/>
      <c r="P8" s="48"/>
      <c r="Q8" s="70"/>
      <c r="R8" s="50">
        <f t="shared" si="8"/>
        <v>0</v>
      </c>
      <c r="S8" s="71"/>
      <c r="T8" s="69"/>
      <c r="U8" s="81"/>
      <c r="V8" s="73"/>
      <c r="W8" s="74"/>
      <c r="X8" s="75"/>
      <c r="Y8" s="75"/>
      <c r="Z8" s="76"/>
      <c r="AA8" s="77"/>
      <c r="AB8" s="73"/>
      <c r="AC8" s="74"/>
      <c r="AD8" s="75"/>
      <c r="AE8" s="75"/>
      <c r="AF8" s="75"/>
      <c r="AG8" s="75"/>
      <c r="AH8" s="75"/>
      <c r="AI8" s="75"/>
      <c r="AJ8" s="78"/>
      <c r="AK8" s="79"/>
      <c r="AL8" s="75"/>
      <c r="AM8" s="75"/>
      <c r="AN8" s="75"/>
      <c r="AO8" s="75"/>
      <c r="AP8" s="75"/>
      <c r="AQ8" s="75"/>
      <c r="AR8" s="75"/>
      <c r="AS8" s="77"/>
      <c r="AT8" s="74"/>
      <c r="AU8" s="78"/>
      <c r="AV8" s="79"/>
      <c r="AW8" s="75"/>
      <c r="AX8" s="75"/>
      <c r="AY8" s="75"/>
      <c r="AZ8" s="77"/>
      <c r="BA8" s="74"/>
      <c r="BB8" s="75"/>
      <c r="BC8" s="75"/>
      <c r="BD8" s="77"/>
      <c r="BE8" s="6">
        <f t="shared" si="5"/>
        <v>0</v>
      </c>
    </row>
    <row r="9" spans="1:57">
      <c r="A9" s="61"/>
      <c r="B9" s="40"/>
      <c r="C9" s="62">
        <f t="shared" si="0"/>
        <v>0</v>
      </c>
      <c r="D9" s="63">
        <f t="shared" si="1"/>
        <v>0</v>
      </c>
      <c r="E9" s="63">
        <f t="shared" si="2"/>
        <v>0</v>
      </c>
      <c r="F9" s="63">
        <f t="shared" si="3"/>
        <v>0</v>
      </c>
      <c r="G9" s="63">
        <f t="shared" si="6"/>
        <v>0</v>
      </c>
      <c r="H9" s="63">
        <f t="shared" si="4"/>
        <v>0</v>
      </c>
      <c r="I9" s="64">
        <f t="shared" si="7"/>
        <v>0</v>
      </c>
      <c r="J9" s="65"/>
      <c r="K9" s="65"/>
      <c r="L9" s="80"/>
      <c r="M9" s="67"/>
      <c r="N9" s="68"/>
      <c r="O9" s="41"/>
      <c r="P9" s="48"/>
      <c r="Q9" s="70"/>
      <c r="R9" s="50">
        <f t="shared" si="8"/>
        <v>0</v>
      </c>
      <c r="S9" s="71"/>
      <c r="T9" s="69"/>
      <c r="U9" s="81"/>
      <c r="V9" s="73"/>
      <c r="W9" s="74"/>
      <c r="X9" s="75"/>
      <c r="Y9" s="75"/>
      <c r="Z9" s="76"/>
      <c r="AA9" s="77"/>
      <c r="AB9" s="73"/>
      <c r="AC9" s="74"/>
      <c r="AD9" s="75"/>
      <c r="AE9" s="75"/>
      <c r="AF9" s="75"/>
      <c r="AG9" s="75"/>
      <c r="AH9" s="75"/>
      <c r="AI9" s="75"/>
      <c r="AJ9" s="78"/>
      <c r="AK9" s="79"/>
      <c r="AL9" s="75"/>
      <c r="AM9" s="75"/>
      <c r="AN9" s="75"/>
      <c r="AO9" s="75"/>
      <c r="AP9" s="75"/>
      <c r="AQ9" s="75"/>
      <c r="AR9" s="75"/>
      <c r="AS9" s="77"/>
      <c r="AT9" s="74"/>
      <c r="AU9" s="78"/>
      <c r="AV9" s="79"/>
      <c r="AW9" s="75"/>
      <c r="AX9" s="75"/>
      <c r="AY9" s="75"/>
      <c r="AZ9" s="77"/>
      <c r="BA9" s="74"/>
      <c r="BB9" s="75"/>
      <c r="BC9" s="75"/>
      <c r="BD9" s="77"/>
      <c r="BE9" s="6">
        <f t="shared" si="5"/>
        <v>0</v>
      </c>
    </row>
    <row r="10" spans="1:57">
      <c r="A10" s="61"/>
      <c r="B10" s="40"/>
      <c r="C10" s="62">
        <f t="shared" si="0"/>
        <v>0</v>
      </c>
      <c r="D10" s="63">
        <f t="shared" si="1"/>
        <v>0</v>
      </c>
      <c r="E10" s="63">
        <f t="shared" si="2"/>
        <v>0</v>
      </c>
      <c r="F10" s="63">
        <f t="shared" si="3"/>
        <v>0</v>
      </c>
      <c r="G10" s="63">
        <f t="shared" si="6"/>
        <v>0</v>
      </c>
      <c r="H10" s="63">
        <f t="shared" si="4"/>
        <v>0</v>
      </c>
      <c r="I10" s="64">
        <f t="shared" si="7"/>
        <v>0</v>
      </c>
      <c r="J10" s="65"/>
      <c r="K10" s="65"/>
      <c r="L10" s="80"/>
      <c r="M10" s="67"/>
      <c r="N10" s="68"/>
      <c r="O10" s="41"/>
      <c r="P10" s="48"/>
      <c r="Q10" s="70"/>
      <c r="R10" s="50">
        <f t="shared" si="8"/>
        <v>0</v>
      </c>
      <c r="S10" s="71"/>
      <c r="T10" s="69"/>
      <c r="U10" s="81"/>
      <c r="V10" s="73"/>
      <c r="W10" s="74"/>
      <c r="X10" s="75"/>
      <c r="Y10" s="75"/>
      <c r="Z10" s="76"/>
      <c r="AA10" s="77"/>
      <c r="AB10" s="73"/>
      <c r="AC10" s="74"/>
      <c r="AD10" s="75"/>
      <c r="AE10" s="75"/>
      <c r="AF10" s="75"/>
      <c r="AG10" s="75"/>
      <c r="AH10" s="75"/>
      <c r="AI10" s="75"/>
      <c r="AJ10" s="78"/>
      <c r="AK10" s="79"/>
      <c r="AL10" s="75"/>
      <c r="AM10" s="75"/>
      <c r="AN10" s="75"/>
      <c r="AO10" s="75"/>
      <c r="AP10" s="75"/>
      <c r="AQ10" s="75"/>
      <c r="AR10" s="75"/>
      <c r="AS10" s="77"/>
      <c r="AT10" s="74"/>
      <c r="AU10" s="78"/>
      <c r="AV10" s="79"/>
      <c r="AW10" s="75"/>
      <c r="AX10" s="75"/>
      <c r="AY10" s="75"/>
      <c r="AZ10" s="77"/>
      <c r="BA10" s="74"/>
      <c r="BB10" s="75"/>
      <c r="BC10" s="75"/>
      <c r="BD10" s="77"/>
      <c r="BE10" s="6">
        <f t="shared" si="5"/>
        <v>0</v>
      </c>
    </row>
    <row r="11" spans="1:57">
      <c r="A11" s="61"/>
      <c r="B11" s="40"/>
      <c r="C11" s="62">
        <f t="shared" si="0"/>
        <v>0</v>
      </c>
      <c r="D11" s="63">
        <f t="shared" si="1"/>
        <v>0</v>
      </c>
      <c r="E11" s="63">
        <f t="shared" si="2"/>
        <v>0</v>
      </c>
      <c r="F11" s="63">
        <f t="shared" si="3"/>
        <v>0</v>
      </c>
      <c r="G11" s="63">
        <f t="shared" si="6"/>
        <v>0</v>
      </c>
      <c r="H11" s="63">
        <f t="shared" si="4"/>
        <v>0</v>
      </c>
      <c r="I11" s="64">
        <f t="shared" si="7"/>
        <v>0</v>
      </c>
      <c r="J11" s="65"/>
      <c r="K11" s="65"/>
      <c r="L11" s="80"/>
      <c r="M11" s="67"/>
      <c r="N11" s="68"/>
      <c r="O11" s="41"/>
      <c r="P11" s="48"/>
      <c r="Q11" s="70"/>
      <c r="R11" s="50">
        <f t="shared" si="8"/>
        <v>0</v>
      </c>
      <c r="S11" s="82"/>
      <c r="T11" s="69"/>
      <c r="U11" s="81"/>
      <c r="V11" s="73"/>
      <c r="W11" s="74"/>
      <c r="X11" s="75"/>
      <c r="Y11" s="75"/>
      <c r="Z11" s="76"/>
      <c r="AA11" s="77"/>
      <c r="AB11" s="73"/>
      <c r="AC11" s="74"/>
      <c r="AD11" s="75"/>
      <c r="AE11" s="75"/>
      <c r="AF11" s="75"/>
      <c r="AG11" s="75"/>
      <c r="AH11" s="75"/>
      <c r="AI11" s="75"/>
      <c r="AJ11" s="78"/>
      <c r="AK11" s="79"/>
      <c r="AL11" s="75"/>
      <c r="AM11" s="75"/>
      <c r="AN11" s="75"/>
      <c r="AO11" s="75"/>
      <c r="AP11" s="75"/>
      <c r="AQ11" s="75"/>
      <c r="AR11" s="75"/>
      <c r="AS11" s="77"/>
      <c r="AT11" s="74"/>
      <c r="AU11" s="78"/>
      <c r="AV11" s="79"/>
      <c r="AW11" s="75"/>
      <c r="AX11" s="75"/>
      <c r="AY11" s="75"/>
      <c r="AZ11" s="77"/>
      <c r="BA11" s="74"/>
      <c r="BB11" s="75"/>
      <c r="BC11" s="75"/>
      <c r="BD11" s="77"/>
      <c r="BE11" s="6">
        <f t="shared" si="5"/>
        <v>0</v>
      </c>
    </row>
    <row r="12" spans="1:57">
      <c r="A12" s="61"/>
      <c r="B12" s="40"/>
      <c r="C12" s="62">
        <f t="shared" si="0"/>
        <v>0</v>
      </c>
      <c r="D12" s="63">
        <f t="shared" si="1"/>
        <v>0</v>
      </c>
      <c r="E12" s="63">
        <f t="shared" si="2"/>
        <v>0</v>
      </c>
      <c r="F12" s="63">
        <f t="shared" si="3"/>
        <v>0</v>
      </c>
      <c r="G12" s="63">
        <f t="shared" si="6"/>
        <v>0</v>
      </c>
      <c r="H12" s="63">
        <f t="shared" si="4"/>
        <v>0</v>
      </c>
      <c r="I12" s="64">
        <f t="shared" si="7"/>
        <v>0</v>
      </c>
      <c r="J12" s="65"/>
      <c r="K12" s="65"/>
      <c r="L12" s="83"/>
      <c r="M12" s="67"/>
      <c r="N12" s="68"/>
      <c r="O12" s="62"/>
      <c r="P12" s="69"/>
      <c r="Q12" s="70"/>
      <c r="R12" s="50">
        <f t="shared" si="8"/>
        <v>0</v>
      </c>
      <c r="S12" s="71"/>
      <c r="T12" s="69"/>
      <c r="U12" s="81"/>
      <c r="V12" s="73"/>
      <c r="W12" s="74"/>
      <c r="X12" s="75"/>
      <c r="Y12" s="75"/>
      <c r="Z12" s="76"/>
      <c r="AA12" s="77"/>
      <c r="AB12" s="73"/>
      <c r="AC12" s="74"/>
      <c r="AD12" s="75"/>
      <c r="AE12" s="75"/>
      <c r="AF12" s="75"/>
      <c r="AG12" s="75"/>
      <c r="AH12" s="75"/>
      <c r="AI12" s="75"/>
      <c r="AJ12" s="78"/>
      <c r="AK12" s="79"/>
      <c r="AL12" s="75"/>
      <c r="AM12" s="75"/>
      <c r="AN12" s="75"/>
      <c r="AO12" s="75"/>
      <c r="AP12" s="75"/>
      <c r="AQ12" s="75"/>
      <c r="AR12" s="75"/>
      <c r="AS12" s="77"/>
      <c r="AT12" s="74"/>
      <c r="AU12" s="78"/>
      <c r="AV12" s="79"/>
      <c r="AW12" s="75"/>
      <c r="AX12" s="75"/>
      <c r="AY12" s="75"/>
      <c r="AZ12" s="77"/>
      <c r="BA12" s="74"/>
      <c r="BB12" s="75"/>
      <c r="BC12" s="75"/>
      <c r="BD12" s="77"/>
      <c r="BE12" s="6">
        <f t="shared" si="5"/>
        <v>0</v>
      </c>
    </row>
    <row r="13" spans="1:57">
      <c r="A13" s="61"/>
      <c r="B13" s="40"/>
      <c r="C13" s="62">
        <f t="shared" si="0"/>
        <v>0</v>
      </c>
      <c r="D13" s="63">
        <f t="shared" si="1"/>
        <v>0</v>
      </c>
      <c r="E13" s="63">
        <f t="shared" si="2"/>
        <v>0</v>
      </c>
      <c r="F13" s="63">
        <f t="shared" si="3"/>
        <v>0</v>
      </c>
      <c r="G13" s="63">
        <f t="shared" si="6"/>
        <v>0</v>
      </c>
      <c r="H13" s="63">
        <f t="shared" si="4"/>
        <v>0</v>
      </c>
      <c r="I13" s="64">
        <f t="shared" si="7"/>
        <v>0</v>
      </c>
      <c r="J13" s="65"/>
      <c r="K13" s="65"/>
      <c r="L13" s="83"/>
      <c r="M13" s="67"/>
      <c r="N13" s="68"/>
      <c r="O13" s="41"/>
      <c r="P13" s="48"/>
      <c r="Q13" s="70"/>
      <c r="R13" s="50">
        <f t="shared" si="8"/>
        <v>0</v>
      </c>
      <c r="S13" s="71"/>
      <c r="T13" s="69"/>
      <c r="U13" s="81"/>
      <c r="V13" s="73"/>
      <c r="W13" s="74"/>
      <c r="X13" s="75"/>
      <c r="Y13" s="75"/>
      <c r="Z13" s="76"/>
      <c r="AA13" s="77"/>
      <c r="AB13" s="73"/>
      <c r="AC13" s="74"/>
      <c r="AD13" s="75"/>
      <c r="AE13" s="75"/>
      <c r="AF13" s="75"/>
      <c r="AG13" s="75"/>
      <c r="AH13" s="75"/>
      <c r="AI13" s="75"/>
      <c r="AJ13" s="78"/>
      <c r="AK13" s="79"/>
      <c r="AL13" s="75"/>
      <c r="AM13" s="75"/>
      <c r="AN13" s="75"/>
      <c r="AO13" s="75"/>
      <c r="AP13" s="75"/>
      <c r="AQ13" s="75"/>
      <c r="AR13" s="75"/>
      <c r="AS13" s="77"/>
      <c r="AT13" s="74"/>
      <c r="AU13" s="78"/>
      <c r="AV13" s="79"/>
      <c r="AW13" s="75"/>
      <c r="AX13" s="75"/>
      <c r="AY13" s="75"/>
      <c r="AZ13" s="77"/>
      <c r="BA13" s="74"/>
      <c r="BB13" s="75"/>
      <c r="BC13" s="75"/>
      <c r="BD13" s="77"/>
      <c r="BE13" s="6">
        <f t="shared" si="5"/>
        <v>0</v>
      </c>
    </row>
    <row r="14" spans="1:57">
      <c r="A14" s="61"/>
      <c r="B14" s="40"/>
      <c r="C14" s="62">
        <f t="shared" si="0"/>
        <v>0</v>
      </c>
      <c r="D14" s="63">
        <f t="shared" si="1"/>
        <v>0</v>
      </c>
      <c r="E14" s="63">
        <f t="shared" si="2"/>
        <v>0</v>
      </c>
      <c r="F14" s="63">
        <f t="shared" si="3"/>
        <v>0</v>
      </c>
      <c r="G14" s="63">
        <f t="shared" si="6"/>
        <v>0</v>
      </c>
      <c r="H14" s="63">
        <f t="shared" si="4"/>
        <v>0</v>
      </c>
      <c r="I14" s="64">
        <f t="shared" si="7"/>
        <v>0</v>
      </c>
      <c r="J14" s="65"/>
      <c r="K14" s="65"/>
      <c r="L14" s="83"/>
      <c r="M14" s="67"/>
      <c r="N14" s="68"/>
      <c r="O14" s="41"/>
      <c r="P14" s="48"/>
      <c r="Q14" s="70"/>
      <c r="R14" s="50">
        <f t="shared" si="8"/>
        <v>0</v>
      </c>
      <c r="S14" s="71"/>
      <c r="T14" s="69"/>
      <c r="U14" s="81"/>
      <c r="V14" s="73"/>
      <c r="W14" s="74"/>
      <c r="X14" s="75"/>
      <c r="Y14" s="75"/>
      <c r="Z14" s="76"/>
      <c r="AA14" s="77"/>
      <c r="AB14" s="73"/>
      <c r="AC14" s="74"/>
      <c r="AD14" s="75"/>
      <c r="AE14" s="75"/>
      <c r="AF14" s="75"/>
      <c r="AG14" s="75"/>
      <c r="AH14" s="75"/>
      <c r="AI14" s="75"/>
      <c r="AJ14" s="78"/>
      <c r="AK14" s="79"/>
      <c r="AL14" s="75"/>
      <c r="AM14" s="75"/>
      <c r="AN14" s="75"/>
      <c r="AO14" s="75"/>
      <c r="AP14" s="75"/>
      <c r="AQ14" s="75"/>
      <c r="AR14" s="75"/>
      <c r="AS14" s="77"/>
      <c r="AT14" s="74"/>
      <c r="AU14" s="78"/>
      <c r="AV14" s="79"/>
      <c r="AW14" s="75"/>
      <c r="AX14" s="75"/>
      <c r="AY14" s="75"/>
      <c r="AZ14" s="77"/>
      <c r="BA14" s="74"/>
      <c r="BB14" s="75"/>
      <c r="BC14" s="75"/>
      <c r="BD14" s="77"/>
      <c r="BE14" s="6">
        <f t="shared" si="5"/>
        <v>0</v>
      </c>
    </row>
    <row r="15" spans="1:57">
      <c r="A15" s="61"/>
      <c r="B15" s="40"/>
      <c r="C15" s="62">
        <f t="shared" si="0"/>
        <v>0</v>
      </c>
      <c r="D15" s="63">
        <f t="shared" si="1"/>
        <v>0</v>
      </c>
      <c r="E15" s="63">
        <f t="shared" si="2"/>
        <v>0</v>
      </c>
      <c r="F15" s="63">
        <f t="shared" si="3"/>
        <v>0</v>
      </c>
      <c r="G15" s="63">
        <f t="shared" si="6"/>
        <v>0</v>
      </c>
      <c r="H15" s="63">
        <f t="shared" si="4"/>
        <v>0</v>
      </c>
      <c r="I15" s="64">
        <f t="shared" si="7"/>
        <v>0</v>
      </c>
      <c r="J15" s="65"/>
      <c r="K15" s="65"/>
      <c r="L15" s="83"/>
      <c r="M15" s="67"/>
      <c r="N15" s="68"/>
      <c r="O15" s="41"/>
      <c r="P15" s="48"/>
      <c r="Q15" s="70"/>
      <c r="R15" s="50">
        <f t="shared" si="8"/>
        <v>0</v>
      </c>
      <c r="S15" s="71"/>
      <c r="T15" s="69"/>
      <c r="U15" s="81"/>
      <c r="V15" s="73"/>
      <c r="W15" s="74"/>
      <c r="X15" s="75"/>
      <c r="Y15" s="75"/>
      <c r="Z15" s="76"/>
      <c r="AA15" s="77"/>
      <c r="AB15" s="73"/>
      <c r="AC15" s="74"/>
      <c r="AD15" s="75"/>
      <c r="AE15" s="75"/>
      <c r="AF15" s="75"/>
      <c r="AG15" s="75"/>
      <c r="AH15" s="75"/>
      <c r="AI15" s="75"/>
      <c r="AJ15" s="78"/>
      <c r="AK15" s="79"/>
      <c r="AL15" s="75"/>
      <c r="AM15" s="75"/>
      <c r="AN15" s="75"/>
      <c r="AO15" s="75"/>
      <c r="AP15" s="75"/>
      <c r="AQ15" s="75"/>
      <c r="AR15" s="75"/>
      <c r="AS15" s="77"/>
      <c r="AT15" s="74"/>
      <c r="AU15" s="78"/>
      <c r="AV15" s="79"/>
      <c r="AW15" s="75"/>
      <c r="AX15" s="75"/>
      <c r="AY15" s="75"/>
      <c r="AZ15" s="77"/>
      <c r="BA15" s="74"/>
      <c r="BB15" s="75"/>
      <c r="BC15" s="75"/>
      <c r="BD15" s="77"/>
      <c r="BE15" s="6">
        <f t="shared" si="5"/>
        <v>0</v>
      </c>
    </row>
    <row r="16" spans="1:57">
      <c r="A16" s="61"/>
      <c r="B16" s="40"/>
      <c r="C16" s="62">
        <f t="shared" si="0"/>
        <v>0</v>
      </c>
      <c r="D16" s="63">
        <f t="shared" si="1"/>
        <v>0</v>
      </c>
      <c r="E16" s="63">
        <f t="shared" si="2"/>
        <v>0</v>
      </c>
      <c r="F16" s="63">
        <f t="shared" si="3"/>
        <v>0</v>
      </c>
      <c r="G16" s="63">
        <f t="shared" si="6"/>
        <v>0</v>
      </c>
      <c r="H16" s="63">
        <f t="shared" si="4"/>
        <v>0</v>
      </c>
      <c r="I16" s="64">
        <f t="shared" si="7"/>
        <v>0</v>
      </c>
      <c r="J16" s="65"/>
      <c r="K16" s="65"/>
      <c r="L16" s="83"/>
      <c r="M16" s="67"/>
      <c r="N16" s="68"/>
      <c r="O16" s="41"/>
      <c r="P16" s="48"/>
      <c r="Q16" s="70"/>
      <c r="R16" s="50">
        <f t="shared" si="8"/>
        <v>0</v>
      </c>
      <c r="S16" s="71"/>
      <c r="T16" s="69"/>
      <c r="U16" s="81"/>
      <c r="V16" s="73"/>
      <c r="W16" s="74"/>
      <c r="X16" s="75"/>
      <c r="Y16" s="75"/>
      <c r="Z16" s="76"/>
      <c r="AA16" s="77"/>
      <c r="AB16" s="73"/>
      <c r="AC16" s="74"/>
      <c r="AD16" s="75"/>
      <c r="AE16" s="75"/>
      <c r="AF16" s="75"/>
      <c r="AG16" s="75"/>
      <c r="AH16" s="75"/>
      <c r="AI16" s="75"/>
      <c r="AJ16" s="78"/>
      <c r="AK16" s="79"/>
      <c r="AL16" s="75"/>
      <c r="AM16" s="75"/>
      <c r="AN16" s="75"/>
      <c r="AO16" s="75"/>
      <c r="AP16" s="75"/>
      <c r="AQ16" s="75"/>
      <c r="AR16" s="75"/>
      <c r="AS16" s="77"/>
      <c r="AT16" s="74"/>
      <c r="AU16" s="78"/>
      <c r="AV16" s="79"/>
      <c r="AW16" s="75"/>
      <c r="AX16" s="75"/>
      <c r="AY16" s="75"/>
      <c r="AZ16" s="77"/>
      <c r="BA16" s="74"/>
      <c r="BB16" s="75"/>
      <c r="BC16" s="75"/>
      <c r="BD16" s="77"/>
      <c r="BE16" s="6">
        <f t="shared" si="5"/>
        <v>0</v>
      </c>
    </row>
    <row r="17" spans="1:57">
      <c r="A17" s="61"/>
      <c r="B17" s="40"/>
      <c r="C17" s="62">
        <f t="shared" si="0"/>
        <v>0</v>
      </c>
      <c r="D17" s="63">
        <f t="shared" si="1"/>
        <v>0</v>
      </c>
      <c r="E17" s="63">
        <f t="shared" si="2"/>
        <v>0</v>
      </c>
      <c r="F17" s="63">
        <f t="shared" si="3"/>
        <v>0</v>
      </c>
      <c r="G17" s="63">
        <f t="shared" si="6"/>
        <v>0</v>
      </c>
      <c r="H17" s="63">
        <f t="shared" si="4"/>
        <v>0</v>
      </c>
      <c r="I17" s="64">
        <f t="shared" si="7"/>
        <v>0</v>
      </c>
      <c r="J17" s="65"/>
      <c r="K17" s="65"/>
      <c r="L17" s="83"/>
      <c r="M17" s="67"/>
      <c r="N17" s="68"/>
      <c r="O17" s="62"/>
      <c r="P17" s="69"/>
      <c r="Q17" s="70"/>
      <c r="R17" s="50">
        <f t="shared" si="8"/>
        <v>0</v>
      </c>
      <c r="S17" s="71"/>
      <c r="T17" s="69"/>
      <c r="U17" s="81"/>
      <c r="V17" s="73"/>
      <c r="W17" s="74"/>
      <c r="X17" s="75"/>
      <c r="Y17" s="75"/>
      <c r="Z17" s="76"/>
      <c r="AA17" s="77"/>
      <c r="AB17" s="73"/>
      <c r="AC17" s="74"/>
      <c r="AD17" s="75"/>
      <c r="AE17" s="75"/>
      <c r="AF17" s="75"/>
      <c r="AG17" s="75"/>
      <c r="AH17" s="75"/>
      <c r="AI17" s="75"/>
      <c r="AJ17" s="78"/>
      <c r="AK17" s="79"/>
      <c r="AL17" s="75"/>
      <c r="AM17" s="75"/>
      <c r="AN17" s="75"/>
      <c r="AO17" s="75"/>
      <c r="AP17" s="75"/>
      <c r="AQ17" s="75"/>
      <c r="AR17" s="75"/>
      <c r="AS17" s="77"/>
      <c r="AT17" s="74"/>
      <c r="AU17" s="78"/>
      <c r="AV17" s="79"/>
      <c r="AW17" s="75"/>
      <c r="AX17" s="75"/>
      <c r="AY17" s="75"/>
      <c r="AZ17" s="77"/>
      <c r="BA17" s="74"/>
      <c r="BB17" s="75"/>
      <c r="BC17" s="75"/>
      <c r="BD17" s="77"/>
      <c r="BE17" s="6">
        <f t="shared" si="5"/>
        <v>0</v>
      </c>
    </row>
    <row r="18" spans="1:57">
      <c r="A18" s="61"/>
      <c r="B18" s="40"/>
      <c r="C18" s="62">
        <f t="shared" si="0"/>
        <v>0</v>
      </c>
      <c r="D18" s="63">
        <f t="shared" si="1"/>
        <v>0</v>
      </c>
      <c r="E18" s="63">
        <f t="shared" si="2"/>
        <v>0</v>
      </c>
      <c r="F18" s="63">
        <f t="shared" si="3"/>
        <v>0</v>
      </c>
      <c r="G18" s="63">
        <f t="shared" si="6"/>
        <v>0</v>
      </c>
      <c r="H18" s="63">
        <f t="shared" si="4"/>
        <v>0</v>
      </c>
      <c r="I18" s="64">
        <f t="shared" si="7"/>
        <v>0</v>
      </c>
      <c r="J18" s="65"/>
      <c r="K18" s="65"/>
      <c r="L18" s="83"/>
      <c r="M18" s="67"/>
      <c r="N18" s="68"/>
      <c r="O18" s="62"/>
      <c r="P18" s="69"/>
      <c r="Q18" s="70"/>
      <c r="R18" s="50">
        <f t="shared" si="8"/>
        <v>0</v>
      </c>
      <c r="S18" s="71"/>
      <c r="T18" s="69"/>
      <c r="U18" s="81"/>
      <c r="V18" s="73"/>
      <c r="W18" s="74"/>
      <c r="X18" s="75"/>
      <c r="Y18" s="75"/>
      <c r="Z18" s="76"/>
      <c r="AA18" s="77"/>
      <c r="AB18" s="73"/>
      <c r="AC18" s="74"/>
      <c r="AD18" s="75"/>
      <c r="AE18" s="75"/>
      <c r="AF18" s="75"/>
      <c r="AG18" s="75"/>
      <c r="AH18" s="75"/>
      <c r="AI18" s="75"/>
      <c r="AJ18" s="78"/>
      <c r="AK18" s="79"/>
      <c r="AL18" s="75"/>
      <c r="AM18" s="75"/>
      <c r="AN18" s="75"/>
      <c r="AO18" s="75"/>
      <c r="AP18" s="75"/>
      <c r="AQ18" s="75"/>
      <c r="AR18" s="75"/>
      <c r="AS18" s="77"/>
      <c r="AT18" s="74"/>
      <c r="AU18" s="78"/>
      <c r="AV18" s="79"/>
      <c r="AW18" s="75"/>
      <c r="AX18" s="75"/>
      <c r="AY18" s="75"/>
      <c r="AZ18" s="77"/>
      <c r="BA18" s="74"/>
      <c r="BB18" s="75"/>
      <c r="BC18" s="75"/>
      <c r="BD18" s="77"/>
      <c r="BE18" s="6">
        <f t="shared" si="5"/>
        <v>0</v>
      </c>
    </row>
    <row r="19" spans="1:57">
      <c r="A19" s="61"/>
      <c r="B19" s="40"/>
      <c r="C19" s="62">
        <f t="shared" si="0"/>
        <v>0</v>
      </c>
      <c r="D19" s="63">
        <f t="shared" si="1"/>
        <v>0</v>
      </c>
      <c r="E19" s="63">
        <f t="shared" si="2"/>
        <v>0</v>
      </c>
      <c r="F19" s="63">
        <f t="shared" si="3"/>
        <v>0</v>
      </c>
      <c r="G19" s="63">
        <f t="shared" si="6"/>
        <v>0</v>
      </c>
      <c r="H19" s="63">
        <f t="shared" si="4"/>
        <v>0</v>
      </c>
      <c r="I19" s="64">
        <f t="shared" si="7"/>
        <v>0</v>
      </c>
      <c r="J19" s="65"/>
      <c r="K19" s="65"/>
      <c r="L19" s="83"/>
      <c r="M19" s="67"/>
      <c r="N19" s="68"/>
      <c r="O19" s="62"/>
      <c r="P19" s="69"/>
      <c r="Q19" s="70"/>
      <c r="R19" s="50">
        <f t="shared" si="8"/>
        <v>0</v>
      </c>
      <c r="S19" s="71"/>
      <c r="T19" s="69"/>
      <c r="U19" s="81"/>
      <c r="V19" s="73"/>
      <c r="W19" s="74"/>
      <c r="X19" s="75"/>
      <c r="Y19" s="75"/>
      <c r="Z19" s="76"/>
      <c r="AA19" s="77"/>
      <c r="AB19" s="73"/>
      <c r="AC19" s="74"/>
      <c r="AD19" s="75"/>
      <c r="AE19" s="75"/>
      <c r="AF19" s="75"/>
      <c r="AG19" s="75"/>
      <c r="AH19" s="75"/>
      <c r="AI19" s="75"/>
      <c r="AJ19" s="78"/>
      <c r="AK19" s="79"/>
      <c r="AL19" s="75"/>
      <c r="AM19" s="75"/>
      <c r="AN19" s="75"/>
      <c r="AO19" s="75"/>
      <c r="AP19" s="75"/>
      <c r="AQ19" s="75"/>
      <c r="AR19" s="75"/>
      <c r="AS19" s="77"/>
      <c r="AT19" s="74"/>
      <c r="AU19" s="78"/>
      <c r="AV19" s="79"/>
      <c r="AW19" s="75"/>
      <c r="AX19" s="75"/>
      <c r="AY19" s="75"/>
      <c r="AZ19" s="77"/>
      <c r="BA19" s="74"/>
      <c r="BB19" s="75"/>
      <c r="BC19" s="75"/>
      <c r="BD19" s="77"/>
      <c r="BE19" s="6">
        <f t="shared" si="5"/>
        <v>0</v>
      </c>
    </row>
    <row r="20" spans="1:57">
      <c r="A20" s="61"/>
      <c r="B20" s="40"/>
      <c r="C20" s="62">
        <f t="shared" si="0"/>
        <v>0</v>
      </c>
      <c r="D20" s="63">
        <f t="shared" si="1"/>
        <v>0</v>
      </c>
      <c r="E20" s="63">
        <f t="shared" si="2"/>
        <v>0</v>
      </c>
      <c r="F20" s="63">
        <f t="shared" si="3"/>
        <v>0</v>
      </c>
      <c r="G20" s="63">
        <f t="shared" si="6"/>
        <v>0</v>
      </c>
      <c r="H20" s="63">
        <f t="shared" si="4"/>
        <v>0</v>
      </c>
      <c r="I20" s="64">
        <f t="shared" si="7"/>
        <v>0</v>
      </c>
      <c r="J20" s="65"/>
      <c r="K20" s="65"/>
      <c r="L20" s="83"/>
      <c r="M20" s="67"/>
      <c r="N20" s="68"/>
      <c r="O20" s="62"/>
      <c r="P20" s="69"/>
      <c r="Q20" s="70"/>
      <c r="R20" s="50">
        <f t="shared" si="8"/>
        <v>0</v>
      </c>
      <c r="S20" s="71"/>
      <c r="T20" s="69"/>
      <c r="U20" s="81"/>
      <c r="V20" s="73"/>
      <c r="W20" s="74"/>
      <c r="X20" s="75"/>
      <c r="Y20" s="75"/>
      <c r="Z20" s="76"/>
      <c r="AA20" s="77"/>
      <c r="AB20" s="73"/>
      <c r="AC20" s="74"/>
      <c r="AD20" s="75"/>
      <c r="AE20" s="75"/>
      <c r="AF20" s="75"/>
      <c r="AG20" s="75"/>
      <c r="AH20" s="75"/>
      <c r="AI20" s="75"/>
      <c r="AJ20" s="78"/>
      <c r="AK20" s="79"/>
      <c r="AL20" s="75"/>
      <c r="AM20" s="75"/>
      <c r="AN20" s="75"/>
      <c r="AO20" s="75"/>
      <c r="AP20" s="75"/>
      <c r="AQ20" s="75"/>
      <c r="AR20" s="75"/>
      <c r="AS20" s="77"/>
      <c r="AT20" s="74"/>
      <c r="AU20" s="78"/>
      <c r="AV20" s="79"/>
      <c r="AW20" s="75"/>
      <c r="AX20" s="75"/>
      <c r="AY20" s="75"/>
      <c r="AZ20" s="77"/>
      <c r="BA20" s="74"/>
      <c r="BB20" s="75"/>
      <c r="BC20" s="75"/>
      <c r="BD20" s="77"/>
      <c r="BE20" s="6">
        <f t="shared" si="5"/>
        <v>0</v>
      </c>
    </row>
    <row r="21" spans="1:57">
      <c r="A21" s="61"/>
      <c r="B21" s="40"/>
      <c r="C21" s="62">
        <f t="shared" si="0"/>
        <v>0</v>
      </c>
      <c r="D21" s="63">
        <f t="shared" si="1"/>
        <v>0</v>
      </c>
      <c r="E21" s="63">
        <f t="shared" si="2"/>
        <v>0</v>
      </c>
      <c r="F21" s="63">
        <f t="shared" si="3"/>
        <v>0</v>
      </c>
      <c r="G21" s="63">
        <f t="shared" si="6"/>
        <v>0</v>
      </c>
      <c r="H21" s="63">
        <f t="shared" si="4"/>
        <v>0</v>
      </c>
      <c r="I21" s="64">
        <f t="shared" si="7"/>
        <v>0</v>
      </c>
      <c r="J21" s="65"/>
      <c r="K21" s="65"/>
      <c r="L21" s="83"/>
      <c r="M21" s="67"/>
      <c r="N21" s="68"/>
      <c r="O21" s="62"/>
      <c r="P21" s="69"/>
      <c r="Q21" s="70"/>
      <c r="R21" s="50">
        <f t="shared" si="8"/>
        <v>0</v>
      </c>
      <c r="S21" s="71"/>
      <c r="T21" s="69"/>
      <c r="U21" s="81"/>
      <c r="V21" s="73"/>
      <c r="W21" s="74"/>
      <c r="X21" s="75"/>
      <c r="Y21" s="75"/>
      <c r="Z21" s="76"/>
      <c r="AA21" s="77"/>
      <c r="AB21" s="73"/>
      <c r="AC21" s="74"/>
      <c r="AD21" s="75"/>
      <c r="AE21" s="75"/>
      <c r="AF21" s="75"/>
      <c r="AG21" s="75"/>
      <c r="AH21" s="75"/>
      <c r="AI21" s="75"/>
      <c r="AJ21" s="78"/>
      <c r="AK21" s="79"/>
      <c r="AL21" s="75"/>
      <c r="AM21" s="75"/>
      <c r="AN21" s="75"/>
      <c r="AO21" s="75"/>
      <c r="AP21" s="75"/>
      <c r="AQ21" s="75"/>
      <c r="AR21" s="75"/>
      <c r="AS21" s="77"/>
      <c r="AT21" s="74"/>
      <c r="AU21" s="78"/>
      <c r="AV21" s="79"/>
      <c r="AW21" s="75"/>
      <c r="AX21" s="75"/>
      <c r="AY21" s="75"/>
      <c r="AZ21" s="77"/>
      <c r="BA21" s="74"/>
      <c r="BB21" s="75"/>
      <c r="BC21" s="75"/>
      <c r="BD21" s="77"/>
      <c r="BE21" s="6">
        <f t="shared" si="5"/>
        <v>0</v>
      </c>
    </row>
    <row r="22" spans="1:57">
      <c r="A22" s="61"/>
      <c r="B22" s="40"/>
      <c r="C22" s="62">
        <f t="shared" si="0"/>
        <v>0</v>
      </c>
      <c r="D22" s="63">
        <f t="shared" si="1"/>
        <v>0</v>
      </c>
      <c r="E22" s="63">
        <f t="shared" si="2"/>
        <v>0</v>
      </c>
      <c r="F22" s="63">
        <f t="shared" si="3"/>
        <v>0</v>
      </c>
      <c r="G22" s="63">
        <f t="shared" si="6"/>
        <v>0</v>
      </c>
      <c r="H22" s="63">
        <f t="shared" si="4"/>
        <v>0</v>
      </c>
      <c r="I22" s="64">
        <f t="shared" si="7"/>
        <v>0</v>
      </c>
      <c r="J22" s="65"/>
      <c r="K22" s="65"/>
      <c r="L22" s="83"/>
      <c r="M22" s="67"/>
      <c r="N22" s="68"/>
      <c r="O22" s="62"/>
      <c r="P22" s="69"/>
      <c r="Q22" s="70"/>
      <c r="R22" s="50">
        <f t="shared" si="8"/>
        <v>0</v>
      </c>
      <c r="S22" s="71"/>
      <c r="T22" s="69"/>
      <c r="U22" s="81"/>
      <c r="V22" s="73"/>
      <c r="W22" s="74"/>
      <c r="X22" s="75"/>
      <c r="Y22" s="75"/>
      <c r="Z22" s="76"/>
      <c r="AA22" s="77"/>
      <c r="AB22" s="73"/>
      <c r="AC22" s="74"/>
      <c r="AD22" s="75"/>
      <c r="AE22" s="75"/>
      <c r="AF22" s="75"/>
      <c r="AG22" s="75"/>
      <c r="AH22" s="75"/>
      <c r="AI22" s="75"/>
      <c r="AJ22" s="78"/>
      <c r="AK22" s="79"/>
      <c r="AL22" s="75"/>
      <c r="AM22" s="75"/>
      <c r="AN22" s="75"/>
      <c r="AO22" s="75"/>
      <c r="AP22" s="75"/>
      <c r="AQ22" s="75"/>
      <c r="AR22" s="75"/>
      <c r="AS22" s="77"/>
      <c r="AT22" s="74"/>
      <c r="AU22" s="78"/>
      <c r="AV22" s="79"/>
      <c r="AW22" s="75"/>
      <c r="AX22" s="75"/>
      <c r="AY22" s="75"/>
      <c r="AZ22" s="77"/>
      <c r="BA22" s="74"/>
      <c r="BB22" s="75"/>
      <c r="BC22" s="75"/>
      <c r="BD22" s="77"/>
      <c r="BE22" s="6">
        <f t="shared" si="5"/>
        <v>0</v>
      </c>
    </row>
    <row r="23" spans="1:57">
      <c r="A23" s="61"/>
      <c r="B23" s="40"/>
      <c r="C23" s="62">
        <f t="shared" si="0"/>
        <v>0</v>
      </c>
      <c r="D23" s="63">
        <f t="shared" si="1"/>
        <v>0</v>
      </c>
      <c r="E23" s="63">
        <f t="shared" si="2"/>
        <v>0</v>
      </c>
      <c r="F23" s="63">
        <f t="shared" si="3"/>
        <v>0</v>
      </c>
      <c r="G23" s="63">
        <f t="shared" si="6"/>
        <v>0</v>
      </c>
      <c r="H23" s="63">
        <f t="shared" si="4"/>
        <v>0</v>
      </c>
      <c r="I23" s="64">
        <f t="shared" si="7"/>
        <v>0</v>
      </c>
      <c r="J23" s="65"/>
      <c r="K23" s="65"/>
      <c r="L23" s="83"/>
      <c r="M23" s="67"/>
      <c r="N23" s="68"/>
      <c r="O23" s="62"/>
      <c r="P23" s="69"/>
      <c r="Q23" s="70"/>
      <c r="R23" s="50">
        <f t="shared" si="8"/>
        <v>0</v>
      </c>
      <c r="S23" s="71"/>
      <c r="T23" s="69"/>
      <c r="U23" s="81"/>
      <c r="V23" s="73"/>
      <c r="W23" s="74"/>
      <c r="X23" s="75"/>
      <c r="Y23" s="75"/>
      <c r="Z23" s="76"/>
      <c r="AA23" s="77"/>
      <c r="AB23" s="73"/>
      <c r="AC23" s="74"/>
      <c r="AD23" s="75"/>
      <c r="AE23" s="75"/>
      <c r="AF23" s="75"/>
      <c r="AG23" s="75"/>
      <c r="AH23" s="75"/>
      <c r="AI23" s="75"/>
      <c r="AJ23" s="78"/>
      <c r="AK23" s="79"/>
      <c r="AL23" s="75"/>
      <c r="AM23" s="75"/>
      <c r="AN23" s="75"/>
      <c r="AO23" s="75"/>
      <c r="AP23" s="75"/>
      <c r="AQ23" s="75"/>
      <c r="AR23" s="75"/>
      <c r="AS23" s="77"/>
      <c r="AT23" s="74"/>
      <c r="AU23" s="78"/>
      <c r="AV23" s="79"/>
      <c r="AW23" s="75"/>
      <c r="AX23" s="75"/>
      <c r="AY23" s="75"/>
      <c r="AZ23" s="77"/>
      <c r="BA23" s="74"/>
      <c r="BB23" s="75"/>
      <c r="BC23" s="75"/>
      <c r="BD23" s="77"/>
      <c r="BE23" s="6">
        <f t="shared" si="5"/>
        <v>0</v>
      </c>
    </row>
    <row r="24" spans="1:57">
      <c r="A24" s="61"/>
      <c r="B24" s="40"/>
      <c r="C24" s="62">
        <f t="shared" si="0"/>
        <v>0</v>
      </c>
      <c r="D24" s="63">
        <f t="shared" si="1"/>
        <v>0</v>
      </c>
      <c r="E24" s="63">
        <f t="shared" si="2"/>
        <v>0</v>
      </c>
      <c r="F24" s="63">
        <f t="shared" si="3"/>
        <v>0</v>
      </c>
      <c r="G24" s="63">
        <f t="shared" si="6"/>
        <v>0</v>
      </c>
      <c r="H24" s="63">
        <f t="shared" si="4"/>
        <v>0</v>
      </c>
      <c r="I24" s="64">
        <f t="shared" si="7"/>
        <v>0</v>
      </c>
      <c r="J24" s="65"/>
      <c r="K24" s="65"/>
      <c r="L24" s="83"/>
      <c r="M24" s="67"/>
      <c r="N24" s="68"/>
      <c r="O24" s="62"/>
      <c r="P24" s="69"/>
      <c r="Q24" s="70"/>
      <c r="R24" s="50">
        <f t="shared" si="8"/>
        <v>0</v>
      </c>
      <c r="S24" s="71"/>
      <c r="T24" s="69"/>
      <c r="U24" s="81"/>
      <c r="V24" s="73"/>
      <c r="W24" s="74"/>
      <c r="X24" s="75"/>
      <c r="Y24" s="75"/>
      <c r="Z24" s="76"/>
      <c r="AA24" s="77"/>
      <c r="AB24" s="73"/>
      <c r="AC24" s="74"/>
      <c r="AD24" s="75"/>
      <c r="AE24" s="75"/>
      <c r="AF24" s="75"/>
      <c r="AG24" s="75"/>
      <c r="AH24" s="75"/>
      <c r="AI24" s="75"/>
      <c r="AJ24" s="78"/>
      <c r="AK24" s="79"/>
      <c r="AL24" s="75"/>
      <c r="AM24" s="75"/>
      <c r="AN24" s="75"/>
      <c r="AO24" s="75"/>
      <c r="AP24" s="75"/>
      <c r="AQ24" s="75"/>
      <c r="AR24" s="75"/>
      <c r="AS24" s="77"/>
      <c r="AT24" s="74"/>
      <c r="AU24" s="78"/>
      <c r="AV24" s="79"/>
      <c r="AW24" s="75"/>
      <c r="AX24" s="75"/>
      <c r="AY24" s="75"/>
      <c r="AZ24" s="77"/>
      <c r="BA24" s="74"/>
      <c r="BB24" s="75"/>
      <c r="BC24" s="75"/>
      <c r="BD24" s="77"/>
      <c r="BE24" s="6">
        <f t="shared" si="5"/>
        <v>0</v>
      </c>
    </row>
    <row r="25" spans="1:57">
      <c r="A25" s="61"/>
      <c r="B25" s="40"/>
      <c r="C25" s="62">
        <f t="shared" si="0"/>
        <v>0</v>
      </c>
      <c r="D25" s="63">
        <f t="shared" si="1"/>
        <v>0</v>
      </c>
      <c r="E25" s="63">
        <f t="shared" si="2"/>
        <v>0</v>
      </c>
      <c r="F25" s="63">
        <f t="shared" si="3"/>
        <v>0</v>
      </c>
      <c r="G25" s="63">
        <f t="shared" si="6"/>
        <v>0</v>
      </c>
      <c r="H25" s="63">
        <f t="shared" si="4"/>
        <v>0</v>
      </c>
      <c r="I25" s="64">
        <f t="shared" si="7"/>
        <v>0</v>
      </c>
      <c r="J25" s="65"/>
      <c r="K25" s="65"/>
      <c r="L25" s="83"/>
      <c r="M25" s="67"/>
      <c r="N25" s="68"/>
      <c r="O25" s="62"/>
      <c r="P25" s="69"/>
      <c r="Q25" s="70"/>
      <c r="R25" s="50">
        <f t="shared" si="8"/>
        <v>0</v>
      </c>
      <c r="S25" s="71"/>
      <c r="T25" s="69"/>
      <c r="U25" s="81"/>
      <c r="V25" s="73"/>
      <c r="W25" s="74"/>
      <c r="X25" s="75"/>
      <c r="Y25" s="75"/>
      <c r="Z25" s="76"/>
      <c r="AA25" s="77"/>
      <c r="AB25" s="73"/>
      <c r="AC25" s="74"/>
      <c r="AD25" s="75"/>
      <c r="AE25" s="75"/>
      <c r="AF25" s="75"/>
      <c r="AG25" s="75"/>
      <c r="AH25" s="75"/>
      <c r="AI25" s="75"/>
      <c r="AJ25" s="78"/>
      <c r="AK25" s="79"/>
      <c r="AL25" s="75"/>
      <c r="AM25" s="75"/>
      <c r="AN25" s="75"/>
      <c r="AO25" s="75"/>
      <c r="AP25" s="75"/>
      <c r="AQ25" s="75"/>
      <c r="AR25" s="75"/>
      <c r="AS25" s="77"/>
      <c r="AT25" s="74"/>
      <c r="AU25" s="78"/>
      <c r="AV25" s="79"/>
      <c r="AW25" s="84"/>
      <c r="AX25" s="75"/>
      <c r="AY25" s="75"/>
      <c r="AZ25" s="77"/>
      <c r="BA25" s="74"/>
      <c r="BB25" s="75"/>
      <c r="BC25" s="75"/>
      <c r="BD25" s="77"/>
      <c r="BE25" s="6">
        <f t="shared" si="5"/>
        <v>0</v>
      </c>
    </row>
    <row r="26" spans="1:57">
      <c r="A26" s="61"/>
      <c r="B26" s="40"/>
      <c r="C26" s="62">
        <f t="shared" si="0"/>
        <v>0</v>
      </c>
      <c r="D26" s="63">
        <f t="shared" si="1"/>
        <v>0</v>
      </c>
      <c r="E26" s="63">
        <f t="shared" si="2"/>
        <v>0</v>
      </c>
      <c r="F26" s="63">
        <f t="shared" si="3"/>
        <v>0</v>
      </c>
      <c r="G26" s="63">
        <f t="shared" si="6"/>
        <v>0</v>
      </c>
      <c r="H26" s="63">
        <f t="shared" si="4"/>
        <v>0</v>
      </c>
      <c r="I26" s="64">
        <f t="shared" si="7"/>
        <v>0</v>
      </c>
      <c r="J26" s="65"/>
      <c r="K26" s="65"/>
      <c r="L26" s="83"/>
      <c r="M26" s="67"/>
      <c r="N26" s="68"/>
      <c r="O26" s="62"/>
      <c r="P26" s="69"/>
      <c r="Q26" s="70"/>
      <c r="R26" s="50">
        <f t="shared" si="8"/>
        <v>0</v>
      </c>
      <c r="S26" s="71"/>
      <c r="T26" s="85"/>
      <c r="U26" s="81"/>
      <c r="V26" s="73"/>
      <c r="W26" s="74"/>
      <c r="X26" s="75"/>
      <c r="Y26" s="75"/>
      <c r="Z26" s="76"/>
      <c r="AA26" s="77"/>
      <c r="AB26" s="73"/>
      <c r="AC26" s="74"/>
      <c r="AD26" s="75"/>
      <c r="AE26" s="75"/>
      <c r="AF26" s="75"/>
      <c r="AG26" s="75"/>
      <c r="AH26" s="75"/>
      <c r="AI26" s="75"/>
      <c r="AJ26" s="78"/>
      <c r="AK26" s="79"/>
      <c r="AL26" s="75"/>
      <c r="AM26" s="75"/>
      <c r="AN26" s="75"/>
      <c r="AO26" s="75"/>
      <c r="AP26" s="75"/>
      <c r="AQ26" s="75"/>
      <c r="AR26" s="75"/>
      <c r="AS26" s="77"/>
      <c r="AT26" s="74"/>
      <c r="AU26" s="78"/>
      <c r="AV26" s="79"/>
      <c r="AW26" s="84"/>
      <c r="AX26" s="75"/>
      <c r="AY26" s="75"/>
      <c r="AZ26" s="77"/>
      <c r="BA26" s="74"/>
      <c r="BB26" s="75"/>
      <c r="BC26" s="75"/>
      <c r="BD26" s="77"/>
      <c r="BE26" s="6">
        <f t="shared" si="5"/>
        <v>0</v>
      </c>
    </row>
    <row r="27" spans="1:57">
      <c r="A27" s="61"/>
      <c r="B27" s="40"/>
      <c r="C27" s="62">
        <f t="shared" si="0"/>
        <v>0</v>
      </c>
      <c r="D27" s="63">
        <f t="shared" si="1"/>
        <v>0</v>
      </c>
      <c r="E27" s="63">
        <f t="shared" si="2"/>
        <v>0</v>
      </c>
      <c r="F27" s="63">
        <f t="shared" si="3"/>
        <v>0</v>
      </c>
      <c r="G27" s="63">
        <f t="shared" si="6"/>
        <v>0</v>
      </c>
      <c r="H27" s="63">
        <f t="shared" si="4"/>
        <v>0</v>
      </c>
      <c r="I27" s="64">
        <f t="shared" si="7"/>
        <v>0</v>
      </c>
      <c r="J27" s="65"/>
      <c r="K27" s="65"/>
      <c r="L27" s="83"/>
      <c r="M27" s="67"/>
      <c r="N27" s="68"/>
      <c r="O27" s="62"/>
      <c r="P27" s="69"/>
      <c r="Q27" s="70"/>
      <c r="R27" s="50">
        <f t="shared" si="8"/>
        <v>0</v>
      </c>
      <c r="S27" s="71"/>
      <c r="T27" s="86"/>
      <c r="U27" s="81"/>
      <c r="V27" s="73"/>
      <c r="W27" s="74"/>
      <c r="X27" s="75"/>
      <c r="Y27" s="75"/>
      <c r="Z27" s="76"/>
      <c r="AA27" s="77"/>
      <c r="AB27" s="73"/>
      <c r="AC27" s="74"/>
      <c r="AD27" s="75"/>
      <c r="AE27" s="75"/>
      <c r="AF27" s="75"/>
      <c r="AG27" s="75"/>
      <c r="AH27" s="75"/>
      <c r="AI27" s="75"/>
      <c r="AJ27" s="78"/>
      <c r="AK27" s="79"/>
      <c r="AL27" s="75"/>
      <c r="AM27" s="75"/>
      <c r="AN27" s="75"/>
      <c r="AO27" s="75"/>
      <c r="AP27" s="75"/>
      <c r="AQ27" s="75"/>
      <c r="AR27" s="75"/>
      <c r="AS27" s="77"/>
      <c r="AT27" s="74"/>
      <c r="AU27" s="78"/>
      <c r="AV27" s="79"/>
      <c r="AW27" s="75"/>
      <c r="AX27" s="75"/>
      <c r="AY27" s="75"/>
      <c r="AZ27" s="77"/>
      <c r="BA27" s="74"/>
      <c r="BB27" s="75"/>
      <c r="BC27" s="75"/>
      <c r="BD27" s="77"/>
      <c r="BE27" s="6">
        <f t="shared" si="5"/>
        <v>0</v>
      </c>
    </row>
    <row r="28" spans="1:57">
      <c r="A28" s="61"/>
      <c r="B28" s="40"/>
      <c r="C28" s="62">
        <f t="shared" si="0"/>
        <v>0</v>
      </c>
      <c r="D28" s="63">
        <f t="shared" si="1"/>
        <v>0</v>
      </c>
      <c r="E28" s="63">
        <f t="shared" si="2"/>
        <v>0</v>
      </c>
      <c r="F28" s="63">
        <f t="shared" si="3"/>
        <v>0</v>
      </c>
      <c r="G28" s="63">
        <f t="shared" si="6"/>
        <v>0</v>
      </c>
      <c r="H28" s="63">
        <f t="shared" si="4"/>
        <v>0</v>
      </c>
      <c r="I28" s="64">
        <f t="shared" si="7"/>
        <v>0</v>
      </c>
      <c r="J28" s="65"/>
      <c r="K28" s="65"/>
      <c r="L28" s="83"/>
      <c r="M28" s="67"/>
      <c r="N28" s="68"/>
      <c r="O28" s="62"/>
      <c r="P28" s="69"/>
      <c r="Q28" s="70"/>
      <c r="R28" s="50">
        <f t="shared" si="8"/>
        <v>0</v>
      </c>
      <c r="S28" s="71"/>
      <c r="T28" s="69"/>
      <c r="U28" s="81"/>
      <c r="V28" s="73"/>
      <c r="W28" s="74"/>
      <c r="X28" s="75"/>
      <c r="Y28" s="75"/>
      <c r="Z28" s="76"/>
      <c r="AA28" s="77"/>
      <c r="AB28" s="73"/>
      <c r="AC28" s="74"/>
      <c r="AD28" s="75"/>
      <c r="AE28" s="75"/>
      <c r="AF28" s="75"/>
      <c r="AG28" s="75"/>
      <c r="AH28" s="75"/>
      <c r="AI28" s="75"/>
      <c r="AJ28" s="78"/>
      <c r="AK28" s="79"/>
      <c r="AL28" s="75"/>
      <c r="AM28" s="75"/>
      <c r="AN28" s="75"/>
      <c r="AO28" s="75"/>
      <c r="AP28" s="75"/>
      <c r="AQ28" s="75"/>
      <c r="AR28" s="75"/>
      <c r="AS28" s="77"/>
      <c r="AT28" s="74"/>
      <c r="AU28" s="78"/>
      <c r="AV28" s="79"/>
      <c r="AW28" s="75"/>
      <c r="AX28" s="75"/>
      <c r="AY28" s="75"/>
      <c r="AZ28" s="77"/>
      <c r="BA28" s="74"/>
      <c r="BB28" s="75"/>
      <c r="BC28" s="75"/>
      <c r="BD28" s="77"/>
      <c r="BE28" s="6">
        <f t="shared" si="5"/>
        <v>0</v>
      </c>
    </row>
    <row r="29" spans="1:57">
      <c r="A29" s="61"/>
      <c r="B29" s="40"/>
      <c r="C29" s="62">
        <f t="shared" si="0"/>
        <v>0</v>
      </c>
      <c r="D29" s="63">
        <f t="shared" si="1"/>
        <v>0</v>
      </c>
      <c r="E29" s="63">
        <f t="shared" si="2"/>
        <v>0</v>
      </c>
      <c r="F29" s="63">
        <f t="shared" si="3"/>
        <v>0</v>
      </c>
      <c r="G29" s="63">
        <f t="shared" si="6"/>
        <v>0</v>
      </c>
      <c r="H29" s="63">
        <f t="shared" si="4"/>
        <v>0</v>
      </c>
      <c r="I29" s="64">
        <f t="shared" si="7"/>
        <v>0</v>
      </c>
      <c r="J29" s="65"/>
      <c r="K29" s="65"/>
      <c r="L29" s="83"/>
      <c r="M29" s="67"/>
      <c r="N29" s="68"/>
      <c r="O29" s="62"/>
      <c r="P29" s="69"/>
      <c r="Q29" s="70"/>
      <c r="R29" s="50">
        <f t="shared" si="8"/>
        <v>0</v>
      </c>
      <c r="S29" s="71"/>
      <c r="T29" s="86"/>
      <c r="U29" s="72"/>
      <c r="V29" s="73"/>
      <c r="W29" s="74"/>
      <c r="X29" s="75"/>
      <c r="Y29" s="75"/>
      <c r="Z29" s="76"/>
      <c r="AA29" s="77"/>
      <c r="AB29" s="73"/>
      <c r="AC29" s="74"/>
      <c r="AD29" s="75"/>
      <c r="AE29" s="75"/>
      <c r="AF29" s="75"/>
      <c r="AG29" s="75"/>
      <c r="AH29" s="75"/>
      <c r="AI29" s="75"/>
      <c r="AJ29" s="78"/>
      <c r="AK29" s="79"/>
      <c r="AL29" s="75"/>
      <c r="AM29" s="75"/>
      <c r="AN29" s="75"/>
      <c r="AO29" s="75"/>
      <c r="AP29" s="75"/>
      <c r="AQ29" s="75"/>
      <c r="AR29" s="75"/>
      <c r="AS29" s="77"/>
      <c r="AT29" s="74"/>
      <c r="AU29" s="78"/>
      <c r="AV29" s="79"/>
      <c r="AW29" s="75"/>
      <c r="AX29" s="75"/>
      <c r="AY29" s="75"/>
      <c r="AZ29" s="77"/>
      <c r="BA29" s="74"/>
      <c r="BB29" s="75"/>
      <c r="BC29" s="75"/>
      <c r="BD29" s="77"/>
      <c r="BE29" s="6">
        <f t="shared" si="5"/>
        <v>0</v>
      </c>
    </row>
    <row r="30" spans="1:57">
      <c r="A30" s="61"/>
      <c r="B30" s="40"/>
      <c r="C30" s="62">
        <f t="shared" si="0"/>
        <v>0</v>
      </c>
      <c r="D30" s="63">
        <f t="shared" si="1"/>
        <v>0</v>
      </c>
      <c r="E30" s="63">
        <f t="shared" si="2"/>
        <v>0</v>
      </c>
      <c r="F30" s="63">
        <f t="shared" si="3"/>
        <v>0</v>
      </c>
      <c r="G30" s="63">
        <f t="shared" si="6"/>
        <v>0</v>
      </c>
      <c r="H30" s="63">
        <f t="shared" si="4"/>
        <v>0</v>
      </c>
      <c r="I30" s="64">
        <f t="shared" si="7"/>
        <v>0</v>
      </c>
      <c r="J30" s="65"/>
      <c r="K30" s="65"/>
      <c r="L30" s="83"/>
      <c r="M30" s="67"/>
      <c r="N30" s="68"/>
      <c r="O30" s="62"/>
      <c r="P30" s="69"/>
      <c r="Q30" s="70"/>
      <c r="R30" s="50">
        <f t="shared" si="8"/>
        <v>0</v>
      </c>
      <c r="S30" s="71"/>
      <c r="T30" s="69"/>
      <c r="U30" s="81"/>
      <c r="V30" s="73"/>
      <c r="W30" s="74"/>
      <c r="X30" s="75"/>
      <c r="Y30" s="75"/>
      <c r="Z30" s="76"/>
      <c r="AA30" s="77"/>
      <c r="AB30" s="73"/>
      <c r="AC30" s="74"/>
      <c r="AD30" s="75"/>
      <c r="AE30" s="75"/>
      <c r="AF30" s="75"/>
      <c r="AG30" s="75"/>
      <c r="AH30" s="75"/>
      <c r="AI30" s="75"/>
      <c r="AJ30" s="78"/>
      <c r="AK30" s="79"/>
      <c r="AL30" s="75"/>
      <c r="AM30" s="75"/>
      <c r="AN30" s="75"/>
      <c r="AO30" s="75"/>
      <c r="AP30" s="75"/>
      <c r="AQ30" s="75"/>
      <c r="AR30" s="75"/>
      <c r="AS30" s="77"/>
      <c r="AT30" s="74"/>
      <c r="AU30" s="78"/>
      <c r="AV30" s="79"/>
      <c r="AW30" s="75"/>
      <c r="AX30" s="75"/>
      <c r="AY30" s="75"/>
      <c r="AZ30" s="77"/>
      <c r="BA30" s="74"/>
      <c r="BB30" s="75"/>
      <c r="BC30" s="75"/>
      <c r="BD30" s="77"/>
      <c r="BE30" s="6">
        <f t="shared" si="5"/>
        <v>0</v>
      </c>
    </row>
    <row r="31" spans="1:57">
      <c r="A31" s="61"/>
      <c r="B31" s="40"/>
      <c r="C31" s="62">
        <f t="shared" si="0"/>
        <v>0</v>
      </c>
      <c r="D31" s="63">
        <f t="shared" si="1"/>
        <v>0</v>
      </c>
      <c r="E31" s="63">
        <f t="shared" si="2"/>
        <v>0</v>
      </c>
      <c r="F31" s="63">
        <f t="shared" si="3"/>
        <v>0</v>
      </c>
      <c r="G31" s="63">
        <f t="shared" si="6"/>
        <v>0</v>
      </c>
      <c r="H31" s="63">
        <f t="shared" si="4"/>
        <v>0</v>
      </c>
      <c r="I31" s="64">
        <f t="shared" si="7"/>
        <v>0</v>
      </c>
      <c r="J31" s="65"/>
      <c r="K31" s="65"/>
      <c r="L31" s="83"/>
      <c r="M31" s="67"/>
      <c r="N31" s="68"/>
      <c r="O31" s="62"/>
      <c r="P31" s="69"/>
      <c r="Q31" s="70"/>
      <c r="R31" s="50">
        <f t="shared" si="8"/>
        <v>0</v>
      </c>
      <c r="S31" s="71"/>
      <c r="T31" s="69"/>
      <c r="U31" s="81"/>
      <c r="V31" s="73"/>
      <c r="W31" s="74"/>
      <c r="X31" s="75"/>
      <c r="Y31" s="75"/>
      <c r="Z31" s="76"/>
      <c r="AA31" s="77"/>
      <c r="AB31" s="87"/>
      <c r="AC31" s="88"/>
      <c r="AD31" s="89"/>
      <c r="AE31" s="89"/>
      <c r="AF31" s="89"/>
      <c r="AG31" s="89"/>
      <c r="AH31" s="89"/>
      <c r="AI31" s="89"/>
      <c r="AJ31" s="90"/>
      <c r="AK31" s="79"/>
      <c r="AL31" s="75"/>
      <c r="AM31" s="75"/>
      <c r="AN31" s="75"/>
      <c r="AO31" s="75"/>
      <c r="AP31" s="75"/>
      <c r="AQ31" s="75"/>
      <c r="AR31" s="75"/>
      <c r="AS31" s="77"/>
      <c r="AT31" s="74"/>
      <c r="AU31" s="78"/>
      <c r="AV31" s="79"/>
      <c r="AW31" s="75"/>
      <c r="AX31" s="75"/>
      <c r="AY31" s="75"/>
      <c r="AZ31" s="77"/>
      <c r="BA31" s="74"/>
      <c r="BB31" s="75"/>
      <c r="BC31" s="75"/>
      <c r="BD31" s="77"/>
      <c r="BE31" s="6">
        <f t="shared" si="5"/>
        <v>0</v>
      </c>
    </row>
    <row r="32" spans="1:57">
      <c r="A32" s="61"/>
      <c r="B32" s="40"/>
      <c r="C32" s="62">
        <f t="shared" si="0"/>
        <v>0</v>
      </c>
      <c r="D32" s="63">
        <f t="shared" si="1"/>
        <v>0</v>
      </c>
      <c r="E32" s="63">
        <f t="shared" si="2"/>
        <v>0</v>
      </c>
      <c r="F32" s="63">
        <f t="shared" si="3"/>
        <v>0</v>
      </c>
      <c r="G32" s="63">
        <f t="shared" si="6"/>
        <v>0</v>
      </c>
      <c r="H32" s="63">
        <f t="shared" si="4"/>
        <v>0</v>
      </c>
      <c r="I32" s="64">
        <f t="shared" si="7"/>
        <v>0</v>
      </c>
      <c r="J32" s="65"/>
      <c r="K32" s="65"/>
      <c r="L32" s="83"/>
      <c r="M32" s="67"/>
      <c r="N32" s="68"/>
      <c r="O32" s="62"/>
      <c r="P32" s="69"/>
      <c r="Q32" s="70"/>
      <c r="R32" s="50">
        <f t="shared" si="8"/>
        <v>0</v>
      </c>
      <c r="S32" s="71"/>
      <c r="T32" s="86"/>
      <c r="U32" s="81"/>
      <c r="V32" s="73"/>
      <c r="W32" s="74"/>
      <c r="X32" s="75"/>
      <c r="Y32" s="75"/>
      <c r="Z32" s="76"/>
      <c r="AA32" s="77"/>
      <c r="AB32" s="87"/>
      <c r="AC32" s="88"/>
      <c r="AD32" s="89"/>
      <c r="AE32" s="89"/>
      <c r="AF32" s="89"/>
      <c r="AG32" s="89"/>
      <c r="AH32" s="89"/>
      <c r="AI32" s="89"/>
      <c r="AJ32" s="90"/>
      <c r="AK32" s="79"/>
      <c r="AL32" s="75"/>
      <c r="AM32" s="75"/>
      <c r="AN32" s="75"/>
      <c r="AO32" s="75"/>
      <c r="AP32" s="75"/>
      <c r="AQ32" s="75"/>
      <c r="AR32" s="75"/>
      <c r="AS32" s="77"/>
      <c r="AT32" s="74"/>
      <c r="AU32" s="78"/>
      <c r="AV32" s="79"/>
      <c r="AW32" s="75"/>
      <c r="AX32" s="75"/>
      <c r="AY32" s="75"/>
      <c r="AZ32" s="77"/>
      <c r="BA32" s="74"/>
      <c r="BB32" s="75"/>
      <c r="BC32" s="75"/>
      <c r="BD32" s="77"/>
      <c r="BE32" s="6">
        <f t="shared" si="5"/>
        <v>0</v>
      </c>
    </row>
    <row r="33" spans="1:57">
      <c r="A33" s="61"/>
      <c r="B33" s="40"/>
      <c r="C33" s="62">
        <f t="shared" si="0"/>
        <v>0</v>
      </c>
      <c r="D33" s="63">
        <f t="shared" si="1"/>
        <v>0</v>
      </c>
      <c r="E33" s="63">
        <f t="shared" si="2"/>
        <v>0</v>
      </c>
      <c r="F33" s="63">
        <f t="shared" si="3"/>
        <v>0</v>
      </c>
      <c r="G33" s="63">
        <f t="shared" si="6"/>
        <v>0</v>
      </c>
      <c r="H33" s="63">
        <f t="shared" si="4"/>
        <v>0</v>
      </c>
      <c r="I33" s="64">
        <f t="shared" si="7"/>
        <v>0</v>
      </c>
      <c r="J33" s="65"/>
      <c r="K33" s="65"/>
      <c r="L33" s="83"/>
      <c r="M33" s="67"/>
      <c r="N33" s="68"/>
      <c r="O33" s="62"/>
      <c r="P33" s="69"/>
      <c r="Q33" s="70"/>
      <c r="R33" s="50">
        <f t="shared" si="8"/>
        <v>0</v>
      </c>
      <c r="S33" s="71"/>
      <c r="T33" s="86"/>
      <c r="U33" s="81"/>
      <c r="V33" s="73"/>
      <c r="W33" s="74"/>
      <c r="X33" s="75"/>
      <c r="Y33" s="75"/>
      <c r="Z33" s="76"/>
      <c r="AA33" s="77"/>
      <c r="AB33" s="87"/>
      <c r="AC33" s="88"/>
      <c r="AD33" s="89"/>
      <c r="AE33" s="89"/>
      <c r="AF33" s="89"/>
      <c r="AG33" s="89"/>
      <c r="AH33" s="89"/>
      <c r="AI33" s="89"/>
      <c r="AJ33" s="90"/>
      <c r="AK33" s="79"/>
      <c r="AL33" s="75"/>
      <c r="AM33" s="75"/>
      <c r="AN33" s="75"/>
      <c r="AO33" s="75"/>
      <c r="AP33" s="75"/>
      <c r="AQ33" s="75"/>
      <c r="AR33" s="75"/>
      <c r="AS33" s="77"/>
      <c r="AT33" s="74"/>
      <c r="AU33" s="78"/>
      <c r="AV33" s="79"/>
      <c r="AW33" s="75"/>
      <c r="AX33" s="75"/>
      <c r="AY33" s="75"/>
      <c r="AZ33" s="77"/>
      <c r="BA33" s="74"/>
      <c r="BB33" s="75"/>
      <c r="BC33" s="75"/>
      <c r="BD33" s="77"/>
      <c r="BE33" s="6">
        <f t="shared" si="5"/>
        <v>0</v>
      </c>
    </row>
    <row r="34" spans="1:57">
      <c r="A34" s="61"/>
      <c r="B34" s="40"/>
      <c r="C34" s="62">
        <f t="shared" si="0"/>
        <v>0</v>
      </c>
      <c r="D34" s="63">
        <f t="shared" si="1"/>
        <v>0</v>
      </c>
      <c r="E34" s="63">
        <f t="shared" si="2"/>
        <v>0</v>
      </c>
      <c r="F34" s="63">
        <f t="shared" si="3"/>
        <v>0</v>
      </c>
      <c r="G34" s="63">
        <f t="shared" si="6"/>
        <v>0</v>
      </c>
      <c r="H34" s="63">
        <f t="shared" si="4"/>
        <v>0</v>
      </c>
      <c r="I34" s="64">
        <f t="shared" si="7"/>
        <v>0</v>
      </c>
      <c r="J34" s="65"/>
      <c r="K34" s="65"/>
      <c r="L34" s="83"/>
      <c r="M34" s="67"/>
      <c r="N34" s="68"/>
      <c r="O34" s="62"/>
      <c r="P34" s="69"/>
      <c r="Q34" s="70"/>
      <c r="R34" s="50">
        <f t="shared" si="8"/>
        <v>0</v>
      </c>
      <c r="S34" s="71"/>
      <c r="T34" s="86"/>
      <c r="U34" s="81"/>
      <c r="V34" s="73"/>
      <c r="W34" s="74"/>
      <c r="X34" s="75"/>
      <c r="Y34" s="75"/>
      <c r="Z34" s="76"/>
      <c r="AA34" s="77"/>
      <c r="AB34" s="73"/>
      <c r="AC34" s="74"/>
      <c r="AD34" s="75"/>
      <c r="AE34" s="75"/>
      <c r="AF34" s="75"/>
      <c r="AG34" s="75"/>
      <c r="AH34" s="75"/>
      <c r="AI34" s="75"/>
      <c r="AJ34" s="78"/>
      <c r="AK34" s="79"/>
      <c r="AL34" s="75"/>
      <c r="AM34" s="75"/>
      <c r="AN34" s="75"/>
      <c r="AO34" s="75"/>
      <c r="AP34" s="75"/>
      <c r="AQ34" s="75"/>
      <c r="AR34" s="75"/>
      <c r="AS34" s="77"/>
      <c r="AT34" s="74"/>
      <c r="AU34" s="78"/>
      <c r="AV34" s="79"/>
      <c r="AW34" s="75"/>
      <c r="AX34" s="75"/>
      <c r="AY34" s="75"/>
      <c r="AZ34" s="77"/>
      <c r="BA34" s="74"/>
      <c r="BB34" s="75"/>
      <c r="BC34" s="75"/>
      <c r="BD34" s="77"/>
      <c r="BE34" s="6">
        <f t="shared" si="5"/>
        <v>0</v>
      </c>
    </row>
    <row r="35" spans="1:57" ht="19.5" customHeight="1">
      <c r="A35" s="61"/>
      <c r="B35" s="40"/>
      <c r="C35" s="62">
        <f t="shared" si="0"/>
        <v>0</v>
      </c>
      <c r="D35" s="63">
        <f t="shared" si="1"/>
        <v>0</v>
      </c>
      <c r="E35" s="63">
        <f t="shared" si="2"/>
        <v>0</v>
      </c>
      <c r="F35" s="63">
        <f t="shared" si="3"/>
        <v>0</v>
      </c>
      <c r="G35" s="63">
        <f t="shared" si="6"/>
        <v>0</v>
      </c>
      <c r="H35" s="63">
        <f t="shared" si="4"/>
        <v>0</v>
      </c>
      <c r="I35" s="64">
        <f t="shared" si="7"/>
        <v>0</v>
      </c>
      <c r="J35" s="65"/>
      <c r="K35" s="65"/>
      <c r="L35" s="83"/>
      <c r="M35" s="67"/>
      <c r="N35" s="68"/>
      <c r="O35" s="62"/>
      <c r="P35" s="69"/>
      <c r="Q35" s="70"/>
      <c r="R35" s="50">
        <f t="shared" si="8"/>
        <v>0</v>
      </c>
      <c r="S35" s="71"/>
      <c r="T35" s="86"/>
      <c r="U35" s="81"/>
      <c r="V35" s="73"/>
      <c r="W35" s="74"/>
      <c r="X35" s="75"/>
      <c r="Y35" s="75"/>
      <c r="Z35" s="76"/>
      <c r="AA35" s="77"/>
      <c r="AB35" s="87"/>
      <c r="AC35" s="88"/>
      <c r="AD35" s="89"/>
      <c r="AE35" s="89"/>
      <c r="AF35" s="89"/>
      <c r="AG35" s="89"/>
      <c r="AH35" s="89"/>
      <c r="AI35" s="89"/>
      <c r="AJ35" s="90"/>
      <c r="AK35" s="79"/>
      <c r="AL35" s="75"/>
      <c r="AM35" s="75"/>
      <c r="AN35" s="75"/>
      <c r="AO35" s="75"/>
      <c r="AP35" s="75"/>
      <c r="AQ35" s="75"/>
      <c r="AR35" s="75"/>
      <c r="AS35" s="77"/>
      <c r="AT35" s="74"/>
      <c r="AU35" s="78"/>
      <c r="AV35" s="79"/>
      <c r="AW35" s="75"/>
      <c r="AX35" s="75"/>
      <c r="AY35" s="75"/>
      <c r="AZ35" s="77"/>
      <c r="BA35" s="74"/>
      <c r="BB35" s="75"/>
      <c r="BC35" s="75"/>
      <c r="BD35" s="77"/>
      <c r="BE35" s="6">
        <f t="shared" si="5"/>
        <v>0</v>
      </c>
    </row>
    <row r="36" spans="1:57">
      <c r="A36" s="61"/>
      <c r="B36" s="40"/>
      <c r="C36" s="62">
        <f t="shared" si="0"/>
        <v>0</v>
      </c>
      <c r="D36" s="63">
        <f t="shared" si="1"/>
        <v>0</v>
      </c>
      <c r="E36" s="63">
        <f t="shared" si="2"/>
        <v>0</v>
      </c>
      <c r="F36" s="63">
        <f t="shared" si="3"/>
        <v>0</v>
      </c>
      <c r="G36" s="63">
        <f t="shared" si="6"/>
        <v>0</v>
      </c>
      <c r="H36" s="63">
        <f t="shared" si="4"/>
        <v>0</v>
      </c>
      <c r="I36" s="64">
        <f t="shared" si="7"/>
        <v>0</v>
      </c>
      <c r="J36" s="65"/>
      <c r="K36" s="65"/>
      <c r="L36" s="83"/>
      <c r="M36" s="67"/>
      <c r="N36" s="68"/>
      <c r="O36" s="62"/>
      <c r="P36" s="69"/>
      <c r="Q36" s="70"/>
      <c r="R36" s="50">
        <f t="shared" si="8"/>
        <v>0</v>
      </c>
      <c r="S36" s="71"/>
      <c r="T36" s="86"/>
      <c r="U36" s="81"/>
      <c r="V36" s="73"/>
      <c r="W36" s="74"/>
      <c r="X36" s="75"/>
      <c r="Y36" s="75"/>
      <c r="Z36" s="76"/>
      <c r="AA36" s="77"/>
      <c r="AB36" s="73"/>
      <c r="AC36" s="74"/>
      <c r="AD36" s="75"/>
      <c r="AE36" s="75"/>
      <c r="AF36" s="75"/>
      <c r="AG36" s="75"/>
      <c r="AH36" s="75"/>
      <c r="AI36" s="75"/>
      <c r="AJ36" s="78"/>
      <c r="AK36" s="79"/>
      <c r="AL36" s="75"/>
      <c r="AM36" s="75"/>
      <c r="AN36" s="75"/>
      <c r="AO36" s="75"/>
      <c r="AP36" s="75"/>
      <c r="AQ36" s="75"/>
      <c r="AR36" s="75"/>
      <c r="AS36" s="77"/>
      <c r="AT36" s="74"/>
      <c r="AU36" s="78"/>
      <c r="AV36" s="79"/>
      <c r="AW36" s="75"/>
      <c r="AX36" s="75"/>
      <c r="AY36" s="75"/>
      <c r="AZ36" s="77"/>
      <c r="BA36" s="74"/>
      <c r="BB36" s="75"/>
      <c r="BC36" s="75"/>
      <c r="BD36" s="77"/>
      <c r="BE36" s="6">
        <f t="shared" si="5"/>
        <v>0</v>
      </c>
    </row>
    <row r="37" spans="1:57">
      <c r="A37" s="61"/>
      <c r="B37" s="40"/>
      <c r="C37" s="62">
        <f t="shared" ref="C37:C68" si="9">SUM(AB37:AJ37)</f>
        <v>0</v>
      </c>
      <c r="D37" s="63">
        <f t="shared" ref="D37:D68" si="10">SUM(AK37:AS37)</f>
        <v>0</v>
      </c>
      <c r="E37" s="63">
        <f t="shared" ref="E37:E68" si="11">SUM(AT37:AU37)</f>
        <v>0</v>
      </c>
      <c r="F37" s="63">
        <f t="shared" ref="F37:F68" si="12">SUM(AV37:AZ37)</f>
        <v>0</v>
      </c>
      <c r="G37" s="63">
        <f t="shared" si="6"/>
        <v>0</v>
      </c>
      <c r="H37" s="63">
        <f t="shared" ref="H37:H68" si="13">SUM(V37:AA37)</f>
        <v>0</v>
      </c>
      <c r="I37" s="64">
        <f t="shared" si="7"/>
        <v>0</v>
      </c>
      <c r="J37" s="91"/>
      <c r="K37" s="65"/>
      <c r="L37" s="83"/>
      <c r="M37" s="67"/>
      <c r="N37" s="68"/>
      <c r="O37" s="62"/>
      <c r="P37" s="69"/>
      <c r="Q37" s="70"/>
      <c r="R37" s="50">
        <f t="shared" si="8"/>
        <v>0</v>
      </c>
      <c r="S37" s="92"/>
      <c r="T37" s="69"/>
      <c r="U37" s="93"/>
      <c r="V37" s="73"/>
      <c r="W37" s="74"/>
      <c r="X37" s="75"/>
      <c r="Y37" s="75"/>
      <c r="Z37" s="76"/>
      <c r="AA37" s="77"/>
      <c r="AB37" s="87"/>
      <c r="AC37" s="88"/>
      <c r="AD37" s="89"/>
      <c r="AE37" s="89"/>
      <c r="AF37" s="89"/>
      <c r="AG37" s="89"/>
      <c r="AH37" s="89"/>
      <c r="AI37" s="89"/>
      <c r="AJ37" s="90"/>
      <c r="AK37" s="79"/>
      <c r="AL37" s="75"/>
      <c r="AM37" s="75"/>
      <c r="AN37" s="75"/>
      <c r="AO37" s="75"/>
      <c r="AP37" s="75"/>
      <c r="AQ37" s="75"/>
      <c r="AR37" s="75"/>
      <c r="AS37" s="77"/>
      <c r="AT37" s="74"/>
      <c r="AU37" s="78"/>
      <c r="AV37" s="79"/>
      <c r="AW37" s="75"/>
      <c r="AX37" s="75"/>
      <c r="AY37" s="75"/>
      <c r="AZ37" s="77"/>
      <c r="BA37" s="74"/>
      <c r="BB37" s="75"/>
      <c r="BC37" s="75"/>
      <c r="BD37" s="77"/>
      <c r="BE37" s="6">
        <f t="shared" si="5"/>
        <v>0</v>
      </c>
    </row>
    <row r="38" spans="1:57">
      <c r="A38" s="61"/>
      <c r="B38" s="40"/>
      <c r="C38" s="62">
        <f t="shared" si="9"/>
        <v>0</v>
      </c>
      <c r="D38" s="63">
        <f t="shared" si="10"/>
        <v>0</v>
      </c>
      <c r="E38" s="63">
        <f t="shared" si="11"/>
        <v>0</v>
      </c>
      <c r="F38" s="63">
        <f t="shared" si="12"/>
        <v>0</v>
      </c>
      <c r="G38" s="63">
        <f t="shared" si="6"/>
        <v>0</v>
      </c>
      <c r="H38" s="63">
        <f t="shared" si="13"/>
        <v>0</v>
      </c>
      <c r="I38" s="64">
        <f t="shared" si="7"/>
        <v>0</v>
      </c>
      <c r="J38" s="65"/>
      <c r="K38" s="65"/>
      <c r="L38" s="83"/>
      <c r="M38" s="67"/>
      <c r="N38" s="68"/>
      <c r="O38" s="62"/>
      <c r="P38" s="69"/>
      <c r="Q38" s="70"/>
      <c r="R38" s="50">
        <f t="shared" si="8"/>
        <v>0</v>
      </c>
      <c r="S38" s="92"/>
      <c r="T38" s="94"/>
      <c r="U38" s="72"/>
      <c r="V38" s="73"/>
      <c r="W38" s="74"/>
      <c r="X38" s="75"/>
      <c r="Y38" s="75"/>
      <c r="Z38" s="76"/>
      <c r="AA38" s="77"/>
      <c r="AB38" s="73"/>
      <c r="AC38" s="74"/>
      <c r="AD38" s="75"/>
      <c r="AE38" s="75"/>
      <c r="AF38" s="75"/>
      <c r="AG38" s="75"/>
      <c r="AH38" s="75"/>
      <c r="AI38" s="75"/>
      <c r="AJ38" s="78"/>
      <c r="AK38" s="79"/>
      <c r="AL38" s="75"/>
      <c r="AM38" s="75"/>
      <c r="AN38" s="75"/>
      <c r="AO38" s="75"/>
      <c r="AP38" s="75"/>
      <c r="AQ38" s="75"/>
      <c r="AR38" s="75"/>
      <c r="AS38" s="77"/>
      <c r="AT38" s="74"/>
      <c r="AU38" s="78"/>
      <c r="AV38" s="79"/>
      <c r="AW38" s="75"/>
      <c r="AX38" s="75"/>
      <c r="AY38" s="75"/>
      <c r="AZ38" s="77"/>
      <c r="BA38" s="74"/>
      <c r="BB38" s="75"/>
      <c r="BC38" s="75"/>
      <c r="BD38" s="77"/>
      <c r="BE38" s="6">
        <f t="shared" si="5"/>
        <v>0</v>
      </c>
    </row>
    <row r="39" spans="1:57">
      <c r="A39" s="61"/>
      <c r="B39" s="40"/>
      <c r="C39" s="62">
        <f t="shared" si="9"/>
        <v>0</v>
      </c>
      <c r="D39" s="63">
        <f t="shared" si="10"/>
        <v>0</v>
      </c>
      <c r="E39" s="63">
        <f t="shared" si="11"/>
        <v>0</v>
      </c>
      <c r="F39" s="63">
        <f t="shared" si="12"/>
        <v>0</v>
      </c>
      <c r="G39" s="63">
        <f t="shared" si="6"/>
        <v>0</v>
      </c>
      <c r="H39" s="63">
        <f t="shared" si="13"/>
        <v>0</v>
      </c>
      <c r="I39" s="64">
        <f t="shared" si="7"/>
        <v>0</v>
      </c>
      <c r="J39" s="65"/>
      <c r="K39" s="65"/>
      <c r="L39" s="83"/>
      <c r="M39" s="67"/>
      <c r="N39" s="68"/>
      <c r="O39" s="62"/>
      <c r="P39" s="69"/>
      <c r="Q39" s="70"/>
      <c r="R39" s="50">
        <f t="shared" si="8"/>
        <v>0</v>
      </c>
      <c r="S39" s="71"/>
      <c r="T39" s="85"/>
      <c r="U39" s="72"/>
      <c r="V39" s="73"/>
      <c r="W39" s="74"/>
      <c r="X39" s="75"/>
      <c r="Y39" s="75"/>
      <c r="Z39" s="76"/>
      <c r="AA39" s="77"/>
      <c r="AB39" s="73"/>
      <c r="AC39" s="74"/>
      <c r="AD39" s="75"/>
      <c r="AE39" s="75"/>
      <c r="AF39" s="75"/>
      <c r="AG39" s="75"/>
      <c r="AH39" s="75"/>
      <c r="AI39" s="75"/>
      <c r="AJ39" s="78"/>
      <c r="AK39" s="79"/>
      <c r="AL39" s="75"/>
      <c r="AM39" s="75"/>
      <c r="AN39" s="75"/>
      <c r="AO39" s="75"/>
      <c r="AP39" s="75"/>
      <c r="AQ39" s="75"/>
      <c r="AR39" s="75"/>
      <c r="AS39" s="77"/>
      <c r="AT39" s="74"/>
      <c r="AU39" s="78"/>
      <c r="AV39" s="79"/>
      <c r="AW39" s="75"/>
      <c r="AX39" s="75"/>
      <c r="AY39" s="75"/>
      <c r="AZ39" s="77"/>
      <c r="BA39" s="74"/>
      <c r="BB39" s="75"/>
      <c r="BC39" s="75"/>
      <c r="BD39" s="77"/>
      <c r="BE39" s="6">
        <f t="shared" si="5"/>
        <v>0</v>
      </c>
    </row>
    <row r="40" spans="1:57">
      <c r="A40" s="61"/>
      <c r="B40" s="40"/>
      <c r="C40" s="62">
        <f t="shared" si="9"/>
        <v>0</v>
      </c>
      <c r="D40" s="63">
        <f t="shared" si="10"/>
        <v>0</v>
      </c>
      <c r="E40" s="63">
        <f t="shared" si="11"/>
        <v>0</v>
      </c>
      <c r="F40" s="63">
        <f t="shared" si="12"/>
        <v>0</v>
      </c>
      <c r="G40" s="63">
        <f t="shared" si="6"/>
        <v>0</v>
      </c>
      <c r="H40" s="63">
        <f t="shared" si="13"/>
        <v>0</v>
      </c>
      <c r="I40" s="64">
        <f t="shared" si="7"/>
        <v>0</v>
      </c>
      <c r="J40" s="65"/>
      <c r="K40" s="65"/>
      <c r="L40" s="83"/>
      <c r="M40" s="67"/>
      <c r="N40" s="68"/>
      <c r="O40" s="62"/>
      <c r="P40" s="69"/>
      <c r="Q40" s="70"/>
      <c r="R40" s="50">
        <f t="shared" si="8"/>
        <v>0</v>
      </c>
      <c r="S40" s="71"/>
      <c r="T40" s="69"/>
      <c r="U40" s="81"/>
      <c r="V40" s="73"/>
      <c r="W40" s="74"/>
      <c r="X40" s="75"/>
      <c r="Y40" s="75"/>
      <c r="Z40" s="76"/>
      <c r="AA40" s="77"/>
      <c r="AB40" s="73"/>
      <c r="AC40" s="74"/>
      <c r="AD40" s="75"/>
      <c r="AE40" s="75"/>
      <c r="AF40" s="75"/>
      <c r="AG40" s="75"/>
      <c r="AH40" s="75"/>
      <c r="AI40" s="75"/>
      <c r="AJ40" s="78"/>
      <c r="AK40" s="79"/>
      <c r="AL40" s="75"/>
      <c r="AM40" s="75"/>
      <c r="AN40" s="75"/>
      <c r="AO40" s="75"/>
      <c r="AP40" s="75"/>
      <c r="AQ40" s="75"/>
      <c r="AR40" s="75"/>
      <c r="AS40" s="77"/>
      <c r="AT40" s="74"/>
      <c r="AU40" s="78"/>
      <c r="AV40" s="79"/>
      <c r="AW40" s="75"/>
      <c r="AX40" s="75"/>
      <c r="AY40" s="75"/>
      <c r="AZ40" s="77"/>
      <c r="BA40" s="74"/>
      <c r="BB40" s="75"/>
      <c r="BC40" s="75"/>
      <c r="BD40" s="77"/>
      <c r="BE40" s="6">
        <f t="shared" si="5"/>
        <v>0</v>
      </c>
    </row>
    <row r="41" spans="1:57">
      <c r="A41" s="61"/>
      <c r="B41" s="40"/>
      <c r="C41" s="62">
        <f t="shared" si="9"/>
        <v>0</v>
      </c>
      <c r="D41" s="63">
        <f t="shared" si="10"/>
        <v>0</v>
      </c>
      <c r="E41" s="63">
        <f t="shared" si="11"/>
        <v>0</v>
      </c>
      <c r="F41" s="63">
        <f t="shared" si="12"/>
        <v>0</v>
      </c>
      <c r="G41" s="63">
        <f t="shared" si="6"/>
        <v>0</v>
      </c>
      <c r="H41" s="63">
        <f t="shared" si="13"/>
        <v>0</v>
      </c>
      <c r="I41" s="64">
        <f t="shared" si="7"/>
        <v>0</v>
      </c>
      <c r="J41" s="91"/>
      <c r="K41" s="65"/>
      <c r="L41" s="83"/>
      <c r="M41" s="67"/>
      <c r="N41" s="68"/>
      <c r="O41" s="62"/>
      <c r="P41" s="69"/>
      <c r="Q41" s="70"/>
      <c r="R41" s="50">
        <f t="shared" si="8"/>
        <v>0</v>
      </c>
      <c r="S41" s="92"/>
      <c r="T41" s="85"/>
      <c r="U41" s="72"/>
      <c r="V41" s="73"/>
      <c r="W41" s="74"/>
      <c r="X41" s="75"/>
      <c r="Y41" s="75"/>
      <c r="Z41" s="76"/>
      <c r="AA41" s="77"/>
      <c r="AB41" s="87"/>
      <c r="AC41" s="88"/>
      <c r="AD41" s="89"/>
      <c r="AE41" s="89"/>
      <c r="AF41" s="89"/>
      <c r="AG41" s="89"/>
      <c r="AH41" s="89"/>
      <c r="AI41" s="89"/>
      <c r="AJ41" s="90"/>
      <c r="AK41" s="79"/>
      <c r="AL41" s="75"/>
      <c r="AM41" s="75"/>
      <c r="AN41" s="75"/>
      <c r="AO41" s="75"/>
      <c r="AP41" s="75"/>
      <c r="AQ41" s="75"/>
      <c r="AR41" s="75"/>
      <c r="AS41" s="77"/>
      <c r="AT41" s="74"/>
      <c r="AU41" s="78"/>
      <c r="AV41" s="79"/>
      <c r="AW41" s="75"/>
      <c r="AX41" s="75"/>
      <c r="AY41" s="75"/>
      <c r="AZ41" s="77"/>
      <c r="BA41" s="74"/>
      <c r="BB41" s="75"/>
      <c r="BC41" s="75"/>
      <c r="BD41" s="77"/>
      <c r="BE41" s="6">
        <f t="shared" si="5"/>
        <v>0</v>
      </c>
    </row>
    <row r="42" spans="1:57">
      <c r="A42" s="61"/>
      <c r="B42" s="40"/>
      <c r="C42" s="62">
        <f t="shared" si="9"/>
        <v>0</v>
      </c>
      <c r="D42" s="63">
        <f t="shared" si="10"/>
        <v>0</v>
      </c>
      <c r="E42" s="63">
        <f t="shared" si="11"/>
        <v>0</v>
      </c>
      <c r="F42" s="63">
        <f t="shared" si="12"/>
        <v>0</v>
      </c>
      <c r="G42" s="63">
        <f t="shared" si="6"/>
        <v>0</v>
      </c>
      <c r="H42" s="63">
        <f t="shared" si="13"/>
        <v>0</v>
      </c>
      <c r="I42" s="64">
        <f t="shared" si="7"/>
        <v>0</v>
      </c>
      <c r="J42" s="65"/>
      <c r="K42" s="65"/>
      <c r="L42" s="83"/>
      <c r="M42" s="67"/>
      <c r="N42" s="68"/>
      <c r="O42" s="62"/>
      <c r="P42" s="69"/>
      <c r="Q42" s="70"/>
      <c r="R42" s="50">
        <f t="shared" si="8"/>
        <v>0</v>
      </c>
      <c r="S42" s="71"/>
      <c r="T42" s="69"/>
      <c r="U42" s="81"/>
      <c r="V42" s="73"/>
      <c r="W42" s="74"/>
      <c r="X42" s="75"/>
      <c r="Y42" s="75"/>
      <c r="Z42" s="76"/>
      <c r="AA42" s="77"/>
      <c r="AB42" s="74"/>
      <c r="AC42" s="74"/>
      <c r="AD42" s="75"/>
      <c r="AE42" s="75"/>
      <c r="AF42" s="75"/>
      <c r="AG42" s="75"/>
      <c r="AH42" s="75"/>
      <c r="AI42" s="75"/>
      <c r="AJ42" s="78"/>
      <c r="AK42" s="79"/>
      <c r="AL42" s="75"/>
      <c r="AM42" s="75"/>
      <c r="AN42" s="75"/>
      <c r="AO42" s="75"/>
      <c r="AP42" s="95"/>
      <c r="AQ42" s="75"/>
      <c r="AR42" s="75"/>
      <c r="AS42" s="77"/>
      <c r="AT42" s="74"/>
      <c r="AU42" s="78"/>
      <c r="AV42" s="79"/>
      <c r="AW42" s="75"/>
      <c r="AX42" s="75"/>
      <c r="AY42" s="75"/>
      <c r="AZ42" s="77"/>
      <c r="BA42" s="74"/>
      <c r="BB42" s="75"/>
      <c r="BC42" s="75"/>
      <c r="BD42" s="77"/>
      <c r="BE42" s="6">
        <f t="shared" si="5"/>
        <v>0</v>
      </c>
    </row>
    <row r="43" spans="1:57" ht="16.2" customHeight="1">
      <c r="A43" s="61"/>
      <c r="B43" s="40"/>
      <c r="C43" s="62">
        <f t="shared" si="9"/>
        <v>0</v>
      </c>
      <c r="D43" s="63">
        <f t="shared" si="10"/>
        <v>0</v>
      </c>
      <c r="E43" s="63">
        <f t="shared" si="11"/>
        <v>0</v>
      </c>
      <c r="F43" s="63">
        <f t="shared" si="12"/>
        <v>0</v>
      </c>
      <c r="G43" s="63">
        <f t="shared" si="6"/>
        <v>0</v>
      </c>
      <c r="H43" s="63">
        <f t="shared" si="13"/>
        <v>0</v>
      </c>
      <c r="I43" s="64">
        <f t="shared" si="7"/>
        <v>0</v>
      </c>
      <c r="J43" s="65"/>
      <c r="K43" s="65"/>
      <c r="L43" s="83"/>
      <c r="M43" s="67"/>
      <c r="N43" s="68"/>
      <c r="O43" s="62"/>
      <c r="P43" s="69"/>
      <c r="Q43" s="70"/>
      <c r="R43" s="50">
        <f t="shared" si="8"/>
        <v>0</v>
      </c>
      <c r="S43" s="71"/>
      <c r="T43" s="86"/>
      <c r="U43" s="81"/>
      <c r="V43" s="73"/>
      <c r="W43" s="74"/>
      <c r="X43" s="75"/>
      <c r="Y43" s="75"/>
      <c r="Z43" s="76"/>
      <c r="AA43" s="77"/>
      <c r="AB43" s="74"/>
      <c r="AC43" s="74"/>
      <c r="AD43" s="75"/>
      <c r="AE43" s="75"/>
      <c r="AF43" s="75"/>
      <c r="AG43" s="75"/>
      <c r="AH43" s="75"/>
      <c r="AI43" s="75"/>
      <c r="AJ43" s="78"/>
      <c r="AK43" s="79"/>
      <c r="AL43" s="75"/>
      <c r="AM43" s="75"/>
      <c r="AN43" s="75"/>
      <c r="AO43" s="75"/>
      <c r="AP43" s="95"/>
      <c r="AQ43" s="75"/>
      <c r="AR43" s="75"/>
      <c r="AS43" s="77"/>
      <c r="AT43" s="74"/>
      <c r="AU43" s="78"/>
      <c r="AV43" s="79"/>
      <c r="AW43" s="75"/>
      <c r="AX43" s="75"/>
      <c r="AY43" s="75"/>
      <c r="AZ43" s="77"/>
      <c r="BA43" s="74"/>
      <c r="BB43" s="75"/>
      <c r="BC43" s="75"/>
      <c r="BD43" s="77"/>
      <c r="BE43" s="6">
        <f t="shared" si="5"/>
        <v>0</v>
      </c>
    </row>
    <row r="44" spans="1:57">
      <c r="A44" s="61"/>
      <c r="B44" s="40"/>
      <c r="C44" s="62">
        <f t="shared" si="9"/>
        <v>0</v>
      </c>
      <c r="D44" s="63">
        <f t="shared" si="10"/>
        <v>0</v>
      </c>
      <c r="E44" s="63">
        <f t="shared" si="11"/>
        <v>0</v>
      </c>
      <c r="F44" s="63">
        <f t="shared" si="12"/>
        <v>0</v>
      </c>
      <c r="G44" s="63">
        <f t="shared" si="6"/>
        <v>0</v>
      </c>
      <c r="H44" s="63">
        <f t="shared" si="13"/>
        <v>0</v>
      </c>
      <c r="I44" s="64">
        <f t="shared" si="7"/>
        <v>0</v>
      </c>
      <c r="J44" s="65"/>
      <c r="K44" s="65"/>
      <c r="L44" s="83"/>
      <c r="M44" s="67"/>
      <c r="N44" s="68"/>
      <c r="O44" s="62"/>
      <c r="P44" s="69"/>
      <c r="Q44" s="70"/>
      <c r="R44" s="50">
        <f t="shared" si="8"/>
        <v>0</v>
      </c>
      <c r="S44" s="71"/>
      <c r="T44" s="86"/>
      <c r="U44" s="81"/>
      <c r="V44" s="73"/>
      <c r="W44" s="74"/>
      <c r="X44" s="75"/>
      <c r="Y44" s="75"/>
      <c r="Z44" s="76"/>
      <c r="AA44" s="77"/>
      <c r="AB44" s="96"/>
      <c r="AC44" s="96"/>
      <c r="AD44" s="89"/>
      <c r="AE44" s="89"/>
      <c r="AF44" s="89"/>
      <c r="AG44" s="89"/>
      <c r="AH44" s="89"/>
      <c r="AI44" s="89"/>
      <c r="AJ44" s="90"/>
      <c r="AK44" s="79"/>
      <c r="AL44" s="75"/>
      <c r="AM44" s="75"/>
      <c r="AN44" s="75"/>
      <c r="AO44" s="75"/>
      <c r="AP44" s="95"/>
      <c r="AQ44" s="75"/>
      <c r="AR44" s="75"/>
      <c r="AS44" s="77"/>
      <c r="AT44" s="74"/>
      <c r="AU44" s="78"/>
      <c r="AV44" s="79"/>
      <c r="AW44" s="75"/>
      <c r="AX44" s="75"/>
      <c r="AY44" s="75"/>
      <c r="AZ44" s="77"/>
      <c r="BA44" s="74"/>
      <c r="BB44" s="75"/>
      <c r="BC44" s="75"/>
      <c r="BD44" s="77"/>
      <c r="BE44" s="6">
        <f t="shared" si="5"/>
        <v>0</v>
      </c>
    </row>
    <row r="45" spans="1:57">
      <c r="A45" s="61"/>
      <c r="B45" s="40"/>
      <c r="C45" s="62">
        <f t="shared" si="9"/>
        <v>0</v>
      </c>
      <c r="D45" s="63">
        <f t="shared" si="10"/>
        <v>0</v>
      </c>
      <c r="E45" s="63">
        <f t="shared" si="11"/>
        <v>0</v>
      </c>
      <c r="F45" s="63">
        <f t="shared" si="12"/>
        <v>0</v>
      </c>
      <c r="G45" s="63">
        <f t="shared" si="6"/>
        <v>0</v>
      </c>
      <c r="H45" s="63">
        <f t="shared" si="13"/>
        <v>0</v>
      </c>
      <c r="I45" s="64">
        <f t="shared" si="7"/>
        <v>0</v>
      </c>
      <c r="J45" s="65"/>
      <c r="K45" s="65"/>
      <c r="L45" s="83"/>
      <c r="M45" s="67"/>
      <c r="N45" s="68"/>
      <c r="O45" s="62"/>
      <c r="P45" s="69"/>
      <c r="Q45" s="70"/>
      <c r="R45" s="50">
        <f t="shared" si="8"/>
        <v>0</v>
      </c>
      <c r="S45" s="71"/>
      <c r="T45" s="86"/>
      <c r="U45" s="81"/>
      <c r="V45" s="73"/>
      <c r="W45" s="74"/>
      <c r="X45" s="75"/>
      <c r="Y45" s="75"/>
      <c r="Z45" s="76"/>
      <c r="AA45" s="77"/>
      <c r="AB45" s="96"/>
      <c r="AC45" s="96"/>
      <c r="AD45" s="89"/>
      <c r="AE45" s="89"/>
      <c r="AF45" s="89"/>
      <c r="AG45" s="89"/>
      <c r="AH45" s="89"/>
      <c r="AI45" s="89"/>
      <c r="AJ45" s="90"/>
      <c r="AK45" s="79"/>
      <c r="AL45" s="75"/>
      <c r="AM45" s="75"/>
      <c r="AN45" s="75"/>
      <c r="AO45" s="75"/>
      <c r="AP45" s="75"/>
      <c r="AQ45" s="75"/>
      <c r="AR45" s="75"/>
      <c r="AS45" s="77"/>
      <c r="AT45" s="74"/>
      <c r="AU45" s="78"/>
      <c r="AV45" s="79"/>
      <c r="AW45" s="75"/>
      <c r="AX45" s="75"/>
      <c r="AY45" s="75"/>
      <c r="AZ45" s="77"/>
      <c r="BA45" s="74"/>
      <c r="BB45" s="75"/>
      <c r="BC45" s="75"/>
      <c r="BD45" s="77"/>
      <c r="BE45" s="6">
        <f t="shared" si="5"/>
        <v>0</v>
      </c>
    </row>
    <row r="46" spans="1:57">
      <c r="A46" s="61"/>
      <c r="B46" s="40"/>
      <c r="C46" s="97">
        <f t="shared" si="9"/>
        <v>0</v>
      </c>
      <c r="D46" s="98">
        <f t="shared" si="10"/>
        <v>0</v>
      </c>
      <c r="E46" s="98">
        <f t="shared" si="11"/>
        <v>0</v>
      </c>
      <c r="F46" s="98">
        <f t="shared" si="12"/>
        <v>0</v>
      </c>
      <c r="G46" s="98">
        <f t="shared" si="6"/>
        <v>0</v>
      </c>
      <c r="H46" s="98">
        <f t="shared" si="13"/>
        <v>0</v>
      </c>
      <c r="I46" s="64">
        <f t="shared" si="7"/>
        <v>0</v>
      </c>
      <c r="J46" s="99"/>
      <c r="K46" s="99"/>
      <c r="L46" s="100"/>
      <c r="M46" s="101"/>
      <c r="N46" s="102"/>
      <c r="O46" s="97"/>
      <c r="P46" s="69"/>
      <c r="Q46" s="103"/>
      <c r="R46" s="50">
        <f t="shared" si="8"/>
        <v>0</v>
      </c>
      <c r="S46" s="71"/>
      <c r="T46" s="86"/>
      <c r="U46" s="81"/>
      <c r="V46" s="73"/>
      <c r="W46" s="74"/>
      <c r="X46" s="75"/>
      <c r="Y46" s="75"/>
      <c r="Z46" s="76"/>
      <c r="AA46" s="77"/>
      <c r="AB46" s="88"/>
      <c r="AC46" s="88"/>
      <c r="AD46" s="89"/>
      <c r="AE46" s="89"/>
      <c r="AF46" s="89"/>
      <c r="AG46" s="89"/>
      <c r="AH46" s="89"/>
      <c r="AI46" s="89"/>
      <c r="AJ46" s="90"/>
      <c r="AK46" s="79"/>
      <c r="AL46" s="75"/>
      <c r="AM46" s="75"/>
      <c r="AN46" s="75"/>
      <c r="AO46" s="75"/>
      <c r="AP46" s="75"/>
      <c r="AQ46" s="75"/>
      <c r="AR46" s="75"/>
      <c r="AS46" s="77"/>
      <c r="AT46" s="74"/>
      <c r="AU46" s="78"/>
      <c r="AV46" s="79"/>
      <c r="AW46" s="75"/>
      <c r="AX46" s="75"/>
      <c r="AY46" s="75"/>
      <c r="AZ46" s="77"/>
      <c r="BA46" s="74"/>
      <c r="BB46" s="75"/>
      <c r="BC46" s="75"/>
      <c r="BD46" s="77"/>
      <c r="BE46" s="104"/>
    </row>
    <row r="47" spans="1:57">
      <c r="A47" s="61"/>
      <c r="B47" s="40"/>
      <c r="C47" s="62">
        <f t="shared" si="9"/>
        <v>0</v>
      </c>
      <c r="D47" s="63">
        <f t="shared" si="10"/>
        <v>0</v>
      </c>
      <c r="E47" s="63">
        <f t="shared" si="11"/>
        <v>0</v>
      </c>
      <c r="F47" s="63">
        <f t="shared" si="12"/>
        <v>0</v>
      </c>
      <c r="G47" s="63">
        <f t="shared" si="6"/>
        <v>0</v>
      </c>
      <c r="H47" s="63">
        <f t="shared" si="13"/>
        <v>0</v>
      </c>
      <c r="I47" s="64">
        <f t="shared" si="7"/>
        <v>0</v>
      </c>
      <c r="J47" s="65"/>
      <c r="K47" s="65"/>
      <c r="L47" s="83"/>
      <c r="M47" s="67"/>
      <c r="N47" s="68"/>
      <c r="O47" s="62"/>
      <c r="P47" s="69"/>
      <c r="Q47" s="70"/>
      <c r="R47" s="50">
        <f t="shared" si="8"/>
        <v>0</v>
      </c>
      <c r="S47" s="105"/>
      <c r="T47" s="86"/>
      <c r="U47" s="81"/>
      <c r="V47" s="73"/>
      <c r="W47" s="74"/>
      <c r="X47" s="75"/>
      <c r="Y47" s="75"/>
      <c r="Z47" s="76"/>
      <c r="AA47" s="77"/>
      <c r="AB47" s="88"/>
      <c r="AC47" s="88"/>
      <c r="AD47" s="89"/>
      <c r="AE47" s="89"/>
      <c r="AF47" s="89"/>
      <c r="AG47" s="89"/>
      <c r="AH47" s="89"/>
      <c r="AI47" s="89"/>
      <c r="AJ47" s="90"/>
      <c r="AK47" s="79"/>
      <c r="AL47" s="75"/>
      <c r="AM47" s="75"/>
      <c r="AN47" s="75"/>
      <c r="AO47" s="75"/>
      <c r="AP47" s="84"/>
      <c r="AQ47" s="75"/>
      <c r="AR47" s="75"/>
      <c r="AS47" s="77"/>
      <c r="AT47" s="74"/>
      <c r="AU47" s="78"/>
      <c r="AV47" s="79"/>
      <c r="AW47" s="75"/>
      <c r="AX47" s="75"/>
      <c r="AY47" s="75"/>
      <c r="AZ47" s="77"/>
      <c r="BA47" s="74"/>
      <c r="BB47" s="75"/>
      <c r="BC47" s="75"/>
      <c r="BD47" s="77"/>
      <c r="BE47" s="6">
        <f t="shared" ref="BE47:BE78" si="14">I47-SUM(AB47:BD47)</f>
        <v>0</v>
      </c>
    </row>
    <row r="48" spans="1:57">
      <c r="A48" s="61"/>
      <c r="B48" s="40"/>
      <c r="C48" s="62">
        <f t="shared" si="9"/>
        <v>0</v>
      </c>
      <c r="D48" s="63">
        <f t="shared" si="10"/>
        <v>0</v>
      </c>
      <c r="E48" s="63">
        <f t="shared" si="11"/>
        <v>0</v>
      </c>
      <c r="F48" s="63">
        <f t="shared" si="12"/>
        <v>0</v>
      </c>
      <c r="G48" s="63">
        <f t="shared" si="6"/>
        <v>0</v>
      </c>
      <c r="H48" s="63">
        <f t="shared" si="13"/>
        <v>0</v>
      </c>
      <c r="I48" s="64">
        <f t="shared" si="7"/>
        <v>0</v>
      </c>
      <c r="J48" s="65"/>
      <c r="K48" s="65"/>
      <c r="L48" s="83"/>
      <c r="M48" s="67"/>
      <c r="N48" s="68"/>
      <c r="O48" s="62"/>
      <c r="P48" s="69"/>
      <c r="Q48" s="70"/>
      <c r="R48" s="50">
        <f t="shared" si="8"/>
        <v>0</v>
      </c>
      <c r="S48" s="71"/>
      <c r="T48" s="85"/>
      <c r="U48" s="72"/>
      <c r="V48" s="73"/>
      <c r="W48" s="74"/>
      <c r="X48" s="75"/>
      <c r="Y48" s="75"/>
      <c r="Z48" s="76"/>
      <c r="AA48" s="77"/>
      <c r="AB48" s="88"/>
      <c r="AC48" s="88"/>
      <c r="AD48" s="89"/>
      <c r="AE48" s="89"/>
      <c r="AF48" s="89"/>
      <c r="AG48" s="89"/>
      <c r="AH48" s="89"/>
      <c r="AI48" s="89"/>
      <c r="AJ48" s="90"/>
      <c r="AK48" s="79"/>
      <c r="AL48" s="75"/>
      <c r="AM48" s="75"/>
      <c r="AN48" s="75"/>
      <c r="AO48" s="75"/>
      <c r="AP48" s="95"/>
      <c r="AQ48" s="75"/>
      <c r="AR48" s="75"/>
      <c r="AS48" s="77"/>
      <c r="AT48" s="74"/>
      <c r="AU48" s="78"/>
      <c r="AV48" s="79"/>
      <c r="AW48" s="75"/>
      <c r="AX48" s="75"/>
      <c r="AY48" s="75"/>
      <c r="AZ48" s="77"/>
      <c r="BA48" s="74"/>
      <c r="BB48" s="75"/>
      <c r="BC48" s="75"/>
      <c r="BD48" s="77"/>
      <c r="BE48" s="6">
        <f t="shared" si="14"/>
        <v>0</v>
      </c>
    </row>
    <row r="49" spans="1:57">
      <c r="A49" s="61"/>
      <c r="B49" s="40"/>
      <c r="C49" s="62">
        <f t="shared" si="9"/>
        <v>0</v>
      </c>
      <c r="D49" s="63">
        <f t="shared" si="10"/>
        <v>0</v>
      </c>
      <c r="E49" s="63">
        <f t="shared" si="11"/>
        <v>0</v>
      </c>
      <c r="F49" s="63">
        <f t="shared" si="12"/>
        <v>0</v>
      </c>
      <c r="G49" s="63">
        <f t="shared" si="6"/>
        <v>0</v>
      </c>
      <c r="H49" s="63">
        <f t="shared" si="13"/>
        <v>0</v>
      </c>
      <c r="I49" s="64">
        <f t="shared" si="7"/>
        <v>0</v>
      </c>
      <c r="J49" s="65"/>
      <c r="K49" s="65"/>
      <c r="L49" s="83"/>
      <c r="M49" s="67"/>
      <c r="N49" s="68"/>
      <c r="O49" s="62"/>
      <c r="P49" s="69"/>
      <c r="Q49" s="70"/>
      <c r="R49" s="50">
        <f t="shared" si="8"/>
        <v>0</v>
      </c>
      <c r="S49" s="71"/>
      <c r="T49" s="86"/>
      <c r="U49" s="72"/>
      <c r="V49" s="73"/>
      <c r="W49" s="74"/>
      <c r="X49" s="75"/>
      <c r="Y49" s="75"/>
      <c r="Z49" s="76"/>
      <c r="AA49" s="77"/>
      <c r="AB49" s="74"/>
      <c r="AC49" s="74"/>
      <c r="AD49" s="75"/>
      <c r="AE49" s="75"/>
      <c r="AF49" s="75"/>
      <c r="AG49" s="75"/>
      <c r="AH49" s="75"/>
      <c r="AI49" s="75"/>
      <c r="AJ49" s="78"/>
      <c r="AK49" s="79"/>
      <c r="AL49" s="75"/>
      <c r="AM49" s="75"/>
      <c r="AN49" s="75"/>
      <c r="AO49" s="75"/>
      <c r="AP49" s="95"/>
      <c r="AQ49" s="75"/>
      <c r="AR49" s="75"/>
      <c r="AS49" s="77"/>
      <c r="AT49" s="74"/>
      <c r="AU49" s="78"/>
      <c r="AV49" s="79"/>
      <c r="AW49" s="75"/>
      <c r="AX49" s="75"/>
      <c r="AY49" s="75"/>
      <c r="AZ49" s="77"/>
      <c r="BA49" s="74"/>
      <c r="BB49" s="75"/>
      <c r="BC49" s="75"/>
      <c r="BD49" s="77"/>
      <c r="BE49" s="6">
        <f t="shared" si="14"/>
        <v>0</v>
      </c>
    </row>
    <row r="50" spans="1:57">
      <c r="A50" s="61"/>
      <c r="B50" s="40"/>
      <c r="C50" s="62">
        <f t="shared" si="9"/>
        <v>0</v>
      </c>
      <c r="D50" s="63">
        <f t="shared" si="10"/>
        <v>0</v>
      </c>
      <c r="E50" s="63">
        <f t="shared" si="11"/>
        <v>0</v>
      </c>
      <c r="F50" s="63">
        <f t="shared" si="12"/>
        <v>0</v>
      </c>
      <c r="G50" s="63">
        <f t="shared" si="6"/>
        <v>0</v>
      </c>
      <c r="H50" s="63">
        <f t="shared" si="13"/>
        <v>0</v>
      </c>
      <c r="I50" s="64">
        <f t="shared" si="7"/>
        <v>0</v>
      </c>
      <c r="J50" s="65"/>
      <c r="K50" s="65"/>
      <c r="L50" s="83"/>
      <c r="M50" s="67"/>
      <c r="N50" s="68"/>
      <c r="O50" s="62"/>
      <c r="P50" s="69"/>
      <c r="Q50" s="70"/>
      <c r="R50" s="50">
        <f t="shared" si="8"/>
        <v>0</v>
      </c>
      <c r="S50" s="71"/>
      <c r="T50" s="69"/>
      <c r="U50" s="81"/>
      <c r="V50" s="73"/>
      <c r="W50" s="74"/>
      <c r="X50" s="75"/>
      <c r="Y50" s="75"/>
      <c r="Z50" s="76"/>
      <c r="AA50" s="77"/>
      <c r="AB50" s="73"/>
      <c r="AC50" s="74"/>
      <c r="AD50" s="75"/>
      <c r="AE50" s="75"/>
      <c r="AF50" s="75"/>
      <c r="AG50" s="75"/>
      <c r="AH50" s="75"/>
      <c r="AI50" s="75"/>
      <c r="AJ50" s="78"/>
      <c r="AK50" s="79"/>
      <c r="AL50" s="75"/>
      <c r="AM50" s="75"/>
      <c r="AN50" s="75"/>
      <c r="AO50" s="75"/>
      <c r="AP50" s="75"/>
      <c r="AQ50" s="75"/>
      <c r="AR50" s="75"/>
      <c r="AS50" s="77"/>
      <c r="AT50" s="74"/>
      <c r="AU50" s="78"/>
      <c r="AV50" s="79"/>
      <c r="AW50" s="75"/>
      <c r="AX50" s="75"/>
      <c r="AY50" s="75"/>
      <c r="AZ50" s="77"/>
      <c r="BA50" s="74"/>
      <c r="BB50" s="75"/>
      <c r="BC50" s="75"/>
      <c r="BD50" s="77"/>
      <c r="BE50" s="6">
        <f t="shared" si="14"/>
        <v>0</v>
      </c>
    </row>
    <row r="51" spans="1:57">
      <c r="A51" s="61"/>
      <c r="B51" s="40"/>
      <c r="C51" s="62">
        <f t="shared" si="9"/>
        <v>0</v>
      </c>
      <c r="D51" s="63">
        <f t="shared" si="10"/>
        <v>0</v>
      </c>
      <c r="E51" s="63">
        <f t="shared" si="11"/>
        <v>0</v>
      </c>
      <c r="F51" s="63">
        <f t="shared" si="12"/>
        <v>0</v>
      </c>
      <c r="G51" s="63">
        <f t="shared" si="6"/>
        <v>0</v>
      </c>
      <c r="H51" s="63">
        <f t="shared" si="13"/>
        <v>0</v>
      </c>
      <c r="I51" s="64">
        <f t="shared" si="7"/>
        <v>0</v>
      </c>
      <c r="J51" s="65"/>
      <c r="K51" s="65"/>
      <c r="L51" s="83"/>
      <c r="M51" s="67"/>
      <c r="N51" s="68"/>
      <c r="O51" s="62"/>
      <c r="P51" s="69"/>
      <c r="Q51" s="70"/>
      <c r="R51" s="50">
        <f t="shared" si="8"/>
        <v>0</v>
      </c>
      <c r="S51" s="71"/>
      <c r="T51" s="69"/>
      <c r="U51" s="72"/>
      <c r="V51" s="73"/>
      <c r="W51" s="74"/>
      <c r="X51" s="75"/>
      <c r="Y51" s="75"/>
      <c r="Z51" s="76"/>
      <c r="AA51" s="77"/>
      <c r="AB51" s="73"/>
      <c r="AC51" s="74"/>
      <c r="AD51" s="75"/>
      <c r="AE51" s="75"/>
      <c r="AF51" s="75"/>
      <c r="AG51" s="75"/>
      <c r="AH51" s="75"/>
      <c r="AI51" s="75"/>
      <c r="AJ51" s="78"/>
      <c r="AK51" s="79"/>
      <c r="AL51" s="75"/>
      <c r="AM51" s="75"/>
      <c r="AN51" s="75"/>
      <c r="AO51" s="75"/>
      <c r="AP51" s="75"/>
      <c r="AQ51" s="75"/>
      <c r="AR51" s="75"/>
      <c r="AS51" s="77"/>
      <c r="AT51" s="74"/>
      <c r="AU51" s="78"/>
      <c r="AV51" s="79"/>
      <c r="AW51" s="75"/>
      <c r="AX51" s="75"/>
      <c r="AY51" s="75"/>
      <c r="AZ51" s="77"/>
      <c r="BA51" s="74"/>
      <c r="BB51" s="75"/>
      <c r="BC51" s="75"/>
      <c r="BD51" s="77"/>
      <c r="BE51" s="6">
        <f t="shared" si="14"/>
        <v>0</v>
      </c>
    </row>
    <row r="52" spans="1:57">
      <c r="A52" s="61"/>
      <c r="B52" s="40"/>
      <c r="C52" s="62">
        <f t="shared" si="9"/>
        <v>0</v>
      </c>
      <c r="D52" s="63">
        <f t="shared" si="10"/>
        <v>0</v>
      </c>
      <c r="E52" s="63">
        <f t="shared" si="11"/>
        <v>0</v>
      </c>
      <c r="F52" s="63">
        <f t="shared" si="12"/>
        <v>0</v>
      </c>
      <c r="G52" s="63">
        <f t="shared" si="6"/>
        <v>0</v>
      </c>
      <c r="H52" s="63">
        <f t="shared" si="13"/>
        <v>0</v>
      </c>
      <c r="I52" s="64">
        <f t="shared" si="7"/>
        <v>0</v>
      </c>
      <c r="J52" s="65"/>
      <c r="K52" s="65"/>
      <c r="L52" s="83"/>
      <c r="M52" s="67"/>
      <c r="N52" s="68"/>
      <c r="O52" s="62"/>
      <c r="P52" s="69"/>
      <c r="Q52" s="70"/>
      <c r="R52" s="50">
        <f t="shared" si="8"/>
        <v>0</v>
      </c>
      <c r="S52" s="71"/>
      <c r="T52" s="69"/>
      <c r="U52" s="81"/>
      <c r="V52" s="73"/>
      <c r="W52" s="74"/>
      <c r="X52" s="75"/>
      <c r="Y52" s="75"/>
      <c r="Z52" s="76"/>
      <c r="AA52" s="77"/>
      <c r="AB52" s="73"/>
      <c r="AC52" s="74"/>
      <c r="AD52" s="75"/>
      <c r="AE52" s="75"/>
      <c r="AF52" s="75"/>
      <c r="AG52" s="75"/>
      <c r="AH52" s="75"/>
      <c r="AI52" s="75"/>
      <c r="AJ52" s="78"/>
      <c r="AK52" s="79"/>
      <c r="AL52" s="75"/>
      <c r="AM52" s="75"/>
      <c r="AN52" s="75"/>
      <c r="AO52" s="75"/>
      <c r="AP52" s="75"/>
      <c r="AQ52" s="75"/>
      <c r="AR52" s="75"/>
      <c r="AS52" s="77"/>
      <c r="AT52" s="74"/>
      <c r="AU52" s="78"/>
      <c r="AV52" s="79"/>
      <c r="AW52" s="75"/>
      <c r="AX52" s="75"/>
      <c r="AY52" s="75"/>
      <c r="AZ52" s="77"/>
      <c r="BA52" s="74"/>
      <c r="BB52" s="75"/>
      <c r="BC52" s="75"/>
      <c r="BD52" s="77"/>
      <c r="BE52" s="6">
        <f t="shared" si="14"/>
        <v>0</v>
      </c>
    </row>
    <row r="53" spans="1:57">
      <c r="A53" s="61"/>
      <c r="B53" s="40"/>
      <c r="C53" s="62">
        <f t="shared" si="9"/>
        <v>0</v>
      </c>
      <c r="D53" s="63">
        <f t="shared" si="10"/>
        <v>0</v>
      </c>
      <c r="E53" s="63">
        <f t="shared" si="11"/>
        <v>0</v>
      </c>
      <c r="F53" s="63">
        <f t="shared" si="12"/>
        <v>0</v>
      </c>
      <c r="G53" s="63">
        <f t="shared" si="6"/>
        <v>0</v>
      </c>
      <c r="H53" s="63">
        <f t="shared" si="13"/>
        <v>0</v>
      </c>
      <c r="I53" s="64">
        <f t="shared" si="7"/>
        <v>0</v>
      </c>
      <c r="J53" s="65"/>
      <c r="K53" s="65"/>
      <c r="L53" s="83"/>
      <c r="M53" s="67"/>
      <c r="N53" s="68"/>
      <c r="O53" s="62"/>
      <c r="P53" s="69"/>
      <c r="Q53" s="70"/>
      <c r="R53" s="50">
        <f t="shared" si="8"/>
        <v>0</v>
      </c>
      <c r="S53" s="71"/>
      <c r="T53" s="69"/>
      <c r="U53" s="72"/>
      <c r="V53" s="73"/>
      <c r="W53" s="74"/>
      <c r="X53" s="75"/>
      <c r="Y53" s="75"/>
      <c r="Z53" s="76"/>
      <c r="AA53" s="77"/>
      <c r="AB53" s="73"/>
      <c r="AC53" s="74"/>
      <c r="AD53" s="75"/>
      <c r="AE53" s="75"/>
      <c r="AF53" s="75"/>
      <c r="AG53" s="75"/>
      <c r="AH53" s="75"/>
      <c r="AI53" s="75"/>
      <c r="AJ53" s="78"/>
      <c r="AK53" s="79"/>
      <c r="AL53" s="75"/>
      <c r="AM53" s="75"/>
      <c r="AN53" s="75"/>
      <c r="AO53" s="75"/>
      <c r="AP53" s="75"/>
      <c r="AQ53" s="75"/>
      <c r="AR53" s="75"/>
      <c r="AS53" s="77"/>
      <c r="AT53" s="74"/>
      <c r="AU53" s="78"/>
      <c r="AV53" s="79"/>
      <c r="AW53" s="75"/>
      <c r="AX53" s="75"/>
      <c r="AY53" s="75"/>
      <c r="AZ53" s="77"/>
      <c r="BA53" s="74"/>
      <c r="BB53" s="75"/>
      <c r="BC53" s="75"/>
      <c r="BD53" s="77"/>
      <c r="BE53" s="6">
        <f t="shared" si="14"/>
        <v>0</v>
      </c>
    </row>
    <row r="54" spans="1:57">
      <c r="A54" s="61"/>
      <c r="B54" s="40"/>
      <c r="C54" s="62">
        <f t="shared" si="9"/>
        <v>0</v>
      </c>
      <c r="D54" s="63">
        <f t="shared" si="10"/>
        <v>0</v>
      </c>
      <c r="E54" s="63">
        <f t="shared" si="11"/>
        <v>0</v>
      </c>
      <c r="F54" s="63">
        <f t="shared" si="12"/>
        <v>0</v>
      </c>
      <c r="G54" s="63">
        <f t="shared" si="6"/>
        <v>0</v>
      </c>
      <c r="H54" s="63">
        <f t="shared" si="13"/>
        <v>0</v>
      </c>
      <c r="I54" s="64">
        <f t="shared" si="7"/>
        <v>0</v>
      </c>
      <c r="J54" s="65"/>
      <c r="K54" s="65"/>
      <c r="L54" s="83"/>
      <c r="M54" s="67"/>
      <c r="N54" s="68"/>
      <c r="O54" s="62"/>
      <c r="P54" s="69"/>
      <c r="Q54" s="70"/>
      <c r="R54" s="50">
        <f t="shared" si="8"/>
        <v>0</v>
      </c>
      <c r="S54" s="71"/>
      <c r="T54" s="69"/>
      <c r="U54" s="72"/>
      <c r="V54" s="73"/>
      <c r="W54" s="74"/>
      <c r="X54" s="75"/>
      <c r="Y54" s="75"/>
      <c r="Z54" s="76"/>
      <c r="AA54" s="77"/>
      <c r="AB54" s="73"/>
      <c r="AC54" s="74"/>
      <c r="AD54" s="75"/>
      <c r="AE54" s="75"/>
      <c r="AF54" s="75"/>
      <c r="AG54" s="75"/>
      <c r="AH54" s="75"/>
      <c r="AI54" s="75"/>
      <c r="AJ54" s="78"/>
      <c r="AK54" s="79"/>
      <c r="AL54" s="75"/>
      <c r="AM54" s="75"/>
      <c r="AN54" s="75"/>
      <c r="AO54" s="75"/>
      <c r="AP54" s="75"/>
      <c r="AQ54" s="75"/>
      <c r="AR54" s="75"/>
      <c r="AS54" s="77"/>
      <c r="AT54" s="74"/>
      <c r="AU54" s="78"/>
      <c r="AV54" s="79"/>
      <c r="AW54" s="75"/>
      <c r="AX54" s="75"/>
      <c r="AY54" s="75"/>
      <c r="AZ54" s="77"/>
      <c r="BA54" s="74"/>
      <c r="BB54" s="75"/>
      <c r="BC54" s="75"/>
      <c r="BD54" s="77"/>
      <c r="BE54" s="6">
        <f t="shared" si="14"/>
        <v>0</v>
      </c>
    </row>
    <row r="55" spans="1:57">
      <c r="A55" s="61"/>
      <c r="B55" s="40"/>
      <c r="C55" s="62">
        <f t="shared" si="9"/>
        <v>0</v>
      </c>
      <c r="D55" s="63">
        <f t="shared" si="10"/>
        <v>0</v>
      </c>
      <c r="E55" s="63">
        <f t="shared" si="11"/>
        <v>0</v>
      </c>
      <c r="F55" s="63">
        <f t="shared" si="12"/>
        <v>0</v>
      </c>
      <c r="G55" s="63">
        <f t="shared" si="6"/>
        <v>0</v>
      </c>
      <c r="H55" s="63">
        <f t="shared" si="13"/>
        <v>0</v>
      </c>
      <c r="I55" s="64">
        <f t="shared" si="7"/>
        <v>0</v>
      </c>
      <c r="J55" s="65"/>
      <c r="K55" s="65"/>
      <c r="L55" s="83"/>
      <c r="M55" s="67"/>
      <c r="N55" s="68"/>
      <c r="O55" s="62"/>
      <c r="P55" s="69"/>
      <c r="Q55" s="70"/>
      <c r="R55" s="50">
        <f t="shared" si="8"/>
        <v>0</v>
      </c>
      <c r="S55" s="71"/>
      <c r="T55" s="69"/>
      <c r="U55" s="72"/>
      <c r="V55" s="73"/>
      <c r="W55" s="74"/>
      <c r="X55" s="75"/>
      <c r="Y55" s="75"/>
      <c r="Z55" s="76"/>
      <c r="AA55" s="77"/>
      <c r="AB55" s="73"/>
      <c r="AC55" s="74"/>
      <c r="AD55" s="75"/>
      <c r="AE55" s="75"/>
      <c r="AF55" s="75"/>
      <c r="AG55" s="75"/>
      <c r="AH55" s="75"/>
      <c r="AI55" s="75"/>
      <c r="AJ55" s="78"/>
      <c r="AK55" s="79"/>
      <c r="AL55" s="75"/>
      <c r="AM55" s="75"/>
      <c r="AN55" s="75"/>
      <c r="AO55" s="75"/>
      <c r="AP55" s="75"/>
      <c r="AQ55" s="75"/>
      <c r="AR55" s="75"/>
      <c r="AS55" s="77"/>
      <c r="AT55" s="74"/>
      <c r="AU55" s="78"/>
      <c r="AV55" s="79"/>
      <c r="AW55" s="75"/>
      <c r="AX55" s="75"/>
      <c r="AY55" s="75"/>
      <c r="AZ55" s="77"/>
      <c r="BA55" s="74"/>
      <c r="BB55" s="75"/>
      <c r="BC55" s="75"/>
      <c r="BD55" s="77"/>
      <c r="BE55" s="6">
        <f t="shared" si="14"/>
        <v>0</v>
      </c>
    </row>
    <row r="56" spans="1:57">
      <c r="A56" s="61"/>
      <c r="B56" s="40"/>
      <c r="C56" s="62">
        <f t="shared" si="9"/>
        <v>0</v>
      </c>
      <c r="D56" s="63">
        <f t="shared" si="10"/>
        <v>0</v>
      </c>
      <c r="E56" s="63">
        <f t="shared" si="11"/>
        <v>0</v>
      </c>
      <c r="F56" s="63">
        <f t="shared" si="12"/>
        <v>0</v>
      </c>
      <c r="G56" s="63">
        <f t="shared" si="6"/>
        <v>0</v>
      </c>
      <c r="H56" s="63">
        <f t="shared" si="13"/>
        <v>0</v>
      </c>
      <c r="I56" s="64">
        <f t="shared" si="7"/>
        <v>0</v>
      </c>
      <c r="J56" s="65"/>
      <c r="K56" s="65"/>
      <c r="L56" s="83"/>
      <c r="M56" s="67"/>
      <c r="N56" s="68"/>
      <c r="O56" s="62"/>
      <c r="P56" s="69"/>
      <c r="Q56" s="70"/>
      <c r="R56" s="50">
        <f t="shared" si="8"/>
        <v>0</v>
      </c>
      <c r="S56" s="71"/>
      <c r="T56" s="69"/>
      <c r="U56" s="72"/>
      <c r="V56" s="73"/>
      <c r="W56" s="74"/>
      <c r="X56" s="75"/>
      <c r="Y56" s="75"/>
      <c r="Z56" s="76"/>
      <c r="AA56" s="77"/>
      <c r="AB56" s="87"/>
      <c r="AC56" s="88"/>
      <c r="AD56" s="89"/>
      <c r="AE56" s="89"/>
      <c r="AF56" s="89"/>
      <c r="AG56" s="89"/>
      <c r="AH56" s="89"/>
      <c r="AI56" s="89"/>
      <c r="AJ56" s="90"/>
      <c r="AK56" s="79"/>
      <c r="AL56" s="75"/>
      <c r="AM56" s="75"/>
      <c r="AN56" s="75"/>
      <c r="AO56" s="75"/>
      <c r="AP56" s="75"/>
      <c r="AQ56" s="75"/>
      <c r="AR56" s="75"/>
      <c r="AS56" s="77"/>
      <c r="AT56" s="74"/>
      <c r="AU56" s="78"/>
      <c r="AV56" s="79"/>
      <c r="AW56" s="75"/>
      <c r="AX56" s="75"/>
      <c r="AY56" s="75"/>
      <c r="AZ56" s="77"/>
      <c r="BA56" s="74"/>
      <c r="BB56" s="75"/>
      <c r="BC56" s="75"/>
      <c r="BD56" s="77"/>
      <c r="BE56" s="6">
        <f t="shared" si="14"/>
        <v>0</v>
      </c>
    </row>
    <row r="57" spans="1:57">
      <c r="A57" s="61"/>
      <c r="B57" s="40"/>
      <c r="C57" s="62">
        <f t="shared" si="9"/>
        <v>0</v>
      </c>
      <c r="D57" s="63">
        <f t="shared" si="10"/>
        <v>0</v>
      </c>
      <c r="E57" s="63">
        <f t="shared" si="11"/>
        <v>0</v>
      </c>
      <c r="F57" s="63">
        <f t="shared" si="12"/>
        <v>0</v>
      </c>
      <c r="G57" s="63">
        <f t="shared" si="6"/>
        <v>0</v>
      </c>
      <c r="H57" s="63">
        <f t="shared" si="13"/>
        <v>0</v>
      </c>
      <c r="I57" s="64">
        <f t="shared" si="7"/>
        <v>0</v>
      </c>
      <c r="J57" s="65"/>
      <c r="K57" s="65"/>
      <c r="L57" s="83"/>
      <c r="M57" s="67"/>
      <c r="N57" s="68"/>
      <c r="O57" s="62"/>
      <c r="P57" s="69"/>
      <c r="Q57" s="70"/>
      <c r="R57" s="50">
        <f t="shared" si="8"/>
        <v>0</v>
      </c>
      <c r="S57" s="71"/>
      <c r="T57" s="94"/>
      <c r="U57" s="72"/>
      <c r="V57" s="73"/>
      <c r="W57" s="74"/>
      <c r="X57" s="75"/>
      <c r="Y57" s="75"/>
      <c r="Z57" s="76"/>
      <c r="AA57" s="77"/>
      <c r="AB57" s="73"/>
      <c r="AC57" s="74"/>
      <c r="AD57" s="75"/>
      <c r="AE57" s="75"/>
      <c r="AF57" s="75"/>
      <c r="AG57" s="75"/>
      <c r="AH57" s="75"/>
      <c r="AI57" s="75"/>
      <c r="AJ57" s="78"/>
      <c r="AK57" s="79"/>
      <c r="AL57" s="75"/>
      <c r="AM57" s="75"/>
      <c r="AN57" s="75"/>
      <c r="AO57" s="75"/>
      <c r="AP57" s="75"/>
      <c r="AQ57" s="75"/>
      <c r="AR57" s="75"/>
      <c r="AS57" s="77"/>
      <c r="AT57" s="74"/>
      <c r="AU57" s="78"/>
      <c r="AV57" s="79"/>
      <c r="AW57" s="75"/>
      <c r="AX57" s="75"/>
      <c r="AY57" s="75"/>
      <c r="AZ57" s="77"/>
      <c r="BA57" s="74"/>
      <c r="BB57" s="75"/>
      <c r="BC57" s="75"/>
      <c r="BD57" s="77"/>
      <c r="BE57" s="6">
        <f t="shared" si="14"/>
        <v>0</v>
      </c>
    </row>
    <row r="58" spans="1:57">
      <c r="A58" s="61"/>
      <c r="B58" s="40"/>
      <c r="C58" s="62">
        <f t="shared" si="9"/>
        <v>0</v>
      </c>
      <c r="D58" s="63">
        <f t="shared" si="10"/>
        <v>0</v>
      </c>
      <c r="E58" s="63">
        <f t="shared" si="11"/>
        <v>0</v>
      </c>
      <c r="F58" s="63">
        <f t="shared" si="12"/>
        <v>0</v>
      </c>
      <c r="G58" s="63">
        <f t="shared" si="6"/>
        <v>0</v>
      </c>
      <c r="H58" s="63">
        <f t="shared" si="13"/>
        <v>0</v>
      </c>
      <c r="I58" s="64">
        <f t="shared" si="7"/>
        <v>0</v>
      </c>
      <c r="J58" s="65"/>
      <c r="K58" s="65"/>
      <c r="L58" s="83"/>
      <c r="M58" s="67"/>
      <c r="N58" s="68"/>
      <c r="O58" s="62"/>
      <c r="P58" s="69"/>
      <c r="Q58" s="70"/>
      <c r="R58" s="50">
        <f t="shared" si="8"/>
        <v>0</v>
      </c>
      <c r="S58" s="71"/>
      <c r="T58" s="85"/>
      <c r="U58" s="72"/>
      <c r="V58" s="73"/>
      <c r="W58" s="74"/>
      <c r="X58" s="75"/>
      <c r="Y58" s="75"/>
      <c r="Z58" s="76"/>
      <c r="AA58" s="77"/>
      <c r="AB58" s="87"/>
      <c r="AC58" s="88"/>
      <c r="AD58" s="89"/>
      <c r="AE58" s="89"/>
      <c r="AF58" s="89"/>
      <c r="AG58" s="89"/>
      <c r="AH58" s="89"/>
      <c r="AI58" s="89"/>
      <c r="AJ58" s="90"/>
      <c r="AK58" s="79"/>
      <c r="AL58" s="75"/>
      <c r="AM58" s="75"/>
      <c r="AN58" s="75"/>
      <c r="AO58" s="75"/>
      <c r="AP58" s="75"/>
      <c r="AQ58" s="75"/>
      <c r="AR58" s="75"/>
      <c r="AS58" s="77"/>
      <c r="AT58" s="74"/>
      <c r="AU58" s="78"/>
      <c r="AV58" s="79"/>
      <c r="AW58" s="75"/>
      <c r="AX58" s="75"/>
      <c r="AY58" s="75"/>
      <c r="AZ58" s="77"/>
      <c r="BA58" s="74"/>
      <c r="BB58" s="75"/>
      <c r="BC58" s="75"/>
      <c r="BD58" s="77"/>
      <c r="BE58" s="6">
        <f t="shared" si="14"/>
        <v>0</v>
      </c>
    </row>
    <row r="59" spans="1:57">
      <c r="A59" s="61"/>
      <c r="B59" s="40"/>
      <c r="C59" s="62">
        <f t="shared" si="9"/>
        <v>0</v>
      </c>
      <c r="D59" s="63">
        <f t="shared" si="10"/>
        <v>0</v>
      </c>
      <c r="E59" s="63">
        <f t="shared" si="11"/>
        <v>0</v>
      </c>
      <c r="F59" s="63">
        <f t="shared" si="12"/>
        <v>0</v>
      </c>
      <c r="G59" s="63">
        <f t="shared" si="6"/>
        <v>0</v>
      </c>
      <c r="H59" s="63">
        <f t="shared" si="13"/>
        <v>0</v>
      </c>
      <c r="I59" s="64">
        <f t="shared" si="7"/>
        <v>0</v>
      </c>
      <c r="J59" s="65"/>
      <c r="K59" s="65"/>
      <c r="L59" s="83"/>
      <c r="M59" s="67"/>
      <c r="N59" s="68"/>
      <c r="O59" s="62"/>
      <c r="P59" s="69"/>
      <c r="Q59" s="70"/>
      <c r="R59" s="50">
        <f t="shared" si="8"/>
        <v>0</v>
      </c>
      <c r="S59" s="71"/>
      <c r="T59" s="94"/>
      <c r="U59" s="72"/>
      <c r="V59" s="73"/>
      <c r="W59" s="74"/>
      <c r="X59" s="75"/>
      <c r="Y59" s="75"/>
      <c r="Z59" s="76"/>
      <c r="AA59" s="77"/>
      <c r="AB59" s="74"/>
      <c r="AC59" s="74"/>
      <c r="AD59" s="75"/>
      <c r="AE59" s="75"/>
      <c r="AF59" s="75"/>
      <c r="AG59" s="75"/>
      <c r="AH59" s="75"/>
      <c r="AI59" s="75"/>
      <c r="AJ59" s="78"/>
      <c r="AK59" s="79"/>
      <c r="AL59" s="75"/>
      <c r="AM59" s="75"/>
      <c r="AN59" s="75"/>
      <c r="AO59" s="75"/>
      <c r="AP59" s="75"/>
      <c r="AQ59" s="75"/>
      <c r="AR59" s="75"/>
      <c r="AS59" s="77"/>
      <c r="AT59" s="74"/>
      <c r="AU59" s="78"/>
      <c r="AV59" s="79"/>
      <c r="AW59" s="75"/>
      <c r="AX59" s="75"/>
      <c r="AY59" s="75"/>
      <c r="AZ59" s="77"/>
      <c r="BA59" s="74"/>
      <c r="BB59" s="75"/>
      <c r="BC59" s="75"/>
      <c r="BD59" s="77"/>
      <c r="BE59" s="6">
        <f t="shared" si="14"/>
        <v>0</v>
      </c>
    </row>
    <row r="60" spans="1:57" ht="15" customHeight="1">
      <c r="A60" s="61"/>
      <c r="B60" s="40"/>
      <c r="C60" s="62">
        <f t="shared" si="9"/>
        <v>0</v>
      </c>
      <c r="D60" s="63">
        <f t="shared" si="10"/>
        <v>0</v>
      </c>
      <c r="E60" s="63">
        <f t="shared" si="11"/>
        <v>0</v>
      </c>
      <c r="F60" s="63">
        <f t="shared" si="12"/>
        <v>0</v>
      </c>
      <c r="G60" s="63">
        <f t="shared" si="6"/>
        <v>0</v>
      </c>
      <c r="H60" s="63">
        <f t="shared" si="13"/>
        <v>0</v>
      </c>
      <c r="I60" s="64">
        <f t="shared" si="7"/>
        <v>0</v>
      </c>
      <c r="J60" s="65"/>
      <c r="K60" s="65"/>
      <c r="L60" s="83"/>
      <c r="M60" s="67"/>
      <c r="N60" s="68"/>
      <c r="O60" s="62"/>
      <c r="P60" s="69"/>
      <c r="Q60" s="70"/>
      <c r="R60" s="50">
        <f t="shared" si="8"/>
        <v>0</v>
      </c>
      <c r="S60" s="71"/>
      <c r="T60" s="94"/>
      <c r="U60" s="72"/>
      <c r="V60" s="73"/>
      <c r="W60" s="74"/>
      <c r="X60" s="75"/>
      <c r="Y60" s="75"/>
      <c r="Z60" s="76"/>
      <c r="AA60" s="77"/>
      <c r="AB60" s="74"/>
      <c r="AC60" s="74"/>
      <c r="AD60" s="75"/>
      <c r="AE60" s="75"/>
      <c r="AF60" s="75"/>
      <c r="AG60" s="75"/>
      <c r="AH60" s="75"/>
      <c r="AI60" s="75"/>
      <c r="AJ60" s="78"/>
      <c r="AK60" s="79"/>
      <c r="AL60" s="75"/>
      <c r="AM60" s="75"/>
      <c r="AN60" s="75"/>
      <c r="AO60" s="75"/>
      <c r="AP60" s="75"/>
      <c r="AQ60" s="75"/>
      <c r="AR60" s="75"/>
      <c r="AS60" s="77"/>
      <c r="AT60" s="74"/>
      <c r="AU60" s="78"/>
      <c r="AV60" s="79"/>
      <c r="AW60" s="75"/>
      <c r="AX60" s="75"/>
      <c r="AY60" s="75"/>
      <c r="AZ60" s="77"/>
      <c r="BA60" s="74"/>
      <c r="BB60" s="75"/>
      <c r="BC60" s="75"/>
      <c r="BD60" s="77"/>
      <c r="BE60" s="6">
        <f t="shared" si="14"/>
        <v>0</v>
      </c>
    </row>
    <row r="61" spans="1:57">
      <c r="A61" s="61"/>
      <c r="B61" s="40"/>
      <c r="C61" s="62">
        <f t="shared" si="9"/>
        <v>0</v>
      </c>
      <c r="D61" s="63">
        <f t="shared" si="10"/>
        <v>0</v>
      </c>
      <c r="E61" s="63">
        <f t="shared" si="11"/>
        <v>0</v>
      </c>
      <c r="F61" s="63">
        <f t="shared" si="12"/>
        <v>0</v>
      </c>
      <c r="G61" s="63">
        <f t="shared" si="6"/>
        <v>0</v>
      </c>
      <c r="H61" s="63">
        <f t="shared" si="13"/>
        <v>0</v>
      </c>
      <c r="I61" s="64">
        <f t="shared" si="7"/>
        <v>0</v>
      </c>
      <c r="J61" s="65"/>
      <c r="K61" s="65"/>
      <c r="L61" s="83"/>
      <c r="M61" s="67"/>
      <c r="N61" s="68"/>
      <c r="O61" s="62"/>
      <c r="P61" s="69"/>
      <c r="Q61" s="70"/>
      <c r="R61" s="50">
        <f t="shared" si="8"/>
        <v>0</v>
      </c>
      <c r="S61" s="71"/>
      <c r="T61" s="94"/>
      <c r="U61" s="72"/>
      <c r="V61" s="73"/>
      <c r="W61" s="74"/>
      <c r="X61" s="75"/>
      <c r="Y61" s="75"/>
      <c r="Z61" s="76"/>
      <c r="AA61" s="77"/>
      <c r="AB61" s="74"/>
      <c r="AC61" s="74"/>
      <c r="AD61" s="75"/>
      <c r="AE61" s="75"/>
      <c r="AF61" s="75"/>
      <c r="AG61" s="75"/>
      <c r="AH61" s="75"/>
      <c r="AI61" s="75"/>
      <c r="AJ61" s="78"/>
      <c r="AK61" s="79"/>
      <c r="AL61" s="75"/>
      <c r="AM61" s="75"/>
      <c r="AN61" s="75"/>
      <c r="AO61" s="75"/>
      <c r="AP61" s="75"/>
      <c r="AQ61" s="75"/>
      <c r="AR61" s="75"/>
      <c r="AS61" s="77"/>
      <c r="AT61" s="74"/>
      <c r="AU61" s="78"/>
      <c r="AV61" s="79"/>
      <c r="AW61" s="75"/>
      <c r="AX61" s="75"/>
      <c r="AY61" s="75"/>
      <c r="AZ61" s="77"/>
      <c r="BA61" s="74"/>
      <c r="BB61" s="75"/>
      <c r="BC61" s="75"/>
      <c r="BD61" s="77"/>
      <c r="BE61" s="6">
        <f t="shared" si="14"/>
        <v>0</v>
      </c>
    </row>
    <row r="62" spans="1:57">
      <c r="A62" s="61"/>
      <c r="B62" s="40"/>
      <c r="C62" s="62">
        <f t="shared" si="9"/>
        <v>0</v>
      </c>
      <c r="D62" s="63">
        <f t="shared" si="10"/>
        <v>0</v>
      </c>
      <c r="E62" s="63">
        <f t="shared" si="11"/>
        <v>0</v>
      </c>
      <c r="F62" s="63">
        <f t="shared" si="12"/>
        <v>0</v>
      </c>
      <c r="G62" s="63">
        <f t="shared" si="6"/>
        <v>0</v>
      </c>
      <c r="H62" s="63">
        <f t="shared" si="13"/>
        <v>0</v>
      </c>
      <c r="I62" s="64">
        <f t="shared" si="7"/>
        <v>0</v>
      </c>
      <c r="J62" s="65"/>
      <c r="K62" s="65"/>
      <c r="L62" s="83"/>
      <c r="M62" s="67"/>
      <c r="N62" s="68"/>
      <c r="O62" s="62"/>
      <c r="P62" s="69"/>
      <c r="Q62" s="70"/>
      <c r="R62" s="50">
        <f t="shared" si="8"/>
        <v>0</v>
      </c>
      <c r="S62" s="71"/>
      <c r="T62" s="69"/>
      <c r="U62" s="72"/>
      <c r="V62" s="73"/>
      <c r="W62" s="74"/>
      <c r="X62" s="75"/>
      <c r="Y62" s="75"/>
      <c r="Z62" s="76"/>
      <c r="AA62" s="77"/>
      <c r="AB62" s="106"/>
      <c r="AC62" s="106"/>
      <c r="AD62" s="89"/>
      <c r="AE62" s="89"/>
      <c r="AF62" s="89"/>
      <c r="AG62" s="89"/>
      <c r="AH62" s="89"/>
      <c r="AI62" s="89"/>
      <c r="AJ62" s="90"/>
      <c r="AK62" s="79"/>
      <c r="AL62" s="75"/>
      <c r="AM62" s="75"/>
      <c r="AN62" s="75"/>
      <c r="AO62" s="75"/>
      <c r="AP62" s="75"/>
      <c r="AQ62" s="75"/>
      <c r="AR62" s="75"/>
      <c r="AS62" s="77"/>
      <c r="AT62" s="74"/>
      <c r="AU62" s="78"/>
      <c r="AV62" s="79"/>
      <c r="AW62" s="75"/>
      <c r="AX62" s="75"/>
      <c r="AY62" s="75"/>
      <c r="AZ62" s="77"/>
      <c r="BA62" s="74"/>
      <c r="BB62" s="75"/>
      <c r="BC62" s="75"/>
      <c r="BD62" s="77"/>
      <c r="BE62" s="6">
        <f t="shared" si="14"/>
        <v>0</v>
      </c>
    </row>
    <row r="63" spans="1:57">
      <c r="A63" s="61"/>
      <c r="B63" s="40"/>
      <c r="C63" s="62">
        <f t="shared" si="9"/>
        <v>0</v>
      </c>
      <c r="D63" s="63">
        <f t="shared" si="10"/>
        <v>0</v>
      </c>
      <c r="E63" s="63">
        <f t="shared" si="11"/>
        <v>0</v>
      </c>
      <c r="F63" s="63">
        <f t="shared" si="12"/>
        <v>0</v>
      </c>
      <c r="G63" s="63">
        <f t="shared" si="6"/>
        <v>0</v>
      </c>
      <c r="H63" s="63">
        <f t="shared" si="13"/>
        <v>0</v>
      </c>
      <c r="I63" s="64">
        <f t="shared" si="7"/>
        <v>0</v>
      </c>
      <c r="J63" s="65"/>
      <c r="K63" s="65"/>
      <c r="L63" s="83"/>
      <c r="M63" s="67"/>
      <c r="N63" s="68"/>
      <c r="O63" s="62"/>
      <c r="P63" s="69"/>
      <c r="Q63" s="70"/>
      <c r="R63" s="50">
        <f t="shared" si="8"/>
        <v>0</v>
      </c>
      <c r="S63" s="71"/>
      <c r="T63" s="69"/>
      <c r="U63" s="72"/>
      <c r="V63" s="73"/>
      <c r="W63" s="74"/>
      <c r="X63" s="75"/>
      <c r="Y63" s="75"/>
      <c r="Z63" s="76"/>
      <c r="AA63" s="77"/>
      <c r="AB63" s="74"/>
      <c r="AC63" s="74"/>
      <c r="AD63" s="75"/>
      <c r="AE63" s="75"/>
      <c r="AF63" s="75"/>
      <c r="AG63" s="75"/>
      <c r="AH63" s="75"/>
      <c r="AI63" s="75"/>
      <c r="AJ63" s="78"/>
      <c r="AK63" s="79"/>
      <c r="AL63" s="75"/>
      <c r="AM63" s="75"/>
      <c r="AN63" s="75"/>
      <c r="AO63" s="75"/>
      <c r="AP63" s="75"/>
      <c r="AQ63" s="75"/>
      <c r="AR63" s="75"/>
      <c r="AS63" s="77"/>
      <c r="AT63" s="74"/>
      <c r="AU63" s="78"/>
      <c r="AV63" s="79"/>
      <c r="AW63" s="75"/>
      <c r="AX63" s="75"/>
      <c r="AY63" s="75"/>
      <c r="AZ63" s="77"/>
      <c r="BA63" s="74"/>
      <c r="BB63" s="75"/>
      <c r="BC63" s="75"/>
      <c r="BD63" s="77"/>
      <c r="BE63" s="6">
        <f t="shared" si="14"/>
        <v>0</v>
      </c>
    </row>
    <row r="64" spans="1:57">
      <c r="A64" s="61"/>
      <c r="B64" s="40"/>
      <c r="C64" s="62">
        <f t="shared" si="9"/>
        <v>0</v>
      </c>
      <c r="D64" s="63">
        <f t="shared" si="10"/>
        <v>0</v>
      </c>
      <c r="E64" s="63">
        <f t="shared" si="11"/>
        <v>0</v>
      </c>
      <c r="F64" s="63">
        <f t="shared" si="12"/>
        <v>0</v>
      </c>
      <c r="G64" s="63">
        <f t="shared" si="6"/>
        <v>0</v>
      </c>
      <c r="H64" s="63">
        <f t="shared" si="13"/>
        <v>0</v>
      </c>
      <c r="I64" s="64">
        <f t="shared" si="7"/>
        <v>0</v>
      </c>
      <c r="J64" s="65"/>
      <c r="K64" s="65"/>
      <c r="L64" s="83"/>
      <c r="M64" s="67"/>
      <c r="N64" s="68"/>
      <c r="O64" s="62"/>
      <c r="P64" s="69"/>
      <c r="Q64" s="70"/>
      <c r="R64" s="50">
        <f t="shared" si="8"/>
        <v>0</v>
      </c>
      <c r="S64" s="71"/>
      <c r="T64" s="69"/>
      <c r="U64" s="72"/>
      <c r="V64" s="73"/>
      <c r="W64" s="74"/>
      <c r="X64" s="75"/>
      <c r="Y64" s="75"/>
      <c r="Z64" s="76"/>
      <c r="AA64" s="77"/>
      <c r="AB64" s="106"/>
      <c r="AC64" s="106"/>
      <c r="AD64" s="89"/>
      <c r="AE64" s="89"/>
      <c r="AF64" s="89"/>
      <c r="AG64" s="89"/>
      <c r="AH64" s="89"/>
      <c r="AI64" s="89"/>
      <c r="AJ64" s="90"/>
      <c r="AK64" s="79"/>
      <c r="AL64" s="75"/>
      <c r="AM64" s="75"/>
      <c r="AN64" s="75"/>
      <c r="AO64" s="75"/>
      <c r="AP64" s="75"/>
      <c r="AQ64" s="75"/>
      <c r="AR64" s="75"/>
      <c r="AS64" s="77"/>
      <c r="AT64" s="74"/>
      <c r="AU64" s="78"/>
      <c r="AV64" s="79"/>
      <c r="AW64" s="75"/>
      <c r="AX64" s="75"/>
      <c r="AY64" s="75"/>
      <c r="AZ64" s="77"/>
      <c r="BA64" s="74"/>
      <c r="BB64" s="75"/>
      <c r="BC64" s="75"/>
      <c r="BD64" s="77"/>
      <c r="BE64" s="6">
        <f t="shared" si="14"/>
        <v>0</v>
      </c>
    </row>
    <row r="65" spans="1:57">
      <c r="A65" s="61"/>
      <c r="B65" s="40"/>
      <c r="C65" s="62">
        <f t="shared" si="9"/>
        <v>0</v>
      </c>
      <c r="D65" s="63">
        <f t="shared" si="10"/>
        <v>0</v>
      </c>
      <c r="E65" s="63">
        <f t="shared" si="11"/>
        <v>0</v>
      </c>
      <c r="F65" s="63">
        <f t="shared" si="12"/>
        <v>0</v>
      </c>
      <c r="G65" s="63">
        <f t="shared" si="6"/>
        <v>0</v>
      </c>
      <c r="H65" s="63">
        <f t="shared" si="13"/>
        <v>0</v>
      </c>
      <c r="I65" s="64">
        <f t="shared" si="7"/>
        <v>0</v>
      </c>
      <c r="J65" s="65"/>
      <c r="K65" s="65"/>
      <c r="L65" s="83"/>
      <c r="M65" s="67"/>
      <c r="N65" s="68"/>
      <c r="O65" s="62"/>
      <c r="P65" s="69"/>
      <c r="Q65" s="70"/>
      <c r="R65" s="50">
        <f t="shared" si="8"/>
        <v>0</v>
      </c>
      <c r="S65" s="71"/>
      <c r="T65" s="69"/>
      <c r="U65" s="72"/>
      <c r="V65" s="73"/>
      <c r="W65" s="74"/>
      <c r="X65" s="75"/>
      <c r="Y65" s="75"/>
      <c r="Z65" s="76"/>
      <c r="AA65" s="77"/>
      <c r="AB65" s="74"/>
      <c r="AC65" s="74"/>
      <c r="AD65" s="75"/>
      <c r="AE65" s="75"/>
      <c r="AF65" s="75"/>
      <c r="AG65" s="75"/>
      <c r="AH65" s="75"/>
      <c r="AI65" s="75"/>
      <c r="AJ65" s="78"/>
      <c r="AK65" s="79"/>
      <c r="AL65" s="75"/>
      <c r="AM65" s="75"/>
      <c r="AN65" s="75"/>
      <c r="AO65" s="75"/>
      <c r="AP65" s="75"/>
      <c r="AQ65" s="75"/>
      <c r="AR65" s="75"/>
      <c r="AS65" s="77"/>
      <c r="AT65" s="74"/>
      <c r="AU65" s="78"/>
      <c r="AV65" s="79"/>
      <c r="AW65" s="75"/>
      <c r="AX65" s="75"/>
      <c r="AY65" s="75"/>
      <c r="AZ65" s="77"/>
      <c r="BA65" s="74"/>
      <c r="BB65" s="75"/>
      <c r="BC65" s="75"/>
      <c r="BD65" s="77"/>
      <c r="BE65" s="6">
        <f t="shared" si="14"/>
        <v>0</v>
      </c>
    </row>
    <row r="66" spans="1:57">
      <c r="A66" s="61"/>
      <c r="B66" s="40"/>
      <c r="C66" s="62">
        <f t="shared" si="9"/>
        <v>0</v>
      </c>
      <c r="D66" s="63">
        <f t="shared" si="10"/>
        <v>0</v>
      </c>
      <c r="E66" s="63">
        <f t="shared" si="11"/>
        <v>0</v>
      </c>
      <c r="F66" s="63">
        <f t="shared" si="12"/>
        <v>0</v>
      </c>
      <c r="G66" s="63">
        <f t="shared" si="6"/>
        <v>0</v>
      </c>
      <c r="H66" s="63">
        <f t="shared" si="13"/>
        <v>0</v>
      </c>
      <c r="I66" s="64">
        <f t="shared" si="7"/>
        <v>0</v>
      </c>
      <c r="J66" s="65"/>
      <c r="K66" s="65"/>
      <c r="L66" s="83"/>
      <c r="M66" s="67"/>
      <c r="N66" s="68"/>
      <c r="O66" s="62"/>
      <c r="P66" s="69"/>
      <c r="Q66" s="70"/>
      <c r="R66" s="50">
        <f t="shared" si="8"/>
        <v>0</v>
      </c>
      <c r="S66" s="71"/>
      <c r="T66" s="69"/>
      <c r="U66" s="72"/>
      <c r="V66" s="73"/>
      <c r="W66" s="74"/>
      <c r="X66" s="75"/>
      <c r="Y66" s="75"/>
      <c r="Z66" s="76"/>
      <c r="AA66" s="77"/>
      <c r="AB66" s="106"/>
      <c r="AC66" s="106"/>
      <c r="AD66" s="75"/>
      <c r="AE66" s="75"/>
      <c r="AF66" s="75"/>
      <c r="AG66" s="75"/>
      <c r="AH66" s="75"/>
      <c r="AI66" s="75"/>
      <c r="AJ66" s="78"/>
      <c r="AK66" s="79"/>
      <c r="AL66" s="75"/>
      <c r="AM66" s="75"/>
      <c r="AN66" s="75"/>
      <c r="AO66" s="75"/>
      <c r="AP66" s="75"/>
      <c r="AQ66" s="75"/>
      <c r="AR66" s="75"/>
      <c r="AS66" s="77"/>
      <c r="AT66" s="74"/>
      <c r="AU66" s="78"/>
      <c r="AV66" s="79"/>
      <c r="AW66" s="75"/>
      <c r="AX66" s="75"/>
      <c r="AY66" s="75"/>
      <c r="AZ66" s="77"/>
      <c r="BA66" s="74"/>
      <c r="BB66" s="75"/>
      <c r="BC66" s="75"/>
      <c r="BD66" s="77"/>
      <c r="BE66" s="6">
        <f t="shared" si="14"/>
        <v>0</v>
      </c>
    </row>
    <row r="67" spans="1:57">
      <c r="A67" s="61"/>
      <c r="B67" s="40"/>
      <c r="C67" s="62">
        <f t="shared" si="9"/>
        <v>0</v>
      </c>
      <c r="D67" s="63">
        <f t="shared" si="10"/>
        <v>0</v>
      </c>
      <c r="E67" s="63">
        <f t="shared" si="11"/>
        <v>0</v>
      </c>
      <c r="F67" s="63">
        <f t="shared" si="12"/>
        <v>0</v>
      </c>
      <c r="G67" s="63">
        <f t="shared" si="6"/>
        <v>0</v>
      </c>
      <c r="H67" s="63">
        <f t="shared" si="13"/>
        <v>0</v>
      </c>
      <c r="I67" s="64">
        <f t="shared" si="7"/>
        <v>0</v>
      </c>
      <c r="J67" s="65"/>
      <c r="K67" s="65"/>
      <c r="L67" s="83"/>
      <c r="M67" s="67"/>
      <c r="N67" s="68"/>
      <c r="O67" s="62"/>
      <c r="P67" s="69"/>
      <c r="Q67" s="70"/>
      <c r="R67" s="50">
        <f t="shared" si="8"/>
        <v>0</v>
      </c>
      <c r="S67" s="71"/>
      <c r="T67" s="69"/>
      <c r="U67" s="72"/>
      <c r="V67" s="73"/>
      <c r="W67" s="74"/>
      <c r="X67" s="75"/>
      <c r="Y67" s="75"/>
      <c r="Z67" s="76"/>
      <c r="AA67" s="77"/>
      <c r="AB67" s="74"/>
      <c r="AC67" s="74"/>
      <c r="AD67" s="75"/>
      <c r="AE67" s="75"/>
      <c r="AF67" s="75"/>
      <c r="AG67" s="75"/>
      <c r="AH67" s="75"/>
      <c r="AI67" s="75"/>
      <c r="AJ67" s="78"/>
      <c r="AK67" s="79"/>
      <c r="AL67" s="75"/>
      <c r="AM67" s="75"/>
      <c r="AN67" s="75"/>
      <c r="AO67" s="75"/>
      <c r="AP67" s="75"/>
      <c r="AQ67" s="75"/>
      <c r="AR67" s="75"/>
      <c r="AS67" s="77"/>
      <c r="AT67" s="74"/>
      <c r="AU67" s="78"/>
      <c r="AV67" s="79"/>
      <c r="AW67" s="75"/>
      <c r="AX67" s="75"/>
      <c r="AY67" s="75"/>
      <c r="AZ67" s="77"/>
      <c r="BA67" s="74"/>
      <c r="BB67" s="75"/>
      <c r="BC67" s="75"/>
      <c r="BD67" s="77"/>
      <c r="BE67" s="6">
        <f t="shared" si="14"/>
        <v>0</v>
      </c>
    </row>
    <row r="68" spans="1:57">
      <c r="A68" s="61"/>
      <c r="B68" s="40"/>
      <c r="C68" s="62">
        <f t="shared" si="9"/>
        <v>0</v>
      </c>
      <c r="D68" s="63">
        <f t="shared" si="10"/>
        <v>0</v>
      </c>
      <c r="E68" s="63">
        <f t="shared" si="11"/>
        <v>0</v>
      </c>
      <c r="F68" s="63">
        <f t="shared" si="12"/>
        <v>0</v>
      </c>
      <c r="G68" s="63">
        <f t="shared" si="6"/>
        <v>0</v>
      </c>
      <c r="H68" s="63">
        <f t="shared" si="13"/>
        <v>0</v>
      </c>
      <c r="I68" s="64">
        <f t="shared" si="7"/>
        <v>0</v>
      </c>
      <c r="J68" s="65"/>
      <c r="K68" s="65"/>
      <c r="L68" s="83"/>
      <c r="M68" s="67"/>
      <c r="N68" s="68"/>
      <c r="O68" s="62"/>
      <c r="P68" s="69"/>
      <c r="Q68" s="70"/>
      <c r="R68" s="50">
        <f t="shared" si="8"/>
        <v>0</v>
      </c>
      <c r="S68" s="71"/>
      <c r="T68" s="69"/>
      <c r="U68" s="72"/>
      <c r="V68" s="73"/>
      <c r="W68" s="74"/>
      <c r="X68" s="75"/>
      <c r="Y68" s="75"/>
      <c r="Z68" s="76"/>
      <c r="AA68" s="77"/>
      <c r="AB68" s="106"/>
      <c r="AC68" s="106"/>
      <c r="AD68" s="75"/>
      <c r="AE68" s="75"/>
      <c r="AF68" s="75"/>
      <c r="AG68" s="75"/>
      <c r="AH68" s="75"/>
      <c r="AI68" s="75"/>
      <c r="AJ68" s="78"/>
      <c r="AK68" s="79"/>
      <c r="AL68" s="75"/>
      <c r="AM68" s="75"/>
      <c r="AN68" s="75"/>
      <c r="AO68" s="75"/>
      <c r="AP68" s="75"/>
      <c r="AQ68" s="75"/>
      <c r="AR68" s="75"/>
      <c r="AS68" s="77"/>
      <c r="AT68" s="74"/>
      <c r="AU68" s="78"/>
      <c r="AV68" s="79"/>
      <c r="AW68" s="75"/>
      <c r="AX68" s="75"/>
      <c r="AY68" s="75"/>
      <c r="AZ68" s="77"/>
      <c r="BA68" s="74"/>
      <c r="BB68" s="75"/>
      <c r="BC68" s="75"/>
      <c r="BD68" s="77"/>
      <c r="BE68" s="6">
        <f t="shared" si="14"/>
        <v>0</v>
      </c>
    </row>
    <row r="69" spans="1:57">
      <c r="A69" s="61"/>
      <c r="B69" s="40"/>
      <c r="C69" s="62">
        <f t="shared" ref="C69:C100" si="15">SUM(AB69:AJ69)</f>
        <v>0</v>
      </c>
      <c r="D69" s="63">
        <f t="shared" ref="D69:D100" si="16">SUM(AK69:AS69)</f>
        <v>0</v>
      </c>
      <c r="E69" s="63">
        <f t="shared" ref="E69:E100" si="17">SUM(AT69:AU69)</f>
        <v>0</v>
      </c>
      <c r="F69" s="63">
        <f t="shared" ref="F69:F100" si="18">SUM(AV69:AZ69)</f>
        <v>0</v>
      </c>
      <c r="G69" s="63">
        <f t="shared" si="6"/>
        <v>0</v>
      </c>
      <c r="H69" s="63">
        <f t="shared" ref="H69:H100" si="19">SUM(V69:AA69)</f>
        <v>0</v>
      </c>
      <c r="I69" s="64">
        <f t="shared" si="7"/>
        <v>0</v>
      </c>
      <c r="J69" s="65"/>
      <c r="K69" s="65"/>
      <c r="L69" s="83"/>
      <c r="M69" s="67"/>
      <c r="N69" s="68"/>
      <c r="O69" s="62"/>
      <c r="P69" s="69"/>
      <c r="Q69" s="70"/>
      <c r="R69" s="50">
        <f t="shared" si="8"/>
        <v>0</v>
      </c>
      <c r="S69" s="71"/>
      <c r="T69" s="69"/>
      <c r="U69" s="72"/>
      <c r="V69" s="73"/>
      <c r="W69" s="74"/>
      <c r="X69" s="75"/>
      <c r="Y69" s="75"/>
      <c r="Z69" s="76"/>
      <c r="AA69" s="77"/>
      <c r="AB69" s="74"/>
      <c r="AC69" s="74"/>
      <c r="AD69" s="75"/>
      <c r="AE69" s="75"/>
      <c r="AF69" s="75"/>
      <c r="AG69" s="75"/>
      <c r="AH69" s="75"/>
      <c r="AI69" s="75"/>
      <c r="AJ69" s="78"/>
      <c r="AK69" s="79"/>
      <c r="AL69" s="75"/>
      <c r="AM69" s="75"/>
      <c r="AN69" s="75"/>
      <c r="AO69" s="75"/>
      <c r="AP69" s="75"/>
      <c r="AQ69" s="75"/>
      <c r="AR69" s="75"/>
      <c r="AS69" s="77"/>
      <c r="AT69" s="74"/>
      <c r="AU69" s="78"/>
      <c r="AV69" s="79"/>
      <c r="AW69" s="75"/>
      <c r="AX69" s="75"/>
      <c r="AY69" s="75"/>
      <c r="AZ69" s="77"/>
      <c r="BA69" s="74"/>
      <c r="BB69" s="75"/>
      <c r="BC69" s="75"/>
      <c r="BD69" s="77"/>
      <c r="BE69" s="6">
        <f t="shared" si="14"/>
        <v>0</v>
      </c>
    </row>
    <row r="70" spans="1:57">
      <c r="A70" s="61"/>
      <c r="B70" s="40"/>
      <c r="C70" s="62">
        <f t="shared" si="15"/>
        <v>0</v>
      </c>
      <c r="D70" s="63">
        <f t="shared" si="16"/>
        <v>0</v>
      </c>
      <c r="E70" s="63">
        <f t="shared" si="17"/>
        <v>0</v>
      </c>
      <c r="F70" s="63">
        <f t="shared" si="18"/>
        <v>0</v>
      </c>
      <c r="G70" s="63">
        <f t="shared" ref="G70:G113" si="20">SUM(BA70:BD70)</f>
        <v>0</v>
      </c>
      <c r="H70" s="63">
        <f t="shared" si="19"/>
        <v>0</v>
      </c>
      <c r="I70" s="64">
        <f t="shared" ref="I70:I113" si="21">SUM(C70:H70)</f>
        <v>0</v>
      </c>
      <c r="J70" s="65"/>
      <c r="K70" s="65"/>
      <c r="L70" s="91"/>
      <c r="M70" s="67"/>
      <c r="N70" s="68"/>
      <c r="O70" s="62"/>
      <c r="P70" s="69"/>
      <c r="Q70" s="70"/>
      <c r="R70" s="50">
        <f t="shared" ref="R70:R113" si="22">R69+SUM(N70:Q70)-SUM(I70:M70)</f>
        <v>0</v>
      </c>
      <c r="S70" s="71"/>
      <c r="T70" s="69"/>
      <c r="U70" s="72"/>
      <c r="V70" s="73"/>
      <c r="W70" s="74"/>
      <c r="X70" s="75"/>
      <c r="Y70" s="75"/>
      <c r="Z70" s="76"/>
      <c r="AA70" s="77"/>
      <c r="AB70" s="73"/>
      <c r="AC70" s="74"/>
      <c r="AD70" s="75"/>
      <c r="AE70" s="75"/>
      <c r="AF70" s="75"/>
      <c r="AG70" s="75"/>
      <c r="AH70" s="75"/>
      <c r="AI70" s="75"/>
      <c r="AJ70" s="78"/>
      <c r="AK70" s="79"/>
      <c r="AL70" s="75"/>
      <c r="AM70" s="75"/>
      <c r="AN70" s="75"/>
      <c r="AO70" s="75"/>
      <c r="AP70" s="75"/>
      <c r="AQ70" s="75"/>
      <c r="AR70" s="75"/>
      <c r="AS70" s="77"/>
      <c r="AT70" s="74"/>
      <c r="AU70" s="78"/>
      <c r="AV70" s="79"/>
      <c r="AW70" s="75"/>
      <c r="AX70" s="75"/>
      <c r="AY70" s="75"/>
      <c r="AZ70" s="77"/>
      <c r="BA70" s="74"/>
      <c r="BB70" s="75"/>
      <c r="BC70" s="75"/>
      <c r="BD70" s="77"/>
      <c r="BE70" s="6">
        <f t="shared" si="14"/>
        <v>0</v>
      </c>
    </row>
    <row r="71" spans="1:57">
      <c r="A71" s="61"/>
      <c r="B71" s="40"/>
      <c r="C71" s="62">
        <f t="shared" si="15"/>
        <v>0</v>
      </c>
      <c r="D71" s="63">
        <f t="shared" si="16"/>
        <v>0</v>
      </c>
      <c r="E71" s="63">
        <f t="shared" si="17"/>
        <v>0</v>
      </c>
      <c r="F71" s="63">
        <f t="shared" si="18"/>
        <v>0</v>
      </c>
      <c r="G71" s="63">
        <f t="shared" si="20"/>
        <v>0</v>
      </c>
      <c r="H71" s="63">
        <f t="shared" si="19"/>
        <v>0</v>
      </c>
      <c r="I71" s="64">
        <f t="shared" si="21"/>
        <v>0</v>
      </c>
      <c r="J71" s="65"/>
      <c r="K71" s="65"/>
      <c r="L71" s="83"/>
      <c r="M71" s="67"/>
      <c r="N71" s="68"/>
      <c r="O71" s="62"/>
      <c r="P71" s="69"/>
      <c r="Q71" s="70"/>
      <c r="R71" s="50">
        <f t="shared" si="22"/>
        <v>0</v>
      </c>
      <c r="S71" s="71"/>
      <c r="T71" s="69"/>
      <c r="U71" s="72"/>
      <c r="V71" s="73"/>
      <c r="W71" s="74"/>
      <c r="X71" s="75"/>
      <c r="Y71" s="75"/>
      <c r="Z71" s="76"/>
      <c r="AA71" s="77"/>
      <c r="AB71" s="73"/>
      <c r="AC71" s="74"/>
      <c r="AD71" s="75"/>
      <c r="AE71" s="75"/>
      <c r="AF71" s="75"/>
      <c r="AG71" s="75"/>
      <c r="AH71" s="75"/>
      <c r="AI71" s="75"/>
      <c r="AJ71" s="78"/>
      <c r="AK71" s="79"/>
      <c r="AL71" s="75"/>
      <c r="AM71" s="75"/>
      <c r="AN71" s="75"/>
      <c r="AO71" s="75"/>
      <c r="AP71" s="75"/>
      <c r="AQ71" s="75"/>
      <c r="AR71" s="75"/>
      <c r="AS71" s="77"/>
      <c r="AT71" s="74"/>
      <c r="AU71" s="78"/>
      <c r="AV71" s="79"/>
      <c r="AW71" s="75"/>
      <c r="AX71" s="75"/>
      <c r="AY71" s="75"/>
      <c r="AZ71" s="77"/>
      <c r="BA71" s="74"/>
      <c r="BB71" s="75"/>
      <c r="BC71" s="75"/>
      <c r="BD71" s="77"/>
      <c r="BE71" s="6">
        <f t="shared" si="14"/>
        <v>0</v>
      </c>
    </row>
    <row r="72" spans="1:57">
      <c r="A72" s="61"/>
      <c r="B72" s="40"/>
      <c r="C72" s="62">
        <f t="shared" si="15"/>
        <v>0</v>
      </c>
      <c r="D72" s="63">
        <f t="shared" si="16"/>
        <v>0</v>
      </c>
      <c r="E72" s="63">
        <f t="shared" si="17"/>
        <v>0</v>
      </c>
      <c r="F72" s="63">
        <f t="shared" si="18"/>
        <v>0</v>
      </c>
      <c r="G72" s="63">
        <f t="shared" si="20"/>
        <v>0</v>
      </c>
      <c r="H72" s="63">
        <f t="shared" si="19"/>
        <v>0</v>
      </c>
      <c r="I72" s="64">
        <f t="shared" si="21"/>
        <v>0</v>
      </c>
      <c r="J72" s="65"/>
      <c r="K72" s="65"/>
      <c r="L72" s="83"/>
      <c r="M72" s="67"/>
      <c r="N72" s="68"/>
      <c r="O72" s="62"/>
      <c r="P72" s="69"/>
      <c r="Q72" s="70"/>
      <c r="R72" s="50">
        <f t="shared" si="22"/>
        <v>0</v>
      </c>
      <c r="S72" s="71"/>
      <c r="T72" s="69"/>
      <c r="U72" s="72"/>
      <c r="V72" s="73"/>
      <c r="W72" s="74"/>
      <c r="X72" s="75"/>
      <c r="Y72" s="75"/>
      <c r="Z72" s="76"/>
      <c r="AA72" s="77"/>
      <c r="AB72" s="73"/>
      <c r="AC72" s="74"/>
      <c r="AD72" s="75"/>
      <c r="AE72" s="75"/>
      <c r="AF72" s="75"/>
      <c r="AG72" s="75"/>
      <c r="AH72" s="75"/>
      <c r="AI72" s="75"/>
      <c r="AJ72" s="78"/>
      <c r="AK72" s="79"/>
      <c r="AL72" s="75"/>
      <c r="AM72" s="75"/>
      <c r="AN72" s="75"/>
      <c r="AO72" s="75"/>
      <c r="AP72" s="75"/>
      <c r="AQ72" s="75"/>
      <c r="AR72" s="75"/>
      <c r="AS72" s="77"/>
      <c r="AT72" s="74"/>
      <c r="AU72" s="78"/>
      <c r="AV72" s="79"/>
      <c r="AW72" s="75"/>
      <c r="AX72" s="75"/>
      <c r="AY72" s="75"/>
      <c r="AZ72" s="77"/>
      <c r="BA72" s="74"/>
      <c r="BB72" s="75"/>
      <c r="BC72" s="75"/>
      <c r="BD72" s="77"/>
      <c r="BE72" s="6">
        <f t="shared" si="14"/>
        <v>0</v>
      </c>
    </row>
    <row r="73" spans="1:57">
      <c r="A73" s="61"/>
      <c r="B73" s="40"/>
      <c r="C73" s="62">
        <f t="shared" si="15"/>
        <v>0</v>
      </c>
      <c r="D73" s="63">
        <f t="shared" si="16"/>
        <v>0</v>
      </c>
      <c r="E73" s="63">
        <f t="shared" si="17"/>
        <v>0</v>
      </c>
      <c r="F73" s="63">
        <f t="shared" si="18"/>
        <v>0</v>
      </c>
      <c r="G73" s="63">
        <f t="shared" si="20"/>
        <v>0</v>
      </c>
      <c r="H73" s="63">
        <f t="shared" si="19"/>
        <v>0</v>
      </c>
      <c r="I73" s="64">
        <f t="shared" si="21"/>
        <v>0</v>
      </c>
      <c r="J73" s="65"/>
      <c r="K73" s="65"/>
      <c r="L73" s="83"/>
      <c r="M73" s="67"/>
      <c r="N73" s="68"/>
      <c r="O73" s="62"/>
      <c r="P73" s="69"/>
      <c r="Q73" s="70"/>
      <c r="R73" s="50">
        <f t="shared" si="22"/>
        <v>0</v>
      </c>
      <c r="S73" s="71"/>
      <c r="T73" s="69"/>
      <c r="U73" s="72"/>
      <c r="V73" s="73"/>
      <c r="W73" s="74"/>
      <c r="X73" s="75"/>
      <c r="Y73" s="75"/>
      <c r="Z73" s="76"/>
      <c r="AA73" s="77"/>
      <c r="AB73" s="73"/>
      <c r="AC73" s="74"/>
      <c r="AD73" s="75"/>
      <c r="AE73" s="75"/>
      <c r="AF73" s="75"/>
      <c r="AG73" s="75"/>
      <c r="AH73" s="75"/>
      <c r="AI73" s="75"/>
      <c r="AJ73" s="78"/>
      <c r="AK73" s="79"/>
      <c r="AL73" s="75"/>
      <c r="AM73" s="75"/>
      <c r="AN73" s="75"/>
      <c r="AO73" s="75"/>
      <c r="AP73" s="75"/>
      <c r="AQ73" s="75"/>
      <c r="AR73" s="75"/>
      <c r="AS73" s="77"/>
      <c r="AT73" s="74"/>
      <c r="AU73" s="78"/>
      <c r="AV73" s="79"/>
      <c r="AW73" s="75"/>
      <c r="AX73" s="75"/>
      <c r="AY73" s="75"/>
      <c r="AZ73" s="77"/>
      <c r="BA73" s="74"/>
      <c r="BB73" s="75"/>
      <c r="BC73" s="75"/>
      <c r="BD73" s="77"/>
      <c r="BE73" s="6">
        <f t="shared" si="14"/>
        <v>0</v>
      </c>
    </row>
    <row r="74" spans="1:57">
      <c r="A74" s="61"/>
      <c r="B74" s="40"/>
      <c r="C74" s="62">
        <f t="shared" si="15"/>
        <v>0</v>
      </c>
      <c r="D74" s="63">
        <f t="shared" si="16"/>
        <v>0</v>
      </c>
      <c r="E74" s="63">
        <f t="shared" si="17"/>
        <v>0</v>
      </c>
      <c r="F74" s="63">
        <f t="shared" si="18"/>
        <v>0</v>
      </c>
      <c r="G74" s="63">
        <f t="shared" si="20"/>
        <v>0</v>
      </c>
      <c r="H74" s="63">
        <f t="shared" si="19"/>
        <v>0</v>
      </c>
      <c r="I74" s="64">
        <f t="shared" si="21"/>
        <v>0</v>
      </c>
      <c r="J74" s="65"/>
      <c r="K74" s="65"/>
      <c r="L74" s="100"/>
      <c r="M74" s="67"/>
      <c r="N74" s="68"/>
      <c r="O74" s="62"/>
      <c r="P74" s="69"/>
      <c r="Q74" s="70"/>
      <c r="R74" s="50">
        <f t="shared" si="22"/>
        <v>0</v>
      </c>
      <c r="S74" s="71"/>
      <c r="T74" s="69"/>
      <c r="U74" s="72"/>
      <c r="V74" s="73"/>
      <c r="W74" s="74"/>
      <c r="X74" s="75"/>
      <c r="Y74" s="75"/>
      <c r="Z74" s="76"/>
      <c r="AA74" s="77"/>
      <c r="AB74" s="73"/>
      <c r="AC74" s="74"/>
      <c r="AD74" s="75"/>
      <c r="AE74" s="75"/>
      <c r="AF74" s="75"/>
      <c r="AG74" s="75"/>
      <c r="AH74" s="75"/>
      <c r="AI74" s="75"/>
      <c r="AJ74" s="78"/>
      <c r="AK74" s="79"/>
      <c r="AL74" s="75"/>
      <c r="AM74" s="75"/>
      <c r="AN74" s="75"/>
      <c r="AO74" s="75"/>
      <c r="AP74" s="75"/>
      <c r="AQ74" s="75"/>
      <c r="AR74" s="75"/>
      <c r="AS74" s="77"/>
      <c r="AT74" s="74"/>
      <c r="AU74" s="78"/>
      <c r="AV74" s="79"/>
      <c r="AW74" s="75"/>
      <c r="AX74" s="75"/>
      <c r="AY74" s="75"/>
      <c r="AZ74" s="77"/>
      <c r="BA74" s="74"/>
      <c r="BB74" s="75"/>
      <c r="BC74" s="75"/>
      <c r="BD74" s="77"/>
      <c r="BE74" s="6">
        <f t="shared" si="14"/>
        <v>0</v>
      </c>
    </row>
    <row r="75" spans="1:57">
      <c r="A75" s="61"/>
      <c r="B75" s="40"/>
      <c r="C75" s="62">
        <f t="shared" si="15"/>
        <v>0</v>
      </c>
      <c r="D75" s="63">
        <f t="shared" si="16"/>
        <v>0</v>
      </c>
      <c r="E75" s="63">
        <f t="shared" si="17"/>
        <v>0</v>
      </c>
      <c r="F75" s="63">
        <f t="shared" si="18"/>
        <v>0</v>
      </c>
      <c r="G75" s="63">
        <f t="shared" si="20"/>
        <v>0</v>
      </c>
      <c r="H75" s="63">
        <f t="shared" si="19"/>
        <v>0</v>
      </c>
      <c r="I75" s="64">
        <f t="shared" si="21"/>
        <v>0</v>
      </c>
      <c r="J75" s="65"/>
      <c r="K75" s="65"/>
      <c r="L75" s="83"/>
      <c r="M75" s="67"/>
      <c r="N75" s="68"/>
      <c r="O75" s="62"/>
      <c r="P75" s="69"/>
      <c r="Q75" s="70"/>
      <c r="R75" s="50">
        <f t="shared" si="22"/>
        <v>0</v>
      </c>
      <c r="S75" s="71"/>
      <c r="T75" s="69"/>
      <c r="U75" s="72"/>
      <c r="V75" s="73"/>
      <c r="W75" s="74"/>
      <c r="X75" s="75"/>
      <c r="Y75" s="75"/>
      <c r="Z75" s="76"/>
      <c r="AA75" s="77"/>
      <c r="AB75" s="73"/>
      <c r="AC75" s="74"/>
      <c r="AD75" s="75"/>
      <c r="AE75" s="75"/>
      <c r="AF75" s="75"/>
      <c r="AG75" s="75"/>
      <c r="AH75" s="75"/>
      <c r="AI75" s="75"/>
      <c r="AJ75" s="78"/>
      <c r="AK75" s="79"/>
      <c r="AL75" s="75"/>
      <c r="AM75" s="75"/>
      <c r="AN75" s="75"/>
      <c r="AO75" s="75"/>
      <c r="AP75" s="75"/>
      <c r="AQ75" s="75"/>
      <c r="AR75" s="75"/>
      <c r="AS75" s="77"/>
      <c r="AT75" s="74"/>
      <c r="AU75" s="78"/>
      <c r="AV75" s="79"/>
      <c r="AW75" s="75"/>
      <c r="AX75" s="75"/>
      <c r="AY75" s="75"/>
      <c r="AZ75" s="77"/>
      <c r="BA75" s="74"/>
      <c r="BB75" s="75"/>
      <c r="BC75" s="75"/>
      <c r="BD75" s="77"/>
      <c r="BE75" s="6">
        <f t="shared" si="14"/>
        <v>0</v>
      </c>
    </row>
    <row r="76" spans="1:57">
      <c r="A76" s="61"/>
      <c r="B76" s="40"/>
      <c r="C76" s="62">
        <f t="shared" si="15"/>
        <v>0</v>
      </c>
      <c r="D76" s="63">
        <f t="shared" si="16"/>
        <v>0</v>
      </c>
      <c r="E76" s="63">
        <f t="shared" si="17"/>
        <v>0</v>
      </c>
      <c r="F76" s="63">
        <f t="shared" si="18"/>
        <v>0</v>
      </c>
      <c r="G76" s="63">
        <f t="shared" si="20"/>
        <v>0</v>
      </c>
      <c r="H76" s="63">
        <f t="shared" si="19"/>
        <v>0</v>
      </c>
      <c r="I76" s="64">
        <f t="shared" si="21"/>
        <v>0</v>
      </c>
      <c r="J76" s="65"/>
      <c r="K76" s="65"/>
      <c r="L76" s="83"/>
      <c r="M76" s="67"/>
      <c r="N76" s="68"/>
      <c r="O76" s="62"/>
      <c r="P76" s="69"/>
      <c r="Q76" s="70"/>
      <c r="R76" s="50">
        <f t="shared" si="22"/>
        <v>0</v>
      </c>
      <c r="S76" s="71"/>
      <c r="T76" s="85"/>
      <c r="U76" s="72"/>
      <c r="V76" s="73"/>
      <c r="W76" s="74"/>
      <c r="X76" s="75"/>
      <c r="Y76" s="75"/>
      <c r="Z76" s="76"/>
      <c r="AA76" s="77"/>
      <c r="AB76" s="73"/>
      <c r="AC76" s="74"/>
      <c r="AD76" s="75"/>
      <c r="AE76" s="75"/>
      <c r="AF76" s="75"/>
      <c r="AG76" s="75"/>
      <c r="AH76" s="75"/>
      <c r="AI76" s="75"/>
      <c r="AJ76" s="78"/>
      <c r="AK76" s="79"/>
      <c r="AL76" s="75"/>
      <c r="AM76" s="75"/>
      <c r="AN76" s="75"/>
      <c r="AO76" s="75"/>
      <c r="AP76" s="75"/>
      <c r="AQ76" s="75"/>
      <c r="AR76" s="75"/>
      <c r="AS76" s="77"/>
      <c r="AT76" s="74"/>
      <c r="AU76" s="78"/>
      <c r="AV76" s="79"/>
      <c r="AW76" s="75"/>
      <c r="AX76" s="75"/>
      <c r="AY76" s="75"/>
      <c r="AZ76" s="77"/>
      <c r="BA76" s="74"/>
      <c r="BB76" s="75"/>
      <c r="BC76" s="75"/>
      <c r="BD76" s="77"/>
      <c r="BE76" s="6">
        <f t="shared" si="14"/>
        <v>0</v>
      </c>
    </row>
    <row r="77" spans="1:57">
      <c r="A77" s="61"/>
      <c r="B77" s="40"/>
      <c r="C77" s="62">
        <f t="shared" si="15"/>
        <v>0</v>
      </c>
      <c r="D77" s="63">
        <f t="shared" si="16"/>
        <v>0</v>
      </c>
      <c r="E77" s="63">
        <f t="shared" si="17"/>
        <v>0</v>
      </c>
      <c r="F77" s="63">
        <f t="shared" si="18"/>
        <v>0</v>
      </c>
      <c r="G77" s="63">
        <f t="shared" si="20"/>
        <v>0</v>
      </c>
      <c r="H77" s="63">
        <f t="shared" si="19"/>
        <v>0</v>
      </c>
      <c r="I77" s="64">
        <f t="shared" si="21"/>
        <v>0</v>
      </c>
      <c r="J77" s="65"/>
      <c r="K77" s="65"/>
      <c r="L77" s="83"/>
      <c r="M77" s="67"/>
      <c r="N77" s="68"/>
      <c r="O77" s="62"/>
      <c r="P77" s="69"/>
      <c r="Q77" s="70"/>
      <c r="R77" s="50">
        <f t="shared" si="22"/>
        <v>0</v>
      </c>
      <c r="S77" s="71"/>
      <c r="T77" s="94"/>
      <c r="U77" s="72"/>
      <c r="V77" s="73"/>
      <c r="W77" s="74"/>
      <c r="X77" s="75"/>
      <c r="Y77" s="75"/>
      <c r="Z77" s="76"/>
      <c r="AA77" s="77"/>
      <c r="AB77" s="73"/>
      <c r="AC77" s="74"/>
      <c r="AD77" s="75"/>
      <c r="AE77" s="75"/>
      <c r="AF77" s="75"/>
      <c r="AG77" s="75"/>
      <c r="AH77" s="75"/>
      <c r="AI77" s="75"/>
      <c r="AJ77" s="78"/>
      <c r="AK77" s="79"/>
      <c r="AL77" s="75"/>
      <c r="AM77" s="75"/>
      <c r="AN77" s="75"/>
      <c r="AO77" s="75"/>
      <c r="AP77" s="75"/>
      <c r="AQ77" s="75"/>
      <c r="AR77" s="75"/>
      <c r="AS77" s="77"/>
      <c r="AT77" s="74"/>
      <c r="AU77" s="78"/>
      <c r="AV77" s="79"/>
      <c r="AW77" s="75"/>
      <c r="AX77" s="75"/>
      <c r="AY77" s="75"/>
      <c r="AZ77" s="77"/>
      <c r="BA77" s="74"/>
      <c r="BB77" s="75"/>
      <c r="BC77" s="75"/>
      <c r="BD77" s="77"/>
      <c r="BE77" s="6">
        <f t="shared" si="14"/>
        <v>0</v>
      </c>
    </row>
    <row r="78" spans="1:57">
      <c r="A78" s="61"/>
      <c r="B78" s="40"/>
      <c r="C78" s="62">
        <f t="shared" si="15"/>
        <v>0</v>
      </c>
      <c r="D78" s="63">
        <f t="shared" si="16"/>
        <v>0</v>
      </c>
      <c r="E78" s="63">
        <f t="shared" si="17"/>
        <v>0</v>
      </c>
      <c r="F78" s="63">
        <f t="shared" si="18"/>
        <v>0</v>
      </c>
      <c r="G78" s="63">
        <f t="shared" si="20"/>
        <v>0</v>
      </c>
      <c r="H78" s="63">
        <f t="shared" si="19"/>
        <v>0</v>
      </c>
      <c r="I78" s="64">
        <f t="shared" si="21"/>
        <v>0</v>
      </c>
      <c r="J78" s="65"/>
      <c r="K78" s="91"/>
      <c r="L78" s="83"/>
      <c r="M78" s="67"/>
      <c r="N78" s="68"/>
      <c r="O78" s="62"/>
      <c r="P78" s="69"/>
      <c r="Q78" s="70"/>
      <c r="R78" s="50">
        <f t="shared" si="22"/>
        <v>0</v>
      </c>
      <c r="S78" s="71"/>
      <c r="T78" s="94"/>
      <c r="U78" s="72"/>
      <c r="V78" s="73"/>
      <c r="W78" s="74"/>
      <c r="X78" s="75"/>
      <c r="Y78" s="75"/>
      <c r="Z78" s="76"/>
      <c r="AA78" s="77"/>
      <c r="AB78" s="73"/>
      <c r="AC78" s="74"/>
      <c r="AD78" s="75"/>
      <c r="AE78" s="75"/>
      <c r="AF78" s="75"/>
      <c r="AG78" s="75"/>
      <c r="AH78" s="75"/>
      <c r="AI78" s="75"/>
      <c r="AJ78" s="78"/>
      <c r="AK78" s="79"/>
      <c r="AL78" s="75"/>
      <c r="AM78" s="75"/>
      <c r="AN78" s="75"/>
      <c r="AO78" s="75"/>
      <c r="AP78" s="75"/>
      <c r="AQ78" s="75"/>
      <c r="AR78" s="75"/>
      <c r="AS78" s="77"/>
      <c r="AT78" s="74"/>
      <c r="AU78" s="78"/>
      <c r="AV78" s="79"/>
      <c r="AW78" s="75"/>
      <c r="AX78" s="75"/>
      <c r="AY78" s="75"/>
      <c r="AZ78" s="77"/>
      <c r="BA78" s="74"/>
      <c r="BB78" s="75"/>
      <c r="BC78" s="75"/>
      <c r="BD78" s="77"/>
      <c r="BE78" s="6">
        <f t="shared" si="14"/>
        <v>0</v>
      </c>
    </row>
    <row r="79" spans="1:57">
      <c r="A79" s="61"/>
      <c r="B79" s="40"/>
      <c r="C79" s="62">
        <f t="shared" si="15"/>
        <v>0</v>
      </c>
      <c r="D79" s="63">
        <f t="shared" si="16"/>
        <v>0</v>
      </c>
      <c r="E79" s="63">
        <f t="shared" si="17"/>
        <v>0</v>
      </c>
      <c r="F79" s="63">
        <f t="shared" si="18"/>
        <v>0</v>
      </c>
      <c r="G79" s="63">
        <f t="shared" si="20"/>
        <v>0</v>
      </c>
      <c r="H79" s="63">
        <f t="shared" si="19"/>
        <v>0</v>
      </c>
      <c r="I79" s="64">
        <f t="shared" si="21"/>
        <v>0</v>
      </c>
      <c r="J79" s="65"/>
      <c r="K79" s="65"/>
      <c r="L79" s="83"/>
      <c r="M79" s="67"/>
      <c r="N79" s="68"/>
      <c r="O79" s="62"/>
      <c r="P79" s="69"/>
      <c r="Q79" s="70"/>
      <c r="R79" s="50">
        <f t="shared" si="22"/>
        <v>0</v>
      </c>
      <c r="S79" s="92"/>
      <c r="T79" s="69"/>
      <c r="U79" s="72"/>
      <c r="V79" s="73"/>
      <c r="W79" s="74"/>
      <c r="X79" s="75"/>
      <c r="Y79" s="75"/>
      <c r="Z79" s="76"/>
      <c r="AA79" s="77"/>
      <c r="AB79" s="73"/>
      <c r="AC79" s="74"/>
      <c r="AD79" s="75"/>
      <c r="AE79" s="75"/>
      <c r="AF79" s="75"/>
      <c r="AG79" s="75"/>
      <c r="AH79" s="75"/>
      <c r="AI79" s="75"/>
      <c r="AJ79" s="78"/>
      <c r="AK79" s="79"/>
      <c r="AL79" s="75"/>
      <c r="AM79" s="75"/>
      <c r="AN79" s="75"/>
      <c r="AO79" s="75"/>
      <c r="AP79" s="75"/>
      <c r="AQ79" s="75"/>
      <c r="AR79" s="75"/>
      <c r="AS79" s="77"/>
      <c r="AT79" s="74"/>
      <c r="AU79" s="78"/>
      <c r="AV79" s="79"/>
      <c r="AW79" s="75"/>
      <c r="AX79" s="75"/>
      <c r="AY79" s="75"/>
      <c r="AZ79" s="77"/>
      <c r="BA79" s="74"/>
      <c r="BB79" s="75"/>
      <c r="BC79" s="75"/>
      <c r="BD79" s="77"/>
      <c r="BE79" s="6">
        <f t="shared" ref="BE79:BE110" si="23">I79-SUM(AB79:BD79)</f>
        <v>0</v>
      </c>
    </row>
    <row r="80" spans="1:57">
      <c r="A80" s="61"/>
      <c r="B80" s="40"/>
      <c r="C80" s="62">
        <f t="shared" si="15"/>
        <v>0</v>
      </c>
      <c r="D80" s="63">
        <f t="shared" si="16"/>
        <v>0</v>
      </c>
      <c r="E80" s="63">
        <f t="shared" si="17"/>
        <v>0</v>
      </c>
      <c r="F80" s="63">
        <f t="shared" si="18"/>
        <v>0</v>
      </c>
      <c r="G80" s="63">
        <f t="shared" si="20"/>
        <v>0</v>
      </c>
      <c r="H80" s="63">
        <f t="shared" si="19"/>
        <v>0</v>
      </c>
      <c r="I80" s="64">
        <f t="shared" si="21"/>
        <v>0</v>
      </c>
      <c r="J80" s="65"/>
      <c r="K80" s="65"/>
      <c r="L80" s="83"/>
      <c r="M80" s="67"/>
      <c r="N80" s="68"/>
      <c r="O80" s="62"/>
      <c r="P80" s="69"/>
      <c r="Q80" s="70"/>
      <c r="R80" s="50">
        <f t="shared" si="22"/>
        <v>0</v>
      </c>
      <c r="S80" s="71"/>
      <c r="T80" s="69"/>
      <c r="U80" s="72"/>
      <c r="V80" s="73"/>
      <c r="W80" s="74"/>
      <c r="X80" s="75"/>
      <c r="Y80" s="75"/>
      <c r="Z80" s="76"/>
      <c r="AA80" s="77"/>
      <c r="AB80" s="73"/>
      <c r="AC80" s="74"/>
      <c r="AD80" s="75"/>
      <c r="AE80" s="75"/>
      <c r="AF80" s="75"/>
      <c r="AG80" s="75"/>
      <c r="AH80" s="75"/>
      <c r="AI80" s="75"/>
      <c r="AJ80" s="78"/>
      <c r="AK80" s="79"/>
      <c r="AL80" s="75"/>
      <c r="AM80" s="75"/>
      <c r="AN80" s="75"/>
      <c r="AO80" s="75"/>
      <c r="AP80" s="75"/>
      <c r="AQ80" s="75"/>
      <c r="AR80" s="75"/>
      <c r="AS80" s="77"/>
      <c r="AT80" s="74"/>
      <c r="AU80" s="78"/>
      <c r="AV80" s="79"/>
      <c r="AW80" s="75"/>
      <c r="AX80" s="75"/>
      <c r="AY80" s="75"/>
      <c r="AZ80" s="77"/>
      <c r="BA80" s="74"/>
      <c r="BB80" s="75"/>
      <c r="BC80" s="75"/>
      <c r="BD80" s="77"/>
      <c r="BE80" s="6">
        <f t="shared" si="23"/>
        <v>0</v>
      </c>
    </row>
    <row r="81" spans="1:57">
      <c r="A81" s="61"/>
      <c r="B81" s="40"/>
      <c r="C81" s="62">
        <f t="shared" si="15"/>
        <v>0</v>
      </c>
      <c r="D81" s="63">
        <f t="shared" si="16"/>
        <v>0</v>
      </c>
      <c r="E81" s="63">
        <f t="shared" si="17"/>
        <v>0</v>
      </c>
      <c r="F81" s="63">
        <f t="shared" si="18"/>
        <v>0</v>
      </c>
      <c r="G81" s="63">
        <f t="shared" si="20"/>
        <v>0</v>
      </c>
      <c r="H81" s="63">
        <f t="shared" si="19"/>
        <v>0</v>
      </c>
      <c r="I81" s="64">
        <f t="shared" si="21"/>
        <v>0</v>
      </c>
      <c r="J81" s="65"/>
      <c r="K81" s="65"/>
      <c r="L81" s="83"/>
      <c r="M81" s="67"/>
      <c r="N81" s="68"/>
      <c r="O81" s="62"/>
      <c r="P81" s="69"/>
      <c r="Q81" s="70"/>
      <c r="R81" s="50">
        <f t="shared" si="22"/>
        <v>0</v>
      </c>
      <c r="S81" s="71"/>
      <c r="T81" s="94"/>
      <c r="U81" s="72"/>
      <c r="V81" s="73"/>
      <c r="W81" s="74"/>
      <c r="X81" s="75"/>
      <c r="Y81" s="75"/>
      <c r="Z81" s="76"/>
      <c r="AA81" s="77"/>
      <c r="AB81" s="73"/>
      <c r="AC81" s="74"/>
      <c r="AD81" s="75"/>
      <c r="AE81" s="75"/>
      <c r="AF81" s="75"/>
      <c r="AG81" s="75"/>
      <c r="AH81" s="75"/>
      <c r="AI81" s="75"/>
      <c r="AJ81" s="78"/>
      <c r="AK81" s="79"/>
      <c r="AL81" s="75"/>
      <c r="AM81" s="75"/>
      <c r="AN81" s="75"/>
      <c r="AO81" s="75"/>
      <c r="AP81" s="75"/>
      <c r="AQ81" s="75"/>
      <c r="AR81" s="75"/>
      <c r="AS81" s="77"/>
      <c r="AT81" s="74"/>
      <c r="AU81" s="78"/>
      <c r="AV81" s="79"/>
      <c r="AW81" s="75"/>
      <c r="AX81" s="75"/>
      <c r="AY81" s="75"/>
      <c r="AZ81" s="77"/>
      <c r="BA81" s="74"/>
      <c r="BB81" s="75"/>
      <c r="BC81" s="75"/>
      <c r="BD81" s="77"/>
      <c r="BE81" s="6">
        <f t="shared" si="23"/>
        <v>0</v>
      </c>
    </row>
    <row r="82" spans="1:57">
      <c r="A82" s="61"/>
      <c r="B82" s="40"/>
      <c r="C82" s="62">
        <f t="shared" si="15"/>
        <v>0</v>
      </c>
      <c r="D82" s="63">
        <f t="shared" si="16"/>
        <v>0</v>
      </c>
      <c r="E82" s="63">
        <f t="shared" si="17"/>
        <v>0</v>
      </c>
      <c r="F82" s="63">
        <f t="shared" si="18"/>
        <v>0</v>
      </c>
      <c r="G82" s="63">
        <f t="shared" si="20"/>
        <v>0</v>
      </c>
      <c r="H82" s="63">
        <f t="shared" si="19"/>
        <v>0</v>
      </c>
      <c r="I82" s="64">
        <f t="shared" si="21"/>
        <v>0</v>
      </c>
      <c r="J82" s="65"/>
      <c r="K82" s="91"/>
      <c r="L82" s="83"/>
      <c r="M82" s="67"/>
      <c r="N82" s="68"/>
      <c r="O82" s="62"/>
      <c r="P82" s="69"/>
      <c r="Q82" s="70"/>
      <c r="R82" s="50">
        <f t="shared" si="22"/>
        <v>0</v>
      </c>
      <c r="S82" s="71"/>
      <c r="T82" s="94"/>
      <c r="U82" s="72"/>
      <c r="V82" s="73"/>
      <c r="W82" s="74"/>
      <c r="X82" s="75"/>
      <c r="Y82" s="75"/>
      <c r="Z82" s="76"/>
      <c r="AA82" s="77"/>
      <c r="AB82" s="73"/>
      <c r="AC82" s="74"/>
      <c r="AD82" s="75"/>
      <c r="AE82" s="75"/>
      <c r="AF82" s="75"/>
      <c r="AG82" s="75"/>
      <c r="AH82" s="75"/>
      <c r="AI82" s="75"/>
      <c r="AJ82" s="78"/>
      <c r="AK82" s="79"/>
      <c r="AL82" s="75"/>
      <c r="AM82" s="75"/>
      <c r="AN82" s="75"/>
      <c r="AO82" s="75"/>
      <c r="AP82" s="75"/>
      <c r="AQ82" s="75"/>
      <c r="AR82" s="75"/>
      <c r="AS82" s="77"/>
      <c r="AT82" s="74"/>
      <c r="AU82" s="78"/>
      <c r="AV82" s="79"/>
      <c r="AW82" s="75"/>
      <c r="AX82" s="75"/>
      <c r="AY82" s="75"/>
      <c r="AZ82" s="77"/>
      <c r="BA82" s="74"/>
      <c r="BB82" s="75"/>
      <c r="BC82" s="75"/>
      <c r="BD82" s="77"/>
      <c r="BE82" s="6">
        <f t="shared" si="23"/>
        <v>0</v>
      </c>
    </row>
    <row r="83" spans="1:57">
      <c r="A83" s="61"/>
      <c r="B83" s="40"/>
      <c r="C83" s="62">
        <f t="shared" si="15"/>
        <v>0</v>
      </c>
      <c r="D83" s="63">
        <f t="shared" si="16"/>
        <v>0</v>
      </c>
      <c r="E83" s="63">
        <f t="shared" si="17"/>
        <v>0</v>
      </c>
      <c r="F83" s="63">
        <f t="shared" si="18"/>
        <v>0</v>
      </c>
      <c r="G83" s="63">
        <f t="shared" si="20"/>
        <v>0</v>
      </c>
      <c r="H83" s="63">
        <f t="shared" si="19"/>
        <v>0</v>
      </c>
      <c r="I83" s="64">
        <f t="shared" si="21"/>
        <v>0</v>
      </c>
      <c r="J83" s="65"/>
      <c r="K83" s="91"/>
      <c r="L83" s="83"/>
      <c r="M83" s="67"/>
      <c r="N83" s="68"/>
      <c r="O83" s="62"/>
      <c r="P83" s="69"/>
      <c r="Q83" s="70"/>
      <c r="R83" s="50">
        <f t="shared" si="22"/>
        <v>0</v>
      </c>
      <c r="S83" s="71"/>
      <c r="T83" s="69"/>
      <c r="U83" s="72"/>
      <c r="V83" s="73"/>
      <c r="W83" s="74"/>
      <c r="X83" s="75"/>
      <c r="Y83" s="75"/>
      <c r="Z83" s="76"/>
      <c r="AA83" s="77"/>
      <c r="AB83" s="73"/>
      <c r="AC83" s="74"/>
      <c r="AD83" s="75"/>
      <c r="AE83" s="75"/>
      <c r="AF83" s="75"/>
      <c r="AG83" s="75"/>
      <c r="AH83" s="75"/>
      <c r="AI83" s="75"/>
      <c r="AJ83" s="78"/>
      <c r="AK83" s="79"/>
      <c r="AL83" s="75"/>
      <c r="AM83" s="75"/>
      <c r="AN83" s="75"/>
      <c r="AO83" s="75"/>
      <c r="AP83" s="75"/>
      <c r="AQ83" s="75"/>
      <c r="AR83" s="75"/>
      <c r="AS83" s="77"/>
      <c r="AT83" s="74"/>
      <c r="AU83" s="78"/>
      <c r="AV83" s="79"/>
      <c r="AW83" s="75"/>
      <c r="AX83" s="75"/>
      <c r="AY83" s="75"/>
      <c r="AZ83" s="77"/>
      <c r="BA83" s="74"/>
      <c r="BB83" s="75"/>
      <c r="BC83" s="75"/>
      <c r="BD83" s="77"/>
      <c r="BE83" s="6">
        <f t="shared" si="23"/>
        <v>0</v>
      </c>
    </row>
    <row r="84" spans="1:57">
      <c r="A84" s="61"/>
      <c r="B84" s="40"/>
      <c r="C84" s="62">
        <f t="shared" si="15"/>
        <v>0</v>
      </c>
      <c r="D84" s="63">
        <f t="shared" si="16"/>
        <v>0</v>
      </c>
      <c r="E84" s="63">
        <f t="shared" si="17"/>
        <v>0</v>
      </c>
      <c r="F84" s="63">
        <f t="shared" si="18"/>
        <v>0</v>
      </c>
      <c r="G84" s="63">
        <f t="shared" si="20"/>
        <v>0</v>
      </c>
      <c r="H84" s="63">
        <f t="shared" si="19"/>
        <v>0</v>
      </c>
      <c r="I84" s="64">
        <f t="shared" si="21"/>
        <v>0</v>
      </c>
      <c r="J84" s="65"/>
      <c r="K84" s="65"/>
      <c r="L84" s="83"/>
      <c r="M84" s="67"/>
      <c r="N84" s="68"/>
      <c r="O84" s="62"/>
      <c r="P84" s="69"/>
      <c r="Q84" s="70"/>
      <c r="R84" s="50">
        <f t="shared" si="22"/>
        <v>0</v>
      </c>
      <c r="S84" s="71"/>
      <c r="T84" s="94"/>
      <c r="U84" s="72"/>
      <c r="V84" s="73"/>
      <c r="W84" s="74"/>
      <c r="X84" s="75"/>
      <c r="Y84" s="75"/>
      <c r="Z84" s="76"/>
      <c r="AA84" s="77"/>
      <c r="AB84" s="73"/>
      <c r="AC84" s="74"/>
      <c r="AD84" s="75"/>
      <c r="AE84" s="75"/>
      <c r="AF84" s="75"/>
      <c r="AG84" s="75"/>
      <c r="AH84" s="75"/>
      <c r="AI84" s="75"/>
      <c r="AJ84" s="78"/>
      <c r="AK84" s="79"/>
      <c r="AL84" s="75"/>
      <c r="AM84" s="75"/>
      <c r="AN84" s="75"/>
      <c r="AO84" s="75"/>
      <c r="AP84" s="75"/>
      <c r="AQ84" s="75"/>
      <c r="AR84" s="75"/>
      <c r="AS84" s="77"/>
      <c r="AT84" s="74"/>
      <c r="AU84" s="78"/>
      <c r="AV84" s="79"/>
      <c r="AW84" s="75"/>
      <c r="AX84" s="75"/>
      <c r="AY84" s="75"/>
      <c r="AZ84" s="77"/>
      <c r="BA84" s="74"/>
      <c r="BB84" s="75"/>
      <c r="BC84" s="75"/>
      <c r="BD84" s="77"/>
      <c r="BE84" s="6">
        <f t="shared" si="23"/>
        <v>0</v>
      </c>
    </row>
    <row r="85" spans="1:57">
      <c r="A85" s="61"/>
      <c r="B85" s="40"/>
      <c r="C85" s="62">
        <f t="shared" si="15"/>
        <v>0</v>
      </c>
      <c r="D85" s="63">
        <f t="shared" si="16"/>
        <v>0</v>
      </c>
      <c r="E85" s="63">
        <f t="shared" si="17"/>
        <v>0</v>
      </c>
      <c r="F85" s="63">
        <f t="shared" si="18"/>
        <v>0</v>
      </c>
      <c r="G85" s="63">
        <f t="shared" si="20"/>
        <v>0</v>
      </c>
      <c r="H85" s="63">
        <f t="shared" si="19"/>
        <v>0</v>
      </c>
      <c r="I85" s="64">
        <f t="shared" si="21"/>
        <v>0</v>
      </c>
      <c r="J85" s="65"/>
      <c r="K85" s="65"/>
      <c r="L85" s="83"/>
      <c r="M85" s="67"/>
      <c r="N85" s="68"/>
      <c r="O85" s="62"/>
      <c r="P85" s="69"/>
      <c r="Q85" s="70"/>
      <c r="R85" s="50">
        <f t="shared" si="22"/>
        <v>0</v>
      </c>
      <c r="S85" s="71"/>
      <c r="T85" s="94"/>
      <c r="U85" s="72"/>
      <c r="V85" s="73"/>
      <c r="W85" s="74"/>
      <c r="X85" s="75"/>
      <c r="Y85" s="75"/>
      <c r="Z85" s="76"/>
      <c r="AA85" s="77"/>
      <c r="AB85" s="73"/>
      <c r="AC85" s="74"/>
      <c r="AD85" s="75"/>
      <c r="AE85" s="75"/>
      <c r="AF85" s="75"/>
      <c r="AG85" s="75"/>
      <c r="AH85" s="75"/>
      <c r="AI85" s="75"/>
      <c r="AJ85" s="78"/>
      <c r="AK85" s="79"/>
      <c r="AL85" s="75"/>
      <c r="AM85" s="75"/>
      <c r="AN85" s="75"/>
      <c r="AO85" s="75"/>
      <c r="AP85" s="75"/>
      <c r="AQ85" s="75"/>
      <c r="AR85" s="75"/>
      <c r="AS85" s="77"/>
      <c r="AT85" s="74"/>
      <c r="AU85" s="78"/>
      <c r="AV85" s="79"/>
      <c r="AW85" s="75"/>
      <c r="AX85" s="75"/>
      <c r="AY85" s="75"/>
      <c r="AZ85" s="77"/>
      <c r="BA85" s="74"/>
      <c r="BB85" s="75"/>
      <c r="BC85" s="75"/>
      <c r="BD85" s="77"/>
      <c r="BE85" s="6">
        <f t="shared" si="23"/>
        <v>0</v>
      </c>
    </row>
    <row r="86" spans="1:57">
      <c r="A86" s="61"/>
      <c r="B86" s="40"/>
      <c r="C86" s="62">
        <f t="shared" si="15"/>
        <v>0</v>
      </c>
      <c r="D86" s="63">
        <f t="shared" si="16"/>
        <v>0</v>
      </c>
      <c r="E86" s="63">
        <f t="shared" si="17"/>
        <v>0</v>
      </c>
      <c r="F86" s="63">
        <f t="shared" si="18"/>
        <v>0</v>
      </c>
      <c r="G86" s="63">
        <f t="shared" si="20"/>
        <v>0</v>
      </c>
      <c r="H86" s="63">
        <f t="shared" si="19"/>
        <v>0</v>
      </c>
      <c r="I86" s="64">
        <f t="shared" si="21"/>
        <v>0</v>
      </c>
      <c r="J86" s="65"/>
      <c r="K86" s="65"/>
      <c r="L86" s="83"/>
      <c r="M86" s="67"/>
      <c r="N86" s="68"/>
      <c r="O86" s="62"/>
      <c r="P86" s="69"/>
      <c r="Q86" s="70"/>
      <c r="R86" s="50">
        <f t="shared" si="22"/>
        <v>0</v>
      </c>
      <c r="S86" s="71"/>
      <c r="T86" s="94"/>
      <c r="U86" s="72"/>
      <c r="V86" s="73"/>
      <c r="W86" s="74"/>
      <c r="X86" s="75"/>
      <c r="Y86" s="75"/>
      <c r="Z86" s="76"/>
      <c r="AA86" s="77"/>
      <c r="AB86" s="73"/>
      <c r="AC86" s="74"/>
      <c r="AD86" s="75"/>
      <c r="AE86" s="75"/>
      <c r="AF86" s="75"/>
      <c r="AG86" s="75"/>
      <c r="AH86" s="75"/>
      <c r="AI86" s="75"/>
      <c r="AJ86" s="78"/>
      <c r="AK86" s="79"/>
      <c r="AL86" s="75"/>
      <c r="AM86" s="75"/>
      <c r="AN86" s="75"/>
      <c r="AO86" s="75"/>
      <c r="AP86" s="75"/>
      <c r="AQ86" s="75"/>
      <c r="AR86" s="75"/>
      <c r="AS86" s="77"/>
      <c r="AT86" s="74"/>
      <c r="AU86" s="78"/>
      <c r="AV86" s="79"/>
      <c r="AW86" s="75"/>
      <c r="AX86" s="75"/>
      <c r="AY86" s="75"/>
      <c r="AZ86" s="77"/>
      <c r="BA86" s="74"/>
      <c r="BB86" s="75"/>
      <c r="BC86" s="75"/>
      <c r="BD86" s="77"/>
      <c r="BE86" s="6">
        <f t="shared" si="23"/>
        <v>0</v>
      </c>
    </row>
    <row r="87" spans="1:57">
      <c r="A87" s="61"/>
      <c r="B87" s="40"/>
      <c r="C87" s="62">
        <f t="shared" si="15"/>
        <v>0</v>
      </c>
      <c r="D87" s="63">
        <f t="shared" si="16"/>
        <v>0</v>
      </c>
      <c r="E87" s="63">
        <f t="shared" si="17"/>
        <v>0</v>
      </c>
      <c r="F87" s="63">
        <f t="shared" si="18"/>
        <v>0</v>
      </c>
      <c r="G87" s="63">
        <f t="shared" si="20"/>
        <v>0</v>
      </c>
      <c r="H87" s="63">
        <f t="shared" si="19"/>
        <v>0</v>
      </c>
      <c r="I87" s="64">
        <f t="shared" si="21"/>
        <v>0</v>
      </c>
      <c r="J87" s="65"/>
      <c r="K87" s="65"/>
      <c r="L87" s="83"/>
      <c r="M87" s="67"/>
      <c r="N87" s="68"/>
      <c r="O87" s="62"/>
      <c r="P87" s="69"/>
      <c r="Q87" s="70"/>
      <c r="R87" s="50">
        <f t="shared" si="22"/>
        <v>0</v>
      </c>
      <c r="S87" s="71"/>
      <c r="T87" s="69"/>
      <c r="U87" s="72"/>
      <c r="V87" s="73"/>
      <c r="W87" s="74"/>
      <c r="X87" s="75"/>
      <c r="Y87" s="75"/>
      <c r="Z87" s="76"/>
      <c r="AA87" s="77"/>
      <c r="AB87" s="73"/>
      <c r="AC87" s="74"/>
      <c r="AD87" s="75"/>
      <c r="AE87" s="75"/>
      <c r="AF87" s="75"/>
      <c r="AG87" s="75"/>
      <c r="AH87" s="75"/>
      <c r="AI87" s="75"/>
      <c r="AJ87" s="78"/>
      <c r="AK87" s="79"/>
      <c r="AL87" s="75"/>
      <c r="AM87" s="75"/>
      <c r="AN87" s="75"/>
      <c r="AO87" s="75"/>
      <c r="AP87" s="75"/>
      <c r="AQ87" s="75"/>
      <c r="AR87" s="75"/>
      <c r="AS87" s="77"/>
      <c r="AT87" s="74"/>
      <c r="AU87" s="78"/>
      <c r="AV87" s="79"/>
      <c r="AW87" s="75"/>
      <c r="AX87" s="75"/>
      <c r="AY87" s="75"/>
      <c r="AZ87" s="77"/>
      <c r="BA87" s="74"/>
      <c r="BB87" s="75"/>
      <c r="BC87" s="75"/>
      <c r="BD87" s="77"/>
      <c r="BE87" s="6">
        <f t="shared" si="23"/>
        <v>0</v>
      </c>
    </row>
    <row r="88" spans="1:57">
      <c r="A88" s="61"/>
      <c r="B88" s="40"/>
      <c r="C88" s="62">
        <f t="shared" si="15"/>
        <v>0</v>
      </c>
      <c r="D88" s="63">
        <f t="shared" si="16"/>
        <v>0</v>
      </c>
      <c r="E88" s="63">
        <f t="shared" si="17"/>
        <v>0</v>
      </c>
      <c r="F88" s="63">
        <f t="shared" si="18"/>
        <v>0</v>
      </c>
      <c r="G88" s="63">
        <f t="shared" si="20"/>
        <v>0</v>
      </c>
      <c r="H88" s="63">
        <f t="shared" si="19"/>
        <v>0</v>
      </c>
      <c r="I88" s="64">
        <f t="shared" si="21"/>
        <v>0</v>
      </c>
      <c r="J88" s="65"/>
      <c r="K88" s="65"/>
      <c r="L88" s="83"/>
      <c r="M88" s="67"/>
      <c r="N88" s="68"/>
      <c r="O88" s="62"/>
      <c r="P88" s="69"/>
      <c r="Q88" s="70"/>
      <c r="R88" s="50">
        <f t="shared" si="22"/>
        <v>0</v>
      </c>
      <c r="S88" s="71"/>
      <c r="T88" s="69"/>
      <c r="U88" s="72"/>
      <c r="V88" s="73"/>
      <c r="W88" s="74"/>
      <c r="X88" s="75"/>
      <c r="Y88" s="75"/>
      <c r="Z88" s="107"/>
      <c r="AA88" s="77"/>
      <c r="AB88" s="73"/>
      <c r="AC88" s="74"/>
      <c r="AD88" s="75"/>
      <c r="AE88" s="75"/>
      <c r="AF88" s="75"/>
      <c r="AG88" s="75"/>
      <c r="AH88" s="75"/>
      <c r="AI88" s="75"/>
      <c r="AJ88" s="78"/>
      <c r="AK88" s="79"/>
      <c r="AL88" s="75"/>
      <c r="AM88" s="75"/>
      <c r="AN88" s="75"/>
      <c r="AO88" s="75"/>
      <c r="AP88" s="75"/>
      <c r="AQ88" s="75"/>
      <c r="AR88" s="75"/>
      <c r="AS88" s="77"/>
      <c r="AT88" s="74"/>
      <c r="AU88" s="78"/>
      <c r="AV88" s="79"/>
      <c r="AW88" s="75"/>
      <c r="AX88" s="75"/>
      <c r="AY88" s="75"/>
      <c r="AZ88" s="77"/>
      <c r="BA88" s="74"/>
      <c r="BB88" s="75"/>
      <c r="BC88" s="75"/>
      <c r="BD88" s="77"/>
      <c r="BE88" s="6">
        <f t="shared" si="23"/>
        <v>0</v>
      </c>
    </row>
    <row r="89" spans="1:57">
      <c r="A89" s="61"/>
      <c r="B89" s="40"/>
      <c r="C89" s="62">
        <f t="shared" si="15"/>
        <v>0</v>
      </c>
      <c r="D89" s="63">
        <f t="shared" si="16"/>
        <v>0</v>
      </c>
      <c r="E89" s="63">
        <f t="shared" si="17"/>
        <v>0</v>
      </c>
      <c r="F89" s="63">
        <f t="shared" si="18"/>
        <v>0</v>
      </c>
      <c r="G89" s="63">
        <f t="shared" si="20"/>
        <v>0</v>
      </c>
      <c r="H89" s="63">
        <f t="shared" si="19"/>
        <v>0</v>
      </c>
      <c r="I89" s="64">
        <f t="shared" si="21"/>
        <v>0</v>
      </c>
      <c r="J89" s="65"/>
      <c r="K89" s="65"/>
      <c r="L89" s="83"/>
      <c r="M89" s="67"/>
      <c r="N89" s="68"/>
      <c r="O89" s="62"/>
      <c r="P89" s="69"/>
      <c r="Q89" s="70"/>
      <c r="R89" s="50">
        <f t="shared" si="22"/>
        <v>0</v>
      </c>
      <c r="S89" s="71"/>
      <c r="T89" s="94"/>
      <c r="U89" s="72"/>
      <c r="V89" s="73"/>
      <c r="W89" s="74"/>
      <c r="X89" s="75"/>
      <c r="Y89" s="75"/>
      <c r="Z89" s="76"/>
      <c r="AA89" s="77"/>
      <c r="AB89" s="73"/>
      <c r="AC89" s="74"/>
      <c r="AD89" s="75"/>
      <c r="AE89" s="75"/>
      <c r="AF89" s="75"/>
      <c r="AG89" s="75"/>
      <c r="AH89" s="75"/>
      <c r="AI89" s="75"/>
      <c r="AJ89" s="78"/>
      <c r="AK89" s="79"/>
      <c r="AL89" s="75"/>
      <c r="AM89" s="75"/>
      <c r="AN89" s="75"/>
      <c r="AO89" s="75"/>
      <c r="AP89" s="75"/>
      <c r="AQ89" s="75"/>
      <c r="AR89" s="75"/>
      <c r="AS89" s="77"/>
      <c r="AT89" s="74"/>
      <c r="AU89" s="78"/>
      <c r="AV89" s="79"/>
      <c r="AW89" s="75"/>
      <c r="AX89" s="75"/>
      <c r="AY89" s="75"/>
      <c r="AZ89" s="77"/>
      <c r="BA89" s="74"/>
      <c r="BB89" s="75"/>
      <c r="BC89" s="75"/>
      <c r="BD89" s="77"/>
      <c r="BE89" s="6">
        <f t="shared" si="23"/>
        <v>0</v>
      </c>
    </row>
    <row r="90" spans="1:57">
      <c r="A90" s="61"/>
      <c r="B90" s="40"/>
      <c r="C90" s="62">
        <f t="shared" si="15"/>
        <v>0</v>
      </c>
      <c r="D90" s="63">
        <f t="shared" si="16"/>
        <v>0</v>
      </c>
      <c r="E90" s="63">
        <f t="shared" si="17"/>
        <v>0</v>
      </c>
      <c r="F90" s="63">
        <f t="shared" si="18"/>
        <v>0</v>
      </c>
      <c r="G90" s="63">
        <f t="shared" si="20"/>
        <v>0</v>
      </c>
      <c r="H90" s="63">
        <f t="shared" si="19"/>
        <v>0</v>
      </c>
      <c r="I90" s="64">
        <f t="shared" si="21"/>
        <v>0</v>
      </c>
      <c r="J90" s="65"/>
      <c r="K90" s="65"/>
      <c r="L90" s="83"/>
      <c r="M90" s="67"/>
      <c r="N90" s="68"/>
      <c r="O90" s="62"/>
      <c r="P90" s="69"/>
      <c r="Q90" s="70"/>
      <c r="R90" s="50">
        <f t="shared" si="22"/>
        <v>0</v>
      </c>
      <c r="S90" s="71"/>
      <c r="T90" s="94"/>
      <c r="U90" s="72"/>
      <c r="V90" s="73"/>
      <c r="W90" s="74"/>
      <c r="X90" s="75"/>
      <c r="Y90" s="75"/>
      <c r="Z90" s="76"/>
      <c r="AA90" s="77"/>
      <c r="AB90" s="73"/>
      <c r="AC90" s="74"/>
      <c r="AD90" s="75"/>
      <c r="AE90" s="75"/>
      <c r="AF90" s="75"/>
      <c r="AG90" s="75"/>
      <c r="AH90" s="75"/>
      <c r="AI90" s="75"/>
      <c r="AJ90" s="78"/>
      <c r="AK90" s="79"/>
      <c r="AL90" s="75"/>
      <c r="AM90" s="75"/>
      <c r="AN90" s="75"/>
      <c r="AO90" s="75"/>
      <c r="AP90" s="75"/>
      <c r="AQ90" s="75"/>
      <c r="AR90" s="75"/>
      <c r="AS90" s="77"/>
      <c r="AT90" s="74"/>
      <c r="AU90" s="78"/>
      <c r="AV90" s="79"/>
      <c r="AW90" s="75"/>
      <c r="AX90" s="75"/>
      <c r="AY90" s="75"/>
      <c r="AZ90" s="77"/>
      <c r="BA90" s="74"/>
      <c r="BB90" s="75"/>
      <c r="BC90" s="75"/>
      <c r="BD90" s="77"/>
      <c r="BE90" s="6">
        <f t="shared" si="23"/>
        <v>0</v>
      </c>
    </row>
    <row r="91" spans="1:57">
      <c r="A91" s="61"/>
      <c r="B91" s="40"/>
      <c r="C91" s="62">
        <f t="shared" si="15"/>
        <v>0</v>
      </c>
      <c r="D91" s="63">
        <f t="shared" si="16"/>
        <v>0</v>
      </c>
      <c r="E91" s="63">
        <f t="shared" si="17"/>
        <v>0</v>
      </c>
      <c r="F91" s="63">
        <f t="shared" si="18"/>
        <v>0</v>
      </c>
      <c r="G91" s="63">
        <f t="shared" si="20"/>
        <v>0</v>
      </c>
      <c r="H91" s="63">
        <f t="shared" si="19"/>
        <v>0</v>
      </c>
      <c r="I91" s="64">
        <f t="shared" si="21"/>
        <v>0</v>
      </c>
      <c r="J91" s="65"/>
      <c r="K91" s="65"/>
      <c r="L91" s="83"/>
      <c r="M91" s="67"/>
      <c r="N91" s="68"/>
      <c r="O91" s="62"/>
      <c r="P91" s="69"/>
      <c r="Q91" s="70"/>
      <c r="R91" s="50">
        <f t="shared" si="22"/>
        <v>0</v>
      </c>
      <c r="S91" s="71"/>
      <c r="T91" s="85"/>
      <c r="U91" s="72"/>
      <c r="V91" s="73"/>
      <c r="W91" s="74"/>
      <c r="X91" s="75"/>
      <c r="Y91" s="75"/>
      <c r="Z91" s="76"/>
      <c r="AA91" s="77"/>
      <c r="AB91" s="73"/>
      <c r="AC91" s="74"/>
      <c r="AD91" s="75"/>
      <c r="AE91" s="75"/>
      <c r="AF91" s="75"/>
      <c r="AG91" s="75"/>
      <c r="AH91" s="75"/>
      <c r="AI91" s="75"/>
      <c r="AJ91" s="78"/>
      <c r="AK91" s="79"/>
      <c r="AL91" s="75"/>
      <c r="AM91" s="75"/>
      <c r="AN91" s="75"/>
      <c r="AO91" s="75"/>
      <c r="AP91" s="75"/>
      <c r="AQ91" s="75"/>
      <c r="AR91" s="75"/>
      <c r="AS91" s="77"/>
      <c r="AT91" s="74"/>
      <c r="AU91" s="78"/>
      <c r="AV91" s="79"/>
      <c r="AW91" s="75"/>
      <c r="AX91" s="75"/>
      <c r="AY91" s="75"/>
      <c r="AZ91" s="77"/>
      <c r="BA91" s="74"/>
      <c r="BB91" s="75"/>
      <c r="BC91" s="75"/>
      <c r="BD91" s="77"/>
      <c r="BE91" s="6">
        <f t="shared" si="23"/>
        <v>0</v>
      </c>
    </row>
    <row r="92" spans="1:57" ht="15" customHeight="1">
      <c r="A92" s="61"/>
      <c r="B92" s="40"/>
      <c r="C92" s="62">
        <f t="shared" si="15"/>
        <v>0</v>
      </c>
      <c r="D92" s="63">
        <f t="shared" si="16"/>
        <v>0</v>
      </c>
      <c r="E92" s="63">
        <f t="shared" si="17"/>
        <v>0</v>
      </c>
      <c r="F92" s="63">
        <f t="shared" si="18"/>
        <v>0</v>
      </c>
      <c r="G92" s="63">
        <f t="shared" si="20"/>
        <v>0</v>
      </c>
      <c r="H92" s="63">
        <f t="shared" si="19"/>
        <v>0</v>
      </c>
      <c r="I92" s="64">
        <f t="shared" si="21"/>
        <v>0</v>
      </c>
      <c r="J92" s="91"/>
      <c r="K92" s="65"/>
      <c r="L92" s="83"/>
      <c r="M92" s="67"/>
      <c r="N92" s="68"/>
      <c r="O92" s="62"/>
      <c r="P92" s="69"/>
      <c r="Q92" s="70"/>
      <c r="R92" s="50">
        <f t="shared" si="22"/>
        <v>0</v>
      </c>
      <c r="S92" s="71"/>
      <c r="T92" s="94"/>
      <c r="U92" s="72"/>
      <c r="V92" s="73"/>
      <c r="W92" s="74"/>
      <c r="X92" s="75"/>
      <c r="Y92" s="75"/>
      <c r="Z92" s="76"/>
      <c r="AA92" s="77"/>
      <c r="AB92" s="73"/>
      <c r="AC92" s="74"/>
      <c r="AD92" s="75"/>
      <c r="AE92" s="75"/>
      <c r="AF92" s="75"/>
      <c r="AG92" s="75"/>
      <c r="AH92" s="75"/>
      <c r="AI92" s="75"/>
      <c r="AJ92" s="78"/>
      <c r="AK92" s="79"/>
      <c r="AL92" s="75"/>
      <c r="AM92" s="75"/>
      <c r="AN92" s="75"/>
      <c r="AO92" s="75"/>
      <c r="AP92" s="75"/>
      <c r="AQ92" s="75"/>
      <c r="AR92" s="75"/>
      <c r="AS92" s="77"/>
      <c r="AT92" s="74"/>
      <c r="AU92" s="78"/>
      <c r="AV92" s="79"/>
      <c r="AW92" s="75"/>
      <c r="AX92" s="75"/>
      <c r="AY92" s="75"/>
      <c r="AZ92" s="77"/>
      <c r="BA92" s="74"/>
      <c r="BB92" s="75"/>
      <c r="BC92" s="75"/>
      <c r="BD92" s="77"/>
      <c r="BE92" s="6">
        <f t="shared" si="23"/>
        <v>0</v>
      </c>
    </row>
    <row r="93" spans="1:57">
      <c r="A93" s="61"/>
      <c r="B93" s="40"/>
      <c r="C93" s="62">
        <f t="shared" si="15"/>
        <v>0</v>
      </c>
      <c r="D93" s="63">
        <f t="shared" si="16"/>
        <v>0</v>
      </c>
      <c r="E93" s="63">
        <f t="shared" si="17"/>
        <v>0</v>
      </c>
      <c r="F93" s="63">
        <f t="shared" si="18"/>
        <v>0</v>
      </c>
      <c r="G93" s="63">
        <f t="shared" si="20"/>
        <v>0</v>
      </c>
      <c r="H93" s="63">
        <f t="shared" si="19"/>
        <v>0</v>
      </c>
      <c r="I93" s="64">
        <f t="shared" si="21"/>
        <v>0</v>
      </c>
      <c r="J93" s="65"/>
      <c r="K93" s="65"/>
      <c r="L93" s="83"/>
      <c r="M93" s="67"/>
      <c r="N93" s="68"/>
      <c r="O93" s="62"/>
      <c r="P93" s="69"/>
      <c r="Q93" s="70"/>
      <c r="R93" s="50">
        <f t="shared" si="22"/>
        <v>0</v>
      </c>
      <c r="S93" s="71"/>
      <c r="T93" s="94"/>
      <c r="U93" s="72"/>
      <c r="V93" s="73"/>
      <c r="W93" s="74"/>
      <c r="X93" s="75"/>
      <c r="Y93" s="75"/>
      <c r="Z93" s="76"/>
      <c r="AA93" s="77"/>
      <c r="AB93" s="73"/>
      <c r="AC93" s="74"/>
      <c r="AD93" s="75"/>
      <c r="AE93" s="75"/>
      <c r="AF93" s="75"/>
      <c r="AG93" s="75"/>
      <c r="AH93" s="75"/>
      <c r="AI93" s="75"/>
      <c r="AJ93" s="78"/>
      <c r="AK93" s="79"/>
      <c r="AL93" s="75"/>
      <c r="AM93" s="75"/>
      <c r="AN93" s="75"/>
      <c r="AO93" s="75"/>
      <c r="AP93" s="75"/>
      <c r="AQ93" s="75"/>
      <c r="AR93" s="75"/>
      <c r="AS93" s="77"/>
      <c r="AT93" s="74"/>
      <c r="AU93" s="78"/>
      <c r="AV93" s="79"/>
      <c r="AW93" s="75"/>
      <c r="AX93" s="75"/>
      <c r="AY93" s="75"/>
      <c r="AZ93" s="77"/>
      <c r="BA93" s="74"/>
      <c r="BB93" s="75"/>
      <c r="BC93" s="75"/>
      <c r="BD93" s="77"/>
      <c r="BE93" s="6">
        <f t="shared" si="23"/>
        <v>0</v>
      </c>
    </row>
    <row r="94" spans="1:57">
      <c r="A94" s="61"/>
      <c r="B94" s="40"/>
      <c r="C94" s="62">
        <f t="shared" si="15"/>
        <v>0</v>
      </c>
      <c r="D94" s="63">
        <f t="shared" si="16"/>
        <v>0</v>
      </c>
      <c r="E94" s="63">
        <f t="shared" si="17"/>
        <v>0</v>
      </c>
      <c r="F94" s="63">
        <f t="shared" si="18"/>
        <v>0</v>
      </c>
      <c r="G94" s="63">
        <f t="shared" si="20"/>
        <v>0</v>
      </c>
      <c r="H94" s="63">
        <f t="shared" si="19"/>
        <v>0</v>
      </c>
      <c r="I94" s="64">
        <f t="shared" si="21"/>
        <v>0</v>
      </c>
      <c r="J94" s="65"/>
      <c r="K94" s="65"/>
      <c r="L94" s="83"/>
      <c r="M94" s="67"/>
      <c r="N94" s="68"/>
      <c r="O94" s="62"/>
      <c r="P94" s="69"/>
      <c r="Q94" s="70"/>
      <c r="R94" s="50">
        <f t="shared" si="22"/>
        <v>0</v>
      </c>
      <c r="S94" s="71"/>
      <c r="T94" s="94"/>
      <c r="U94" s="72"/>
      <c r="V94" s="73"/>
      <c r="W94" s="74"/>
      <c r="X94" s="75"/>
      <c r="Y94" s="75"/>
      <c r="Z94" s="76"/>
      <c r="AA94" s="77"/>
      <c r="AB94" s="73"/>
      <c r="AC94" s="74"/>
      <c r="AD94" s="75"/>
      <c r="AE94" s="75"/>
      <c r="AF94" s="75"/>
      <c r="AG94" s="75"/>
      <c r="AH94" s="75"/>
      <c r="AI94" s="75"/>
      <c r="AJ94" s="78"/>
      <c r="AK94" s="79"/>
      <c r="AL94" s="75"/>
      <c r="AM94" s="75"/>
      <c r="AN94" s="75"/>
      <c r="AO94" s="75"/>
      <c r="AP94" s="75"/>
      <c r="AQ94" s="75"/>
      <c r="AR94" s="75"/>
      <c r="AS94" s="77"/>
      <c r="AT94" s="74"/>
      <c r="AU94" s="78"/>
      <c r="AV94" s="79"/>
      <c r="AW94" s="75"/>
      <c r="AX94" s="75"/>
      <c r="AY94" s="75"/>
      <c r="AZ94" s="77"/>
      <c r="BA94" s="74"/>
      <c r="BB94" s="75"/>
      <c r="BC94" s="75"/>
      <c r="BD94" s="77"/>
      <c r="BE94" s="6">
        <f t="shared" si="23"/>
        <v>0</v>
      </c>
    </row>
    <row r="95" spans="1:57">
      <c r="A95" s="61"/>
      <c r="B95" s="40"/>
      <c r="C95" s="62">
        <f t="shared" si="15"/>
        <v>0</v>
      </c>
      <c r="D95" s="63">
        <f t="shared" si="16"/>
        <v>0</v>
      </c>
      <c r="E95" s="63">
        <f t="shared" si="17"/>
        <v>0</v>
      </c>
      <c r="F95" s="63">
        <f t="shared" si="18"/>
        <v>0</v>
      </c>
      <c r="G95" s="63">
        <f t="shared" si="20"/>
        <v>0</v>
      </c>
      <c r="H95" s="63">
        <f t="shared" si="19"/>
        <v>0</v>
      </c>
      <c r="I95" s="64">
        <f t="shared" si="21"/>
        <v>0</v>
      </c>
      <c r="J95" s="65"/>
      <c r="K95" s="65"/>
      <c r="L95" s="83"/>
      <c r="M95" s="67"/>
      <c r="N95" s="68"/>
      <c r="O95" s="62"/>
      <c r="P95" s="69"/>
      <c r="Q95" s="70"/>
      <c r="R95" s="50">
        <f t="shared" si="22"/>
        <v>0</v>
      </c>
      <c r="S95" s="71"/>
      <c r="T95" s="94"/>
      <c r="U95" s="72"/>
      <c r="V95" s="73"/>
      <c r="W95" s="74"/>
      <c r="X95" s="75"/>
      <c r="Y95" s="75"/>
      <c r="Z95" s="76"/>
      <c r="AA95" s="77"/>
      <c r="AB95" s="73"/>
      <c r="AC95" s="74"/>
      <c r="AD95" s="75"/>
      <c r="AE95" s="75"/>
      <c r="AF95" s="75"/>
      <c r="AG95" s="75"/>
      <c r="AH95" s="75"/>
      <c r="AI95" s="75"/>
      <c r="AJ95" s="78"/>
      <c r="AK95" s="79"/>
      <c r="AL95" s="75"/>
      <c r="AM95" s="75"/>
      <c r="AN95" s="75"/>
      <c r="AO95" s="75"/>
      <c r="AP95" s="75"/>
      <c r="AQ95" s="75"/>
      <c r="AR95" s="75"/>
      <c r="AS95" s="77"/>
      <c r="AT95" s="74"/>
      <c r="AU95" s="78"/>
      <c r="AV95" s="79"/>
      <c r="AW95" s="75"/>
      <c r="AX95" s="75"/>
      <c r="AY95" s="75"/>
      <c r="AZ95" s="77"/>
      <c r="BA95" s="74"/>
      <c r="BB95" s="75"/>
      <c r="BC95" s="75"/>
      <c r="BD95" s="77"/>
      <c r="BE95" s="6">
        <f t="shared" si="23"/>
        <v>0</v>
      </c>
    </row>
    <row r="96" spans="1:57">
      <c r="A96" s="61"/>
      <c r="B96" s="40"/>
      <c r="C96" s="62">
        <f t="shared" si="15"/>
        <v>0</v>
      </c>
      <c r="D96" s="63">
        <f t="shared" si="16"/>
        <v>0</v>
      </c>
      <c r="E96" s="63">
        <f t="shared" si="17"/>
        <v>0</v>
      </c>
      <c r="F96" s="63">
        <f t="shared" si="18"/>
        <v>0</v>
      </c>
      <c r="G96" s="63">
        <f t="shared" si="20"/>
        <v>0</v>
      </c>
      <c r="H96" s="63">
        <f t="shared" si="19"/>
        <v>0</v>
      </c>
      <c r="I96" s="64">
        <f t="shared" si="21"/>
        <v>0</v>
      </c>
      <c r="J96" s="65"/>
      <c r="K96" s="65"/>
      <c r="L96" s="83"/>
      <c r="M96" s="67"/>
      <c r="N96" s="68"/>
      <c r="O96" s="62"/>
      <c r="P96" s="69"/>
      <c r="Q96" s="70"/>
      <c r="R96" s="50">
        <f t="shared" si="22"/>
        <v>0</v>
      </c>
      <c r="S96" s="71"/>
      <c r="T96" s="94"/>
      <c r="U96" s="72"/>
      <c r="V96" s="73"/>
      <c r="W96" s="74"/>
      <c r="X96" s="75"/>
      <c r="Y96" s="75"/>
      <c r="Z96" s="76"/>
      <c r="AA96" s="77"/>
      <c r="AB96" s="73"/>
      <c r="AC96" s="74"/>
      <c r="AD96" s="75"/>
      <c r="AE96" s="75"/>
      <c r="AF96" s="75"/>
      <c r="AG96" s="75"/>
      <c r="AH96" s="75"/>
      <c r="AI96" s="75"/>
      <c r="AJ96" s="78"/>
      <c r="AK96" s="79"/>
      <c r="AL96" s="75"/>
      <c r="AM96" s="75"/>
      <c r="AN96" s="75"/>
      <c r="AO96" s="75"/>
      <c r="AP96" s="75"/>
      <c r="AQ96" s="75"/>
      <c r="AR96" s="75"/>
      <c r="AS96" s="77"/>
      <c r="AT96" s="74"/>
      <c r="AU96" s="78"/>
      <c r="AV96" s="79"/>
      <c r="AW96" s="75"/>
      <c r="AX96" s="75"/>
      <c r="AY96" s="75"/>
      <c r="AZ96" s="77"/>
      <c r="BA96" s="74"/>
      <c r="BB96" s="75"/>
      <c r="BC96" s="75"/>
      <c r="BD96" s="77"/>
      <c r="BE96" s="6">
        <f t="shared" si="23"/>
        <v>0</v>
      </c>
    </row>
    <row r="97" spans="1:57">
      <c r="A97" s="61"/>
      <c r="B97" s="40"/>
      <c r="C97" s="62">
        <f t="shared" si="15"/>
        <v>0</v>
      </c>
      <c r="D97" s="63">
        <f t="shared" si="16"/>
        <v>0</v>
      </c>
      <c r="E97" s="63">
        <f t="shared" si="17"/>
        <v>0</v>
      </c>
      <c r="F97" s="63">
        <f t="shared" si="18"/>
        <v>0</v>
      </c>
      <c r="G97" s="63">
        <f t="shared" si="20"/>
        <v>0</v>
      </c>
      <c r="H97" s="63">
        <f t="shared" si="19"/>
        <v>0</v>
      </c>
      <c r="I97" s="64">
        <f t="shared" si="21"/>
        <v>0</v>
      </c>
      <c r="J97" s="65"/>
      <c r="K97" s="65"/>
      <c r="L97" s="83"/>
      <c r="M97" s="67"/>
      <c r="N97" s="68"/>
      <c r="O97" s="62"/>
      <c r="P97" s="69"/>
      <c r="Q97" s="70"/>
      <c r="R97" s="50">
        <f t="shared" si="22"/>
        <v>0</v>
      </c>
      <c r="S97" s="71"/>
      <c r="T97" s="94"/>
      <c r="U97" s="72"/>
      <c r="V97" s="73"/>
      <c r="W97" s="74"/>
      <c r="X97" s="75"/>
      <c r="Y97" s="75"/>
      <c r="Z97" s="76"/>
      <c r="AA97" s="77"/>
      <c r="AB97" s="73"/>
      <c r="AC97" s="74"/>
      <c r="AD97" s="75"/>
      <c r="AE97" s="75"/>
      <c r="AF97" s="75"/>
      <c r="AG97" s="75"/>
      <c r="AH97" s="75"/>
      <c r="AI97" s="75"/>
      <c r="AJ97" s="78"/>
      <c r="AK97" s="79"/>
      <c r="AL97" s="75"/>
      <c r="AM97" s="75"/>
      <c r="AN97" s="75"/>
      <c r="AO97" s="75"/>
      <c r="AP97" s="75"/>
      <c r="AQ97" s="75"/>
      <c r="AR97" s="75"/>
      <c r="AS97" s="77"/>
      <c r="AT97" s="74"/>
      <c r="AU97" s="78"/>
      <c r="AV97" s="79"/>
      <c r="AW97" s="75"/>
      <c r="AX97" s="75"/>
      <c r="AY97" s="75"/>
      <c r="AZ97" s="77"/>
      <c r="BA97" s="74"/>
      <c r="BB97" s="75"/>
      <c r="BC97" s="75"/>
      <c r="BD97" s="77"/>
      <c r="BE97" s="6">
        <f t="shared" si="23"/>
        <v>0</v>
      </c>
    </row>
    <row r="98" spans="1:57">
      <c r="A98" s="61"/>
      <c r="B98" s="40"/>
      <c r="C98" s="62">
        <f t="shared" si="15"/>
        <v>0</v>
      </c>
      <c r="D98" s="63">
        <f t="shared" si="16"/>
        <v>0</v>
      </c>
      <c r="E98" s="63">
        <f t="shared" si="17"/>
        <v>0</v>
      </c>
      <c r="F98" s="63">
        <f t="shared" si="18"/>
        <v>0</v>
      </c>
      <c r="G98" s="63">
        <f t="shared" si="20"/>
        <v>0</v>
      </c>
      <c r="H98" s="63">
        <f t="shared" si="19"/>
        <v>0</v>
      </c>
      <c r="I98" s="64">
        <f t="shared" si="21"/>
        <v>0</v>
      </c>
      <c r="J98" s="65"/>
      <c r="K98" s="65"/>
      <c r="L98" s="83"/>
      <c r="M98" s="67"/>
      <c r="N98" s="68"/>
      <c r="O98" s="62"/>
      <c r="P98" s="69"/>
      <c r="Q98" s="70"/>
      <c r="R98" s="50">
        <f t="shared" si="22"/>
        <v>0</v>
      </c>
      <c r="S98" s="71"/>
      <c r="T98" s="94"/>
      <c r="U98" s="72"/>
      <c r="V98" s="73"/>
      <c r="W98" s="74"/>
      <c r="X98" s="75"/>
      <c r="Y98" s="75"/>
      <c r="Z98" s="76"/>
      <c r="AA98" s="77"/>
      <c r="AB98" s="73"/>
      <c r="AC98" s="74"/>
      <c r="AD98" s="75"/>
      <c r="AE98" s="75"/>
      <c r="AF98" s="75"/>
      <c r="AG98" s="75"/>
      <c r="AH98" s="75"/>
      <c r="AI98" s="75"/>
      <c r="AJ98" s="78"/>
      <c r="AK98" s="79"/>
      <c r="AL98" s="75"/>
      <c r="AM98" s="75"/>
      <c r="AN98" s="75"/>
      <c r="AO98" s="75"/>
      <c r="AP98" s="75"/>
      <c r="AQ98" s="75"/>
      <c r="AR98" s="75"/>
      <c r="AS98" s="77"/>
      <c r="AT98" s="74"/>
      <c r="AU98" s="78"/>
      <c r="AV98" s="79"/>
      <c r="AW98" s="75"/>
      <c r="AX98" s="75"/>
      <c r="AY98" s="75"/>
      <c r="AZ98" s="77"/>
      <c r="BA98" s="74"/>
      <c r="BB98" s="75"/>
      <c r="BC98" s="75"/>
      <c r="BD98" s="77"/>
      <c r="BE98" s="6">
        <f t="shared" si="23"/>
        <v>0</v>
      </c>
    </row>
    <row r="99" spans="1:57">
      <c r="A99" s="61"/>
      <c r="B99" s="40"/>
      <c r="C99" s="62">
        <f t="shared" si="15"/>
        <v>0</v>
      </c>
      <c r="D99" s="63">
        <f t="shared" si="16"/>
        <v>0</v>
      </c>
      <c r="E99" s="63">
        <f t="shared" si="17"/>
        <v>0</v>
      </c>
      <c r="F99" s="63">
        <f t="shared" si="18"/>
        <v>0</v>
      </c>
      <c r="G99" s="63">
        <f t="shared" si="20"/>
        <v>0</v>
      </c>
      <c r="H99" s="63">
        <f t="shared" si="19"/>
        <v>0</v>
      </c>
      <c r="I99" s="64">
        <f t="shared" si="21"/>
        <v>0</v>
      </c>
      <c r="J99" s="65"/>
      <c r="K99" s="65"/>
      <c r="L99" s="83"/>
      <c r="M99" s="108"/>
      <c r="N99" s="68"/>
      <c r="O99" s="62"/>
      <c r="P99" s="69"/>
      <c r="Q99" s="70"/>
      <c r="R99" s="50">
        <f t="shared" si="22"/>
        <v>0</v>
      </c>
      <c r="S99" s="71"/>
      <c r="T99" s="94"/>
      <c r="U99" s="72"/>
      <c r="V99" s="73"/>
      <c r="W99" s="74"/>
      <c r="X99" s="75"/>
      <c r="Y99" s="75"/>
      <c r="Z99" s="76"/>
      <c r="AA99" s="77"/>
      <c r="AB99" s="73"/>
      <c r="AC99" s="74"/>
      <c r="AD99" s="75"/>
      <c r="AE99" s="75"/>
      <c r="AF99" s="75"/>
      <c r="AG99" s="75"/>
      <c r="AH99" s="75"/>
      <c r="AI99" s="75"/>
      <c r="AJ99" s="78"/>
      <c r="AK99" s="79"/>
      <c r="AL99" s="75"/>
      <c r="AM99" s="75"/>
      <c r="AN99" s="75"/>
      <c r="AO99" s="75"/>
      <c r="AP99" s="75"/>
      <c r="AQ99" s="75"/>
      <c r="AR99" s="75"/>
      <c r="AS99" s="77"/>
      <c r="AT99" s="74"/>
      <c r="AU99" s="78"/>
      <c r="AV99" s="79"/>
      <c r="AW99" s="75"/>
      <c r="AX99" s="75"/>
      <c r="AY99" s="75"/>
      <c r="AZ99" s="77"/>
      <c r="BA99" s="74"/>
      <c r="BB99" s="75"/>
      <c r="BC99" s="75"/>
      <c r="BD99" s="77"/>
      <c r="BE99" s="6">
        <f t="shared" si="23"/>
        <v>0</v>
      </c>
    </row>
    <row r="100" spans="1:57">
      <c r="A100" s="61"/>
      <c r="B100" s="40"/>
      <c r="C100" s="62">
        <f t="shared" si="15"/>
        <v>0</v>
      </c>
      <c r="D100" s="63">
        <f t="shared" si="16"/>
        <v>0</v>
      </c>
      <c r="E100" s="63">
        <f t="shared" si="17"/>
        <v>0</v>
      </c>
      <c r="F100" s="63">
        <f t="shared" si="18"/>
        <v>0</v>
      </c>
      <c r="G100" s="63">
        <f t="shared" si="20"/>
        <v>0</v>
      </c>
      <c r="H100" s="63">
        <f t="shared" si="19"/>
        <v>0</v>
      </c>
      <c r="I100" s="64">
        <f t="shared" si="21"/>
        <v>0</v>
      </c>
      <c r="J100" s="65"/>
      <c r="K100" s="65"/>
      <c r="L100" s="83"/>
      <c r="M100" s="67"/>
      <c r="N100" s="68"/>
      <c r="O100" s="62"/>
      <c r="P100" s="69"/>
      <c r="Q100" s="70"/>
      <c r="R100" s="50">
        <f t="shared" si="22"/>
        <v>0</v>
      </c>
      <c r="S100" s="71"/>
      <c r="T100" s="94"/>
      <c r="U100" s="72"/>
      <c r="V100" s="73"/>
      <c r="W100" s="74"/>
      <c r="X100" s="75"/>
      <c r="Y100" s="75"/>
      <c r="Z100" s="76"/>
      <c r="AA100" s="77"/>
      <c r="AB100" s="73"/>
      <c r="AC100" s="74"/>
      <c r="AD100" s="75"/>
      <c r="AE100" s="75"/>
      <c r="AF100" s="75"/>
      <c r="AG100" s="75"/>
      <c r="AH100" s="75"/>
      <c r="AI100" s="75"/>
      <c r="AJ100" s="78"/>
      <c r="AK100" s="79"/>
      <c r="AL100" s="75"/>
      <c r="AM100" s="75"/>
      <c r="AN100" s="75"/>
      <c r="AO100" s="75"/>
      <c r="AP100" s="75"/>
      <c r="AQ100" s="75"/>
      <c r="AR100" s="75"/>
      <c r="AS100" s="77"/>
      <c r="AT100" s="74"/>
      <c r="AU100" s="78"/>
      <c r="AV100" s="79"/>
      <c r="AW100" s="75"/>
      <c r="AX100" s="75"/>
      <c r="AY100" s="75"/>
      <c r="AZ100" s="77"/>
      <c r="BA100" s="74"/>
      <c r="BB100" s="75"/>
      <c r="BC100" s="75"/>
      <c r="BD100" s="77"/>
      <c r="BE100" s="6">
        <f t="shared" si="23"/>
        <v>0</v>
      </c>
    </row>
    <row r="101" spans="1:57">
      <c r="A101" s="61"/>
      <c r="B101" s="40"/>
      <c r="C101" s="62">
        <f t="shared" ref="C101:C113" si="24">SUM(AB101:AJ101)</f>
        <v>0</v>
      </c>
      <c r="D101" s="63">
        <f t="shared" ref="D101:D113" si="25">SUM(AK101:AS101)</f>
        <v>0</v>
      </c>
      <c r="E101" s="63">
        <f t="shared" ref="E101:E113" si="26">SUM(AT101:AU101)</f>
        <v>0</v>
      </c>
      <c r="F101" s="63">
        <f t="shared" ref="F101:F113" si="27">SUM(AV101:AZ101)</f>
        <v>0</v>
      </c>
      <c r="G101" s="63">
        <f t="shared" si="20"/>
        <v>0</v>
      </c>
      <c r="H101" s="63">
        <f t="shared" ref="H101:H113" si="28">SUM(V101:AA101)</f>
        <v>0</v>
      </c>
      <c r="I101" s="64">
        <f t="shared" si="21"/>
        <v>0</v>
      </c>
      <c r="J101" s="65"/>
      <c r="K101" s="65"/>
      <c r="L101" s="83"/>
      <c r="M101" s="67"/>
      <c r="N101" s="68"/>
      <c r="O101" s="62"/>
      <c r="P101" s="69"/>
      <c r="Q101" s="70"/>
      <c r="R101" s="50">
        <f t="shared" si="22"/>
        <v>0</v>
      </c>
      <c r="S101" s="71"/>
      <c r="T101" s="94"/>
      <c r="U101" s="72"/>
      <c r="V101" s="73"/>
      <c r="W101" s="74"/>
      <c r="X101" s="75"/>
      <c r="Y101" s="75"/>
      <c r="Z101" s="76"/>
      <c r="AA101" s="77"/>
      <c r="AB101" s="73"/>
      <c r="AC101" s="74"/>
      <c r="AD101" s="75"/>
      <c r="AE101" s="75"/>
      <c r="AF101" s="75"/>
      <c r="AG101" s="75"/>
      <c r="AH101" s="75"/>
      <c r="AI101" s="75"/>
      <c r="AJ101" s="78"/>
      <c r="AK101" s="79"/>
      <c r="AL101" s="75"/>
      <c r="AM101" s="75"/>
      <c r="AN101" s="75"/>
      <c r="AO101" s="75"/>
      <c r="AP101" s="75"/>
      <c r="AQ101" s="75"/>
      <c r="AR101" s="75"/>
      <c r="AS101" s="77"/>
      <c r="AT101" s="74"/>
      <c r="AU101" s="78"/>
      <c r="AV101" s="79"/>
      <c r="AW101" s="75"/>
      <c r="AX101" s="75"/>
      <c r="AY101" s="75"/>
      <c r="AZ101" s="77"/>
      <c r="BA101" s="74"/>
      <c r="BB101" s="75"/>
      <c r="BC101" s="75"/>
      <c r="BD101" s="77"/>
      <c r="BE101" s="6">
        <f t="shared" si="23"/>
        <v>0</v>
      </c>
    </row>
    <row r="102" spans="1:57">
      <c r="A102" s="61"/>
      <c r="B102" s="40"/>
      <c r="C102" s="62">
        <f t="shared" si="24"/>
        <v>0</v>
      </c>
      <c r="D102" s="63">
        <f t="shared" si="25"/>
        <v>0</v>
      </c>
      <c r="E102" s="63">
        <f t="shared" si="26"/>
        <v>0</v>
      </c>
      <c r="F102" s="63">
        <f t="shared" si="27"/>
        <v>0</v>
      </c>
      <c r="G102" s="63">
        <f t="shared" si="20"/>
        <v>0</v>
      </c>
      <c r="H102" s="63">
        <f t="shared" si="28"/>
        <v>0</v>
      </c>
      <c r="I102" s="64">
        <f t="shared" si="21"/>
        <v>0</v>
      </c>
      <c r="J102" s="65"/>
      <c r="K102" s="65"/>
      <c r="L102" s="83"/>
      <c r="M102" s="67"/>
      <c r="N102" s="68"/>
      <c r="O102" s="62"/>
      <c r="P102" s="69"/>
      <c r="Q102" s="70"/>
      <c r="R102" s="50">
        <f t="shared" si="22"/>
        <v>0</v>
      </c>
      <c r="S102" s="71"/>
      <c r="T102" s="94"/>
      <c r="U102" s="72"/>
      <c r="V102" s="73"/>
      <c r="W102" s="74"/>
      <c r="X102" s="75"/>
      <c r="Y102" s="75"/>
      <c r="Z102" s="76"/>
      <c r="AA102" s="77"/>
      <c r="AB102" s="73"/>
      <c r="AC102" s="74"/>
      <c r="AD102" s="75"/>
      <c r="AE102" s="75"/>
      <c r="AF102" s="75"/>
      <c r="AG102" s="75"/>
      <c r="AH102" s="75"/>
      <c r="AI102" s="75"/>
      <c r="AJ102" s="78"/>
      <c r="AK102" s="79"/>
      <c r="AL102" s="75"/>
      <c r="AM102" s="75"/>
      <c r="AN102" s="75"/>
      <c r="AO102" s="75"/>
      <c r="AP102" s="75"/>
      <c r="AQ102" s="75"/>
      <c r="AR102" s="75"/>
      <c r="AS102" s="77"/>
      <c r="AT102" s="74"/>
      <c r="AU102" s="78"/>
      <c r="AV102" s="79"/>
      <c r="AW102" s="75"/>
      <c r="AX102" s="75"/>
      <c r="AY102" s="75"/>
      <c r="AZ102" s="77"/>
      <c r="BA102" s="74"/>
      <c r="BB102" s="75"/>
      <c r="BC102" s="75"/>
      <c r="BD102" s="77"/>
      <c r="BE102" s="6">
        <f t="shared" si="23"/>
        <v>0</v>
      </c>
    </row>
    <row r="103" spans="1:57">
      <c r="A103" s="61"/>
      <c r="B103" s="40"/>
      <c r="C103" s="62">
        <f t="shared" si="24"/>
        <v>0</v>
      </c>
      <c r="D103" s="63">
        <f t="shared" si="25"/>
        <v>0</v>
      </c>
      <c r="E103" s="63">
        <f t="shared" si="26"/>
        <v>0</v>
      </c>
      <c r="F103" s="63">
        <f t="shared" si="27"/>
        <v>0</v>
      </c>
      <c r="G103" s="63">
        <f t="shared" si="20"/>
        <v>0</v>
      </c>
      <c r="H103" s="63">
        <f t="shared" si="28"/>
        <v>0</v>
      </c>
      <c r="I103" s="64">
        <f t="shared" si="21"/>
        <v>0</v>
      </c>
      <c r="J103" s="65"/>
      <c r="K103" s="65"/>
      <c r="L103" s="83"/>
      <c r="M103" s="67"/>
      <c r="N103" s="68"/>
      <c r="O103" s="62"/>
      <c r="P103" s="69"/>
      <c r="Q103" s="70"/>
      <c r="R103" s="50">
        <f t="shared" si="22"/>
        <v>0</v>
      </c>
      <c r="S103" s="71"/>
      <c r="T103" s="94"/>
      <c r="U103" s="72"/>
      <c r="V103" s="73"/>
      <c r="W103" s="74"/>
      <c r="X103" s="75"/>
      <c r="Y103" s="74"/>
      <c r="Z103" s="73"/>
      <c r="AA103" s="77"/>
      <c r="AB103" s="73"/>
      <c r="AC103" s="74"/>
      <c r="AD103" s="75"/>
      <c r="AE103" s="75"/>
      <c r="AF103" s="75"/>
      <c r="AG103" s="75"/>
      <c r="AH103" s="75"/>
      <c r="AI103" s="75"/>
      <c r="AJ103" s="78"/>
      <c r="AK103" s="79"/>
      <c r="AL103" s="75"/>
      <c r="AM103" s="75"/>
      <c r="AN103" s="75"/>
      <c r="AO103" s="75"/>
      <c r="AP103" s="75"/>
      <c r="AQ103" s="75"/>
      <c r="AR103" s="75"/>
      <c r="AS103" s="77"/>
      <c r="AT103" s="74"/>
      <c r="AU103" s="78"/>
      <c r="AV103" s="79"/>
      <c r="AW103" s="75"/>
      <c r="AX103" s="75"/>
      <c r="AY103" s="75"/>
      <c r="AZ103" s="77"/>
      <c r="BA103" s="74"/>
      <c r="BB103" s="75"/>
      <c r="BC103" s="75"/>
      <c r="BD103" s="77"/>
      <c r="BE103" s="6">
        <f t="shared" si="23"/>
        <v>0</v>
      </c>
    </row>
    <row r="104" spans="1:57">
      <c r="A104" s="61"/>
      <c r="B104" s="40"/>
      <c r="C104" s="62">
        <f t="shared" si="24"/>
        <v>0</v>
      </c>
      <c r="D104" s="63">
        <f t="shared" si="25"/>
        <v>0</v>
      </c>
      <c r="E104" s="63">
        <f t="shared" si="26"/>
        <v>0</v>
      </c>
      <c r="F104" s="63">
        <f t="shared" si="27"/>
        <v>0</v>
      </c>
      <c r="G104" s="63">
        <f t="shared" si="20"/>
        <v>0</v>
      </c>
      <c r="H104" s="63">
        <f t="shared" si="28"/>
        <v>0</v>
      </c>
      <c r="I104" s="64">
        <f t="shared" si="21"/>
        <v>0</v>
      </c>
      <c r="J104" s="65"/>
      <c r="K104" s="65"/>
      <c r="L104" s="83"/>
      <c r="M104" s="67"/>
      <c r="N104" s="68"/>
      <c r="O104" s="62"/>
      <c r="P104" s="69"/>
      <c r="Q104" s="70"/>
      <c r="R104" s="50">
        <f t="shared" si="22"/>
        <v>0</v>
      </c>
      <c r="S104" s="71"/>
      <c r="T104" s="94"/>
      <c r="U104" s="72"/>
      <c r="V104" s="73"/>
      <c r="W104" s="74"/>
      <c r="X104" s="75"/>
      <c r="Y104" s="74"/>
      <c r="Z104" s="73"/>
      <c r="AA104" s="77"/>
      <c r="AB104" s="73"/>
      <c r="AC104" s="74"/>
      <c r="AD104" s="75"/>
      <c r="AE104" s="75"/>
      <c r="AF104" s="75"/>
      <c r="AG104" s="75"/>
      <c r="AH104" s="75"/>
      <c r="AI104" s="75"/>
      <c r="AJ104" s="78"/>
      <c r="AK104" s="79"/>
      <c r="AL104" s="75"/>
      <c r="AM104" s="75"/>
      <c r="AN104" s="75"/>
      <c r="AO104" s="75"/>
      <c r="AP104" s="75"/>
      <c r="AQ104" s="75"/>
      <c r="AR104" s="75"/>
      <c r="AS104" s="77"/>
      <c r="AT104" s="74"/>
      <c r="AU104" s="78"/>
      <c r="AV104" s="79"/>
      <c r="AW104" s="75"/>
      <c r="AX104" s="75"/>
      <c r="AY104" s="75"/>
      <c r="AZ104" s="77"/>
      <c r="BA104" s="74"/>
      <c r="BB104" s="75"/>
      <c r="BC104" s="75"/>
      <c r="BD104" s="77"/>
      <c r="BE104" s="6">
        <f t="shared" si="23"/>
        <v>0</v>
      </c>
    </row>
    <row r="105" spans="1:57">
      <c r="A105" s="61"/>
      <c r="B105" s="40"/>
      <c r="C105" s="62">
        <f t="shared" si="24"/>
        <v>0</v>
      </c>
      <c r="D105" s="63">
        <f t="shared" si="25"/>
        <v>0</v>
      </c>
      <c r="E105" s="63">
        <f t="shared" si="26"/>
        <v>0</v>
      </c>
      <c r="F105" s="63">
        <f t="shared" si="27"/>
        <v>0</v>
      </c>
      <c r="G105" s="63">
        <f t="shared" si="20"/>
        <v>0</v>
      </c>
      <c r="H105" s="63">
        <f t="shared" si="28"/>
        <v>0</v>
      </c>
      <c r="I105" s="64">
        <f t="shared" si="21"/>
        <v>0</v>
      </c>
      <c r="J105" s="65"/>
      <c r="K105" s="65"/>
      <c r="L105" s="83"/>
      <c r="M105" s="67"/>
      <c r="N105" s="68"/>
      <c r="O105" s="62"/>
      <c r="P105" s="69"/>
      <c r="Q105" s="70"/>
      <c r="R105" s="50">
        <f t="shared" si="22"/>
        <v>0</v>
      </c>
      <c r="S105" s="71"/>
      <c r="T105" s="94"/>
      <c r="U105" s="72"/>
      <c r="V105" s="73"/>
      <c r="W105" s="74"/>
      <c r="X105" s="75"/>
      <c r="Y105" s="74"/>
      <c r="Z105" s="73"/>
      <c r="AA105" s="77"/>
      <c r="AB105" s="73"/>
      <c r="AC105" s="74"/>
      <c r="AD105" s="75"/>
      <c r="AE105" s="75"/>
      <c r="AF105" s="75"/>
      <c r="AG105" s="75"/>
      <c r="AH105" s="75"/>
      <c r="AI105" s="75"/>
      <c r="AJ105" s="78"/>
      <c r="AK105" s="79"/>
      <c r="AL105" s="75"/>
      <c r="AM105" s="75"/>
      <c r="AN105" s="75"/>
      <c r="AO105" s="75"/>
      <c r="AP105" s="75"/>
      <c r="AQ105" s="75"/>
      <c r="AR105" s="75"/>
      <c r="AS105" s="77"/>
      <c r="AT105" s="74"/>
      <c r="AU105" s="78"/>
      <c r="AV105" s="79"/>
      <c r="AW105" s="75"/>
      <c r="AX105" s="75"/>
      <c r="AY105" s="75"/>
      <c r="AZ105" s="77"/>
      <c r="BA105" s="74"/>
      <c r="BB105" s="75"/>
      <c r="BC105" s="75"/>
      <c r="BD105" s="77"/>
      <c r="BE105" s="6">
        <f t="shared" si="23"/>
        <v>0</v>
      </c>
    </row>
    <row r="106" spans="1:57" ht="16.2" customHeight="1">
      <c r="A106" s="61"/>
      <c r="B106" s="40"/>
      <c r="C106" s="62">
        <f t="shared" si="24"/>
        <v>0</v>
      </c>
      <c r="D106" s="63">
        <f t="shared" si="25"/>
        <v>0</v>
      </c>
      <c r="E106" s="63">
        <f t="shared" si="26"/>
        <v>0</v>
      </c>
      <c r="F106" s="63">
        <f t="shared" si="27"/>
        <v>0</v>
      </c>
      <c r="G106" s="63">
        <f t="shared" si="20"/>
        <v>0</v>
      </c>
      <c r="H106" s="63">
        <f t="shared" si="28"/>
        <v>0</v>
      </c>
      <c r="I106" s="64">
        <f t="shared" si="21"/>
        <v>0</v>
      </c>
      <c r="J106" s="65"/>
      <c r="K106" s="65"/>
      <c r="L106" s="83"/>
      <c r="M106" s="67"/>
      <c r="N106" s="68"/>
      <c r="O106" s="62"/>
      <c r="P106" s="69"/>
      <c r="Q106" s="70"/>
      <c r="R106" s="50">
        <f t="shared" si="22"/>
        <v>0</v>
      </c>
      <c r="S106" s="71"/>
      <c r="T106" s="94"/>
      <c r="U106" s="72"/>
      <c r="V106" s="73"/>
      <c r="W106" s="74"/>
      <c r="X106" s="75"/>
      <c r="Y106" s="74"/>
      <c r="Z106" s="73"/>
      <c r="AA106" s="77"/>
      <c r="AB106" s="73"/>
      <c r="AC106" s="74"/>
      <c r="AD106" s="75"/>
      <c r="AE106" s="75"/>
      <c r="AF106" s="75"/>
      <c r="AG106" s="75"/>
      <c r="AH106" s="75"/>
      <c r="AI106" s="75"/>
      <c r="AJ106" s="78"/>
      <c r="AK106" s="79"/>
      <c r="AL106" s="75"/>
      <c r="AM106" s="75"/>
      <c r="AN106" s="75"/>
      <c r="AO106" s="75"/>
      <c r="AP106" s="75"/>
      <c r="AQ106" s="75"/>
      <c r="AR106" s="75"/>
      <c r="AS106" s="77"/>
      <c r="AT106" s="74"/>
      <c r="AU106" s="78"/>
      <c r="AV106" s="79"/>
      <c r="AW106" s="75"/>
      <c r="AX106" s="75"/>
      <c r="AY106" s="75"/>
      <c r="AZ106" s="77"/>
      <c r="BA106" s="74"/>
      <c r="BB106" s="75"/>
      <c r="BC106" s="75"/>
      <c r="BD106" s="77"/>
      <c r="BE106" s="6">
        <f t="shared" si="23"/>
        <v>0</v>
      </c>
    </row>
    <row r="107" spans="1:57">
      <c r="A107" s="61"/>
      <c r="B107" s="40"/>
      <c r="C107" s="62">
        <f t="shared" si="24"/>
        <v>0</v>
      </c>
      <c r="D107" s="63">
        <f t="shared" si="25"/>
        <v>0</v>
      </c>
      <c r="E107" s="63">
        <f t="shared" si="26"/>
        <v>0</v>
      </c>
      <c r="F107" s="63">
        <f t="shared" si="27"/>
        <v>0</v>
      </c>
      <c r="G107" s="63">
        <f t="shared" si="20"/>
        <v>0</v>
      </c>
      <c r="H107" s="63">
        <f t="shared" si="28"/>
        <v>0</v>
      </c>
      <c r="I107" s="64">
        <f t="shared" si="21"/>
        <v>0</v>
      </c>
      <c r="J107" s="65"/>
      <c r="K107" s="65"/>
      <c r="L107" s="83"/>
      <c r="M107" s="67"/>
      <c r="N107" s="68"/>
      <c r="O107" s="62"/>
      <c r="P107" s="69"/>
      <c r="Q107" s="70"/>
      <c r="R107" s="50">
        <f t="shared" si="22"/>
        <v>0</v>
      </c>
      <c r="S107" s="109"/>
      <c r="T107" s="94"/>
      <c r="U107" s="72"/>
      <c r="V107" s="73"/>
      <c r="W107" s="74"/>
      <c r="X107" s="75"/>
      <c r="Y107" s="75"/>
      <c r="Z107" s="76"/>
      <c r="AA107" s="77"/>
      <c r="AB107" s="73"/>
      <c r="AC107" s="74"/>
      <c r="AD107" s="75"/>
      <c r="AE107" s="75"/>
      <c r="AF107" s="75"/>
      <c r="AG107" s="75"/>
      <c r="AH107" s="75"/>
      <c r="AI107" s="75"/>
      <c r="AJ107" s="78"/>
      <c r="AK107" s="79"/>
      <c r="AL107" s="75"/>
      <c r="AM107" s="75"/>
      <c r="AN107" s="75"/>
      <c r="AO107" s="75"/>
      <c r="AP107" s="75"/>
      <c r="AQ107" s="75"/>
      <c r="AR107" s="75"/>
      <c r="AS107" s="77"/>
      <c r="AT107" s="74"/>
      <c r="AU107" s="78"/>
      <c r="AV107" s="79"/>
      <c r="AW107" s="75"/>
      <c r="AX107" s="75"/>
      <c r="AY107" s="75"/>
      <c r="AZ107" s="77"/>
      <c r="BA107" s="74"/>
      <c r="BB107" s="75"/>
      <c r="BC107" s="75"/>
      <c r="BD107" s="77"/>
      <c r="BE107" s="6">
        <f t="shared" si="23"/>
        <v>0</v>
      </c>
    </row>
    <row r="108" spans="1:57">
      <c r="A108" s="61"/>
      <c r="B108" s="40"/>
      <c r="C108" s="62">
        <f t="shared" si="24"/>
        <v>0</v>
      </c>
      <c r="D108" s="63">
        <f t="shared" si="25"/>
        <v>0</v>
      </c>
      <c r="E108" s="63">
        <f t="shared" si="26"/>
        <v>0</v>
      </c>
      <c r="F108" s="63">
        <f t="shared" si="27"/>
        <v>0</v>
      </c>
      <c r="G108" s="63">
        <f t="shared" si="20"/>
        <v>0</v>
      </c>
      <c r="H108" s="63">
        <f t="shared" si="28"/>
        <v>0</v>
      </c>
      <c r="I108" s="64">
        <f t="shared" si="21"/>
        <v>0</v>
      </c>
      <c r="J108" s="65"/>
      <c r="K108" s="65"/>
      <c r="L108" s="83"/>
      <c r="M108" s="67"/>
      <c r="N108" s="68"/>
      <c r="O108" s="62"/>
      <c r="P108" s="69"/>
      <c r="Q108" s="70"/>
      <c r="R108" s="50">
        <f t="shared" si="22"/>
        <v>0</v>
      </c>
      <c r="S108" s="71"/>
      <c r="T108" s="94"/>
      <c r="U108" s="72"/>
      <c r="V108" s="73"/>
      <c r="W108" s="74"/>
      <c r="X108" s="75"/>
      <c r="Y108" s="75"/>
      <c r="Z108" s="76"/>
      <c r="AA108" s="77"/>
      <c r="AB108" s="73"/>
      <c r="AC108" s="74"/>
      <c r="AD108" s="75"/>
      <c r="AE108" s="75"/>
      <c r="AF108" s="75"/>
      <c r="AG108" s="75"/>
      <c r="AH108" s="75"/>
      <c r="AI108" s="75"/>
      <c r="AJ108" s="78"/>
      <c r="AK108" s="79"/>
      <c r="AL108" s="75"/>
      <c r="AM108" s="75"/>
      <c r="AN108" s="75"/>
      <c r="AO108" s="75"/>
      <c r="AP108" s="75"/>
      <c r="AQ108" s="75"/>
      <c r="AR108" s="75"/>
      <c r="AS108" s="77"/>
      <c r="AT108" s="74"/>
      <c r="AU108" s="78"/>
      <c r="AV108" s="79"/>
      <c r="AW108" s="75"/>
      <c r="AX108" s="75"/>
      <c r="AY108" s="75"/>
      <c r="AZ108" s="77"/>
      <c r="BA108" s="74"/>
      <c r="BB108" s="75"/>
      <c r="BC108" s="75"/>
      <c r="BD108" s="77"/>
      <c r="BE108" s="6">
        <f t="shared" si="23"/>
        <v>0</v>
      </c>
    </row>
    <row r="109" spans="1:57">
      <c r="A109" s="61"/>
      <c r="B109" s="40"/>
      <c r="C109" s="62">
        <f t="shared" si="24"/>
        <v>0</v>
      </c>
      <c r="D109" s="63">
        <f t="shared" si="25"/>
        <v>0</v>
      </c>
      <c r="E109" s="63">
        <f t="shared" si="26"/>
        <v>0</v>
      </c>
      <c r="F109" s="63">
        <f t="shared" si="27"/>
        <v>0</v>
      </c>
      <c r="G109" s="63">
        <f t="shared" si="20"/>
        <v>0</v>
      </c>
      <c r="H109" s="63">
        <f t="shared" si="28"/>
        <v>0</v>
      </c>
      <c r="I109" s="64">
        <f t="shared" si="21"/>
        <v>0</v>
      </c>
      <c r="J109" s="65"/>
      <c r="K109" s="65"/>
      <c r="L109" s="83"/>
      <c r="M109" s="67"/>
      <c r="N109" s="68"/>
      <c r="O109" s="62"/>
      <c r="P109" s="69"/>
      <c r="Q109" s="70"/>
      <c r="R109" s="50">
        <f t="shared" si="22"/>
        <v>0</v>
      </c>
      <c r="S109" s="71"/>
      <c r="T109" s="94"/>
      <c r="U109" s="72"/>
      <c r="V109" s="73"/>
      <c r="W109" s="74"/>
      <c r="X109" s="75"/>
      <c r="Y109" s="75"/>
      <c r="Z109" s="76"/>
      <c r="AA109" s="77"/>
      <c r="AB109" s="73"/>
      <c r="AC109" s="74"/>
      <c r="AD109" s="75"/>
      <c r="AE109" s="75"/>
      <c r="AF109" s="75"/>
      <c r="AG109" s="75"/>
      <c r="AH109" s="75"/>
      <c r="AI109" s="75"/>
      <c r="AJ109" s="78"/>
      <c r="AK109" s="79"/>
      <c r="AL109" s="75"/>
      <c r="AM109" s="75"/>
      <c r="AN109" s="75"/>
      <c r="AO109" s="75"/>
      <c r="AP109" s="75"/>
      <c r="AQ109" s="75"/>
      <c r="AR109" s="75"/>
      <c r="AS109" s="77"/>
      <c r="AT109" s="74"/>
      <c r="AU109" s="78"/>
      <c r="AV109" s="79"/>
      <c r="AW109" s="75"/>
      <c r="AX109" s="75"/>
      <c r="AY109" s="75"/>
      <c r="AZ109" s="77"/>
      <c r="BA109" s="74"/>
      <c r="BB109" s="75"/>
      <c r="BC109" s="75"/>
      <c r="BD109" s="77"/>
      <c r="BE109" s="6">
        <f t="shared" si="23"/>
        <v>0</v>
      </c>
    </row>
    <row r="110" spans="1:57">
      <c r="A110" s="61"/>
      <c r="B110" s="40"/>
      <c r="C110" s="62">
        <f t="shared" si="24"/>
        <v>0</v>
      </c>
      <c r="D110" s="63">
        <f t="shared" si="25"/>
        <v>0</v>
      </c>
      <c r="E110" s="63">
        <f t="shared" si="26"/>
        <v>0</v>
      </c>
      <c r="F110" s="63">
        <f t="shared" si="27"/>
        <v>0</v>
      </c>
      <c r="G110" s="63">
        <f t="shared" si="20"/>
        <v>0</v>
      </c>
      <c r="H110" s="63">
        <f t="shared" si="28"/>
        <v>0</v>
      </c>
      <c r="I110" s="64">
        <f t="shared" si="21"/>
        <v>0</v>
      </c>
      <c r="J110" s="65"/>
      <c r="K110" s="65"/>
      <c r="L110" s="83"/>
      <c r="M110" s="67"/>
      <c r="N110" s="68"/>
      <c r="O110" s="62"/>
      <c r="P110" s="69"/>
      <c r="Q110" s="70"/>
      <c r="R110" s="50">
        <f t="shared" si="22"/>
        <v>0</v>
      </c>
      <c r="S110" s="71"/>
      <c r="T110" s="94"/>
      <c r="U110" s="72"/>
      <c r="V110" s="73"/>
      <c r="W110" s="74"/>
      <c r="X110" s="75"/>
      <c r="Y110" s="75"/>
      <c r="Z110" s="76"/>
      <c r="AA110" s="77"/>
      <c r="AB110" s="73"/>
      <c r="AC110" s="74"/>
      <c r="AD110" s="75"/>
      <c r="AE110" s="75"/>
      <c r="AF110" s="75"/>
      <c r="AG110" s="75"/>
      <c r="AH110" s="75"/>
      <c r="AI110" s="75"/>
      <c r="AJ110" s="78"/>
      <c r="AK110" s="79"/>
      <c r="AL110" s="75"/>
      <c r="AM110" s="75"/>
      <c r="AN110" s="75"/>
      <c r="AO110" s="75"/>
      <c r="AP110" s="75"/>
      <c r="AQ110" s="75"/>
      <c r="AR110" s="75"/>
      <c r="AS110" s="77"/>
      <c r="AT110" s="74"/>
      <c r="AU110" s="78"/>
      <c r="AV110" s="79"/>
      <c r="AW110" s="75"/>
      <c r="AX110" s="75"/>
      <c r="AY110" s="75"/>
      <c r="AZ110" s="77"/>
      <c r="BA110" s="74"/>
      <c r="BB110" s="75"/>
      <c r="BC110" s="75"/>
      <c r="BD110" s="77"/>
      <c r="BE110" s="6">
        <f t="shared" si="23"/>
        <v>0</v>
      </c>
    </row>
    <row r="111" spans="1:57">
      <c r="A111" s="61"/>
      <c r="B111" s="40"/>
      <c r="C111" s="62">
        <f t="shared" si="24"/>
        <v>0</v>
      </c>
      <c r="D111" s="63">
        <f t="shared" si="25"/>
        <v>0</v>
      </c>
      <c r="E111" s="63">
        <f t="shared" si="26"/>
        <v>0</v>
      </c>
      <c r="F111" s="63">
        <f t="shared" si="27"/>
        <v>0</v>
      </c>
      <c r="G111" s="63">
        <f t="shared" si="20"/>
        <v>0</v>
      </c>
      <c r="H111" s="63">
        <f t="shared" si="28"/>
        <v>0</v>
      </c>
      <c r="I111" s="64">
        <f t="shared" si="21"/>
        <v>0</v>
      </c>
      <c r="J111" s="65"/>
      <c r="K111" s="65"/>
      <c r="L111" s="83"/>
      <c r="M111" s="67"/>
      <c r="N111" s="68"/>
      <c r="O111" s="62"/>
      <c r="P111" s="69"/>
      <c r="Q111" s="70"/>
      <c r="R111" s="50">
        <f t="shared" si="22"/>
        <v>0</v>
      </c>
      <c r="S111" s="71"/>
      <c r="T111" s="94"/>
      <c r="U111" s="72"/>
      <c r="V111" s="73"/>
      <c r="W111" s="74"/>
      <c r="X111" s="75"/>
      <c r="Y111" s="75"/>
      <c r="Z111" s="76"/>
      <c r="AA111" s="77"/>
      <c r="AB111" s="106"/>
      <c r="AC111" s="106"/>
      <c r="AD111" s="75"/>
      <c r="AE111" s="75"/>
      <c r="AF111" s="75"/>
      <c r="AG111" s="75"/>
      <c r="AH111" s="75"/>
      <c r="AI111" s="75"/>
      <c r="AJ111" s="78"/>
      <c r="AK111" s="79"/>
      <c r="AL111" s="75"/>
      <c r="AM111" s="75"/>
      <c r="AN111" s="75"/>
      <c r="AO111" s="75"/>
      <c r="AP111" s="75"/>
      <c r="AQ111" s="75"/>
      <c r="AR111" s="75"/>
      <c r="AS111" s="77"/>
      <c r="AT111" s="74"/>
      <c r="AU111" s="78"/>
      <c r="AV111" s="79"/>
      <c r="AW111" s="75"/>
      <c r="AX111" s="75"/>
      <c r="AY111" s="75"/>
      <c r="AZ111" s="77"/>
      <c r="BA111" s="74"/>
      <c r="BB111" s="75"/>
      <c r="BC111" s="75"/>
      <c r="BD111" s="77"/>
      <c r="BE111" s="6">
        <f t="shared" ref="BE111:BE114" si="29">I111-SUM(AB111:BD111)</f>
        <v>0</v>
      </c>
    </row>
    <row r="112" spans="1:57" ht="16.2" customHeight="1">
      <c r="A112" s="61"/>
      <c r="B112" s="40"/>
      <c r="C112" s="62">
        <f t="shared" si="24"/>
        <v>0</v>
      </c>
      <c r="D112" s="63">
        <f t="shared" si="25"/>
        <v>0</v>
      </c>
      <c r="E112" s="63">
        <f t="shared" si="26"/>
        <v>0</v>
      </c>
      <c r="F112" s="63">
        <f t="shared" si="27"/>
        <v>0</v>
      </c>
      <c r="G112" s="63">
        <f t="shared" si="20"/>
        <v>0</v>
      </c>
      <c r="H112" s="63">
        <f t="shared" si="28"/>
        <v>0</v>
      </c>
      <c r="I112" s="64">
        <f t="shared" si="21"/>
        <v>0</v>
      </c>
      <c r="J112" s="65"/>
      <c r="K112" s="65"/>
      <c r="L112" s="83"/>
      <c r="M112" s="67"/>
      <c r="N112" s="68"/>
      <c r="O112" s="62"/>
      <c r="P112" s="69"/>
      <c r="Q112" s="70"/>
      <c r="R112" s="50">
        <f t="shared" si="22"/>
        <v>0</v>
      </c>
      <c r="S112" s="71"/>
      <c r="T112" s="94"/>
      <c r="U112" s="72"/>
      <c r="V112" s="73"/>
      <c r="W112" s="74"/>
      <c r="X112" s="75"/>
      <c r="Y112" s="75"/>
      <c r="Z112" s="76"/>
      <c r="AA112" s="77"/>
      <c r="AB112" s="73"/>
      <c r="AC112" s="74"/>
      <c r="AD112" s="75"/>
      <c r="AE112" s="75"/>
      <c r="AF112" s="75"/>
      <c r="AG112" s="75"/>
      <c r="AH112" s="75"/>
      <c r="AI112" s="75"/>
      <c r="AJ112" s="78"/>
      <c r="AK112" s="79"/>
      <c r="AL112" s="75"/>
      <c r="AM112" s="75"/>
      <c r="AN112" s="75"/>
      <c r="AO112" s="75"/>
      <c r="AP112" s="75"/>
      <c r="AQ112" s="75"/>
      <c r="AR112" s="75"/>
      <c r="AS112" s="77"/>
      <c r="AT112" s="74"/>
      <c r="AU112" s="78"/>
      <c r="AV112" s="79"/>
      <c r="AW112" s="75"/>
      <c r="AX112" s="75"/>
      <c r="AY112" s="75"/>
      <c r="AZ112" s="77"/>
      <c r="BA112" s="74"/>
      <c r="BB112" s="75"/>
      <c r="BC112" s="75"/>
      <c r="BD112" s="77"/>
      <c r="BE112" s="6">
        <f t="shared" si="29"/>
        <v>0</v>
      </c>
    </row>
    <row r="113" spans="1:57">
      <c r="A113" s="61"/>
      <c r="B113" s="40"/>
      <c r="C113" s="62">
        <f t="shared" si="24"/>
        <v>0</v>
      </c>
      <c r="D113" s="63">
        <f t="shared" si="25"/>
        <v>0</v>
      </c>
      <c r="E113" s="63">
        <f t="shared" si="26"/>
        <v>0</v>
      </c>
      <c r="F113" s="63">
        <f t="shared" si="27"/>
        <v>0</v>
      </c>
      <c r="G113" s="63">
        <f t="shared" si="20"/>
        <v>0</v>
      </c>
      <c r="H113" s="63">
        <f t="shared" si="28"/>
        <v>0</v>
      </c>
      <c r="I113" s="64">
        <f t="shared" si="21"/>
        <v>0</v>
      </c>
      <c r="J113" s="65"/>
      <c r="K113" s="65"/>
      <c r="L113" s="83"/>
      <c r="M113" s="67"/>
      <c r="N113" s="68"/>
      <c r="O113" s="62"/>
      <c r="P113" s="69"/>
      <c r="Q113" s="70"/>
      <c r="R113" s="50">
        <f t="shared" si="22"/>
        <v>0</v>
      </c>
      <c r="S113" s="71"/>
      <c r="T113" s="94"/>
      <c r="U113" s="72"/>
      <c r="V113" s="73"/>
      <c r="W113" s="74"/>
      <c r="X113" s="75"/>
      <c r="Y113" s="75"/>
      <c r="Z113" s="76"/>
      <c r="AA113" s="77"/>
      <c r="AB113" s="73"/>
      <c r="AC113" s="74"/>
      <c r="AD113" s="75"/>
      <c r="AE113" s="75"/>
      <c r="AF113" s="75"/>
      <c r="AG113" s="75"/>
      <c r="AH113" s="75"/>
      <c r="AI113" s="75"/>
      <c r="AJ113" s="78"/>
      <c r="AK113" s="79"/>
      <c r="AL113" s="75"/>
      <c r="AM113" s="75"/>
      <c r="AN113" s="75"/>
      <c r="AO113" s="75"/>
      <c r="AP113" s="75"/>
      <c r="AQ113" s="75"/>
      <c r="AR113" s="75"/>
      <c r="AS113" s="77"/>
      <c r="AT113" s="74"/>
      <c r="AU113" s="78"/>
      <c r="AV113" s="79"/>
      <c r="AW113" s="75"/>
      <c r="AX113" s="75"/>
      <c r="AY113" s="75"/>
      <c r="AZ113" s="77"/>
      <c r="BA113" s="74"/>
      <c r="BB113" s="75"/>
      <c r="BC113" s="75"/>
      <c r="BD113" s="77"/>
      <c r="BE113" s="6">
        <f t="shared" si="29"/>
        <v>0</v>
      </c>
    </row>
    <row r="114" spans="1:57" s="3" customFormat="1" ht="31.2" customHeight="1">
      <c r="A114" s="554" t="s">
        <v>97</v>
      </c>
      <c r="B114" s="555"/>
      <c r="C114" s="110">
        <f>SUM(C5:C113)</f>
        <v>0</v>
      </c>
      <c r="D114" s="110">
        <f t="shared" ref="D114:J114" si="30">SUM(D5:D113)</f>
        <v>0</v>
      </c>
      <c r="E114" s="110">
        <f t="shared" si="30"/>
        <v>0</v>
      </c>
      <c r="F114" s="110">
        <f t="shared" si="30"/>
        <v>0</v>
      </c>
      <c r="G114" s="110">
        <f t="shared" si="30"/>
        <v>0</v>
      </c>
      <c r="H114" s="110">
        <f t="shared" si="30"/>
        <v>0</v>
      </c>
      <c r="I114" s="110">
        <f t="shared" si="30"/>
        <v>0</v>
      </c>
      <c r="J114" s="110">
        <f t="shared" si="30"/>
        <v>0</v>
      </c>
      <c r="K114" s="110">
        <f t="shared" ref="K114:N114" si="31">SUM(K5:K113)</f>
        <v>0</v>
      </c>
      <c r="L114" s="110">
        <f t="shared" si="31"/>
        <v>0</v>
      </c>
      <c r="M114" s="110">
        <f t="shared" si="31"/>
        <v>0</v>
      </c>
      <c r="N114" s="110">
        <f t="shared" si="31"/>
        <v>0</v>
      </c>
      <c r="O114" s="110"/>
      <c r="P114" s="111">
        <f>SUM(P5:P113)</f>
        <v>0</v>
      </c>
      <c r="Q114" s="110">
        <f>SUM(Q5:Q113)</f>
        <v>0</v>
      </c>
      <c r="R114" s="112">
        <f>R4+N114+P114+Q114-M114-L114-K114-J114-I114</f>
        <v>0</v>
      </c>
      <c r="S114" s="110"/>
      <c r="T114" s="111"/>
      <c r="U114" s="111"/>
      <c r="V114" s="113">
        <f>SUM(V5:V113)</f>
        <v>0</v>
      </c>
      <c r="W114" s="113">
        <f>SUM(W5:W113)</f>
        <v>0</v>
      </c>
      <c r="X114" s="113">
        <f>SUM(X5:X113)</f>
        <v>0</v>
      </c>
      <c r="Y114" s="113">
        <f t="shared" ref="Y114:AD114" si="32">SUM(Y5:Y113)</f>
        <v>0</v>
      </c>
      <c r="Z114" s="113">
        <f t="shared" si="32"/>
        <v>0</v>
      </c>
      <c r="AA114" s="113">
        <f t="shared" si="32"/>
        <v>0</v>
      </c>
      <c r="AB114" s="114">
        <f t="shared" si="32"/>
        <v>0</v>
      </c>
      <c r="AC114" s="114">
        <f t="shared" si="32"/>
        <v>0</v>
      </c>
      <c r="AD114" s="114">
        <f t="shared" si="32"/>
        <v>0</v>
      </c>
      <c r="AE114" s="114">
        <f t="shared" ref="AE114:BD114" si="33">SUM(AE5:AE113)</f>
        <v>0</v>
      </c>
      <c r="AF114" s="114">
        <f t="shared" si="33"/>
        <v>0</v>
      </c>
      <c r="AG114" s="114">
        <f t="shared" si="33"/>
        <v>0</v>
      </c>
      <c r="AH114" s="114">
        <f t="shared" si="33"/>
        <v>0</v>
      </c>
      <c r="AI114" s="114">
        <f t="shared" si="33"/>
        <v>0</v>
      </c>
      <c r="AJ114" s="114">
        <f t="shared" si="33"/>
        <v>0</v>
      </c>
      <c r="AK114" s="114">
        <f t="shared" si="33"/>
        <v>0</v>
      </c>
      <c r="AL114" s="114">
        <f t="shared" si="33"/>
        <v>0</v>
      </c>
      <c r="AM114" s="114">
        <f t="shared" si="33"/>
        <v>0</v>
      </c>
      <c r="AN114" s="114">
        <f t="shared" si="33"/>
        <v>0</v>
      </c>
      <c r="AO114" s="114">
        <f t="shared" si="33"/>
        <v>0</v>
      </c>
      <c r="AP114" s="114">
        <f t="shared" si="33"/>
        <v>0</v>
      </c>
      <c r="AQ114" s="114">
        <f t="shared" si="33"/>
        <v>0</v>
      </c>
      <c r="AR114" s="114">
        <f t="shared" si="33"/>
        <v>0</v>
      </c>
      <c r="AS114" s="114">
        <f t="shared" si="33"/>
        <v>0</v>
      </c>
      <c r="AT114" s="114">
        <f t="shared" si="33"/>
        <v>0</v>
      </c>
      <c r="AU114" s="114">
        <f t="shared" si="33"/>
        <v>0</v>
      </c>
      <c r="AV114" s="114">
        <f t="shared" si="33"/>
        <v>0</v>
      </c>
      <c r="AW114" s="114">
        <f t="shared" si="33"/>
        <v>0</v>
      </c>
      <c r="AX114" s="114">
        <f t="shared" si="33"/>
        <v>0</v>
      </c>
      <c r="AY114" s="114">
        <f t="shared" si="33"/>
        <v>0</v>
      </c>
      <c r="AZ114" s="114">
        <f t="shared" si="33"/>
        <v>0</v>
      </c>
      <c r="BA114" s="114">
        <f t="shared" si="33"/>
        <v>0</v>
      </c>
      <c r="BB114" s="114">
        <f t="shared" si="33"/>
        <v>0</v>
      </c>
      <c r="BC114" s="114">
        <f t="shared" si="33"/>
        <v>0</v>
      </c>
      <c r="BD114" s="115">
        <f t="shared" si="33"/>
        <v>0</v>
      </c>
      <c r="BE114" s="6">
        <f t="shared" si="29"/>
        <v>0</v>
      </c>
    </row>
    <row r="115" spans="1:57" s="3" customFormat="1" ht="22.95" customHeight="1">
      <c r="A115" s="116" t="s">
        <v>118</v>
      </c>
      <c r="B115" s="117"/>
      <c r="C115" s="118"/>
      <c r="D115" s="119"/>
      <c r="E115" s="119"/>
      <c r="F115" s="119"/>
      <c r="G115" s="119"/>
      <c r="H115" s="119"/>
      <c r="I115" s="120">
        <f t="shared" ref="I115:I120" si="34">SUM(C115:H115)</f>
        <v>0</v>
      </c>
      <c r="J115" s="121"/>
      <c r="K115" s="121"/>
      <c r="L115" s="122"/>
      <c r="M115" s="123"/>
      <c r="N115" s="124"/>
      <c r="O115" s="118"/>
      <c r="P115" s="125"/>
      <c r="Q115" s="126"/>
      <c r="R115" s="50">
        <f t="shared" ref="R115:R122" si="35">R114+SUM(N115:Q115)-SUM(I115:M115)</f>
        <v>0</v>
      </c>
      <c r="S115" s="127"/>
      <c r="T115" s="128"/>
      <c r="U115" s="129"/>
      <c r="V115" s="130"/>
      <c r="W115" s="131"/>
      <c r="X115" s="132"/>
      <c r="Y115" s="132"/>
      <c r="Z115" s="133"/>
      <c r="AA115" s="134"/>
      <c r="AB115" s="130"/>
      <c r="AC115" s="131"/>
      <c r="AD115" s="132"/>
      <c r="AE115" s="132"/>
      <c r="AF115" s="132"/>
      <c r="AG115" s="132"/>
      <c r="AH115" s="132"/>
      <c r="AI115" s="132"/>
      <c r="AJ115" s="135"/>
      <c r="AK115" s="130"/>
      <c r="AL115" s="132"/>
      <c r="AM115" s="132"/>
      <c r="AN115" s="132"/>
      <c r="AO115" s="132"/>
      <c r="AP115" s="132"/>
      <c r="AQ115" s="132"/>
      <c r="AR115" s="132"/>
      <c r="AS115" s="135"/>
      <c r="AT115" s="130"/>
      <c r="AU115" s="135"/>
      <c r="AV115" s="130"/>
      <c r="AW115" s="132"/>
      <c r="AX115" s="132"/>
      <c r="AY115" s="132"/>
      <c r="AZ115" s="135"/>
      <c r="BA115" s="130"/>
      <c r="BB115" s="132"/>
      <c r="BC115" s="132"/>
      <c r="BD115" s="134"/>
      <c r="BE115" s="6"/>
    </row>
    <row r="116" spans="1:57" ht="15" customHeight="1">
      <c r="A116" s="136"/>
      <c r="B116" s="40"/>
      <c r="C116" s="62">
        <f>SUM(AB116:AJ116)</f>
        <v>0</v>
      </c>
      <c r="D116" s="63">
        <f>SUM(AK116:AS116)</f>
        <v>0</v>
      </c>
      <c r="E116" s="63">
        <f>SUM(AT116:AU116)</f>
        <v>0</v>
      </c>
      <c r="F116" s="63">
        <f>SUM(AV116:AZ116)</f>
        <v>0</v>
      </c>
      <c r="G116" s="63">
        <f t="shared" ref="G116:G118" si="36">SUM(BA116:BD116)</f>
        <v>0</v>
      </c>
      <c r="H116" s="63">
        <f>SUM(V116:AA116)</f>
        <v>0</v>
      </c>
      <c r="I116" s="64">
        <f t="shared" si="34"/>
        <v>0</v>
      </c>
      <c r="J116" s="65"/>
      <c r="K116" s="137"/>
      <c r="L116" s="83"/>
      <c r="M116" s="67"/>
      <c r="N116" s="68"/>
      <c r="O116" s="62"/>
      <c r="P116" s="69"/>
      <c r="Q116" s="70"/>
      <c r="R116" s="50">
        <f t="shared" si="35"/>
        <v>0</v>
      </c>
      <c r="S116" s="138"/>
      <c r="T116" s="69"/>
      <c r="U116" s="72"/>
      <c r="V116" s="139"/>
      <c r="W116" s="140"/>
      <c r="X116" s="141"/>
      <c r="Y116" s="141"/>
      <c r="Z116" s="142"/>
      <c r="AA116" s="143"/>
      <c r="AB116" s="139"/>
      <c r="AC116" s="140"/>
      <c r="AD116" s="141"/>
      <c r="AE116" s="141"/>
      <c r="AF116" s="141"/>
      <c r="AG116" s="141"/>
      <c r="AH116" s="141"/>
      <c r="AI116" s="141"/>
      <c r="AJ116" s="144"/>
      <c r="AK116" s="139"/>
      <c r="AL116" s="141"/>
      <c r="AM116" s="141"/>
      <c r="AN116" s="141"/>
      <c r="AO116" s="141"/>
      <c r="AP116" s="141"/>
      <c r="AQ116" s="141"/>
      <c r="AR116" s="141"/>
      <c r="AS116" s="144"/>
      <c r="AT116" s="139"/>
      <c r="AU116" s="144"/>
      <c r="AV116" s="139"/>
      <c r="AW116" s="141"/>
      <c r="AX116" s="141"/>
      <c r="AY116" s="141"/>
      <c r="AZ116" s="144"/>
      <c r="BA116" s="139"/>
      <c r="BB116" s="141"/>
      <c r="BC116" s="141"/>
      <c r="BD116" s="143"/>
      <c r="BE116" s="6">
        <f>I116-SUM(AB116:BD116)</f>
        <v>0</v>
      </c>
    </row>
    <row r="117" spans="1:57" ht="15" customHeight="1">
      <c r="A117" s="136"/>
      <c r="B117" s="40"/>
      <c r="C117" s="62">
        <f>SUM(AB117:AJ117)</f>
        <v>0</v>
      </c>
      <c r="D117" s="63">
        <f>SUM(AK117:AS117)</f>
        <v>0</v>
      </c>
      <c r="E117" s="63">
        <f>SUM(AT117:AU117)</f>
        <v>0</v>
      </c>
      <c r="F117" s="63">
        <f>SUM(AV117:AZ117)</f>
        <v>0</v>
      </c>
      <c r="G117" s="63">
        <f t="shared" si="36"/>
        <v>0</v>
      </c>
      <c r="H117" s="63">
        <f>SUM(V117:AA117)</f>
        <v>0</v>
      </c>
      <c r="I117" s="64">
        <f t="shared" si="34"/>
        <v>0</v>
      </c>
      <c r="J117" s="65"/>
      <c r="K117" s="137"/>
      <c r="L117" s="83"/>
      <c r="M117" s="67"/>
      <c r="N117" s="68"/>
      <c r="O117" s="62"/>
      <c r="P117" s="69"/>
      <c r="Q117" s="70"/>
      <c r="R117" s="50">
        <f t="shared" si="35"/>
        <v>0</v>
      </c>
      <c r="S117" s="138"/>
      <c r="T117" s="69"/>
      <c r="U117" s="145"/>
      <c r="V117" s="139"/>
      <c r="W117" s="140"/>
      <c r="X117" s="141"/>
      <c r="Y117" s="141"/>
      <c r="Z117" s="142"/>
      <c r="AA117" s="143"/>
      <c r="AB117" s="106"/>
      <c r="AC117" s="106"/>
      <c r="AD117" s="141"/>
      <c r="AE117" s="141"/>
      <c r="AF117" s="141"/>
      <c r="AG117" s="141"/>
      <c r="AH117" s="141"/>
      <c r="AI117" s="141"/>
      <c r="AJ117" s="144"/>
      <c r="AK117" s="139"/>
      <c r="AL117" s="141"/>
      <c r="AM117" s="141"/>
      <c r="AN117" s="141"/>
      <c r="AO117" s="141"/>
      <c r="AP117" s="141"/>
      <c r="AQ117" s="141"/>
      <c r="AR117" s="141"/>
      <c r="AS117" s="144"/>
      <c r="AT117" s="139"/>
      <c r="AU117" s="144"/>
      <c r="AV117" s="139"/>
      <c r="AW117" s="141"/>
      <c r="AX117" s="141"/>
      <c r="AY117" s="141"/>
      <c r="AZ117" s="144"/>
      <c r="BA117" s="139"/>
      <c r="BB117" s="141"/>
      <c r="BC117" s="141"/>
      <c r="BD117" s="143"/>
      <c r="BE117" s="6">
        <f>I117-SUM(AB117:BD117)</f>
        <v>0</v>
      </c>
    </row>
    <row r="118" spans="1:57" ht="15" customHeight="1">
      <c r="A118" s="136"/>
      <c r="B118" s="40"/>
      <c r="C118" s="62">
        <f>SUM(AB118:AJ118)</f>
        <v>0</v>
      </c>
      <c r="D118" s="63">
        <f>SUM(AK118:AS118)</f>
        <v>0</v>
      </c>
      <c r="E118" s="63">
        <f>SUM(AT118:AU118)</f>
        <v>0</v>
      </c>
      <c r="F118" s="63">
        <f>SUM(AV118:AZ118)</f>
        <v>0</v>
      </c>
      <c r="G118" s="63">
        <f t="shared" si="36"/>
        <v>0</v>
      </c>
      <c r="H118" s="63">
        <f>SUM(V118:AA118)</f>
        <v>0</v>
      </c>
      <c r="I118" s="64">
        <f t="shared" si="34"/>
        <v>0</v>
      </c>
      <c r="J118" s="65"/>
      <c r="K118" s="137"/>
      <c r="L118" s="83"/>
      <c r="M118" s="67"/>
      <c r="N118" s="68"/>
      <c r="O118" s="62"/>
      <c r="P118" s="69"/>
      <c r="Q118" s="70"/>
      <c r="R118" s="50">
        <f t="shared" si="35"/>
        <v>0</v>
      </c>
      <c r="S118" s="138"/>
      <c r="T118" s="69"/>
      <c r="U118" s="145"/>
      <c r="V118" s="139"/>
      <c r="W118" s="140"/>
      <c r="X118" s="141"/>
      <c r="Y118" s="141"/>
      <c r="Z118" s="142"/>
      <c r="AA118" s="143"/>
      <c r="AB118" s="139"/>
      <c r="AC118" s="140"/>
      <c r="AD118" s="141"/>
      <c r="AE118" s="141"/>
      <c r="AF118" s="141"/>
      <c r="AG118" s="141"/>
      <c r="AH118" s="141"/>
      <c r="AI118" s="141"/>
      <c r="AJ118" s="144"/>
      <c r="AK118" s="139"/>
      <c r="AL118" s="141"/>
      <c r="AM118" s="141"/>
      <c r="AN118" s="141"/>
      <c r="AO118" s="141"/>
      <c r="AP118" s="141"/>
      <c r="AQ118" s="141"/>
      <c r="AR118" s="141"/>
      <c r="AS118" s="144"/>
      <c r="AT118" s="139"/>
      <c r="AU118" s="144"/>
      <c r="AV118" s="139"/>
      <c r="AW118" s="141"/>
      <c r="AX118" s="141"/>
      <c r="AY118" s="141"/>
      <c r="AZ118" s="144"/>
      <c r="BA118" s="139"/>
      <c r="BB118" s="141"/>
      <c r="BC118" s="141"/>
      <c r="BD118" s="143"/>
      <c r="BE118" s="6">
        <f>I118-SUM(AB118:BD118)</f>
        <v>0</v>
      </c>
    </row>
    <row r="119" spans="1:57" ht="15" customHeight="1">
      <c r="A119" s="136"/>
      <c r="B119" s="40"/>
      <c r="C119" s="62"/>
      <c r="D119" s="63"/>
      <c r="E119" s="63"/>
      <c r="F119" s="63"/>
      <c r="G119" s="63"/>
      <c r="H119" s="63"/>
      <c r="I119" s="64"/>
      <c r="J119" s="65"/>
      <c r="K119" s="137"/>
      <c r="L119" s="83"/>
      <c r="M119" s="67"/>
      <c r="N119" s="68"/>
      <c r="O119" s="62"/>
      <c r="P119" s="69"/>
      <c r="Q119" s="70"/>
      <c r="R119" s="50">
        <f t="shared" si="35"/>
        <v>0</v>
      </c>
      <c r="S119" s="138"/>
      <c r="T119" s="69"/>
      <c r="U119" s="72"/>
      <c r="V119" s="139"/>
      <c r="W119" s="140"/>
      <c r="X119" s="141"/>
      <c r="Y119" s="141"/>
      <c r="Z119" s="142"/>
      <c r="AA119" s="143"/>
      <c r="AB119" s="139"/>
      <c r="AC119" s="140"/>
      <c r="AD119" s="141"/>
      <c r="AE119" s="141"/>
      <c r="AF119" s="141"/>
      <c r="AG119" s="141"/>
      <c r="AH119" s="141"/>
      <c r="AI119" s="141"/>
      <c r="AJ119" s="144"/>
      <c r="AK119" s="139"/>
      <c r="AL119" s="141"/>
      <c r="AM119" s="141"/>
      <c r="AN119" s="141"/>
      <c r="AO119" s="141"/>
      <c r="AP119" s="141"/>
      <c r="AQ119" s="141"/>
      <c r="AR119" s="141"/>
      <c r="AS119" s="144"/>
      <c r="AT119" s="139"/>
      <c r="AU119" s="144"/>
      <c r="AV119" s="139"/>
      <c r="AW119" s="141"/>
      <c r="AX119" s="141"/>
      <c r="AY119" s="141"/>
      <c r="AZ119" s="144"/>
      <c r="BA119" s="139"/>
      <c r="BB119" s="141"/>
      <c r="BC119" s="141"/>
      <c r="BD119" s="143"/>
    </row>
    <row r="120" spans="1:57" ht="15" customHeight="1">
      <c r="A120" s="136"/>
      <c r="B120" s="40"/>
      <c r="C120" s="62">
        <f>SUM(AB120:AJ120)</f>
        <v>0</v>
      </c>
      <c r="D120" s="63">
        <f>SUM(AK120:AS120)</f>
        <v>0</v>
      </c>
      <c r="E120" s="63">
        <f>SUM(AT120:AU120)</f>
        <v>0</v>
      </c>
      <c r="F120" s="63">
        <f>SUM(AV120:AZ120)</f>
        <v>0</v>
      </c>
      <c r="G120" s="63">
        <f>SUM(BA120:BD120)</f>
        <v>0</v>
      </c>
      <c r="H120" s="63">
        <f>SUM(V120:AA120)</f>
        <v>0</v>
      </c>
      <c r="I120" s="64">
        <f t="shared" si="34"/>
        <v>0</v>
      </c>
      <c r="J120" s="65"/>
      <c r="K120" s="137"/>
      <c r="L120" s="83"/>
      <c r="M120" s="67"/>
      <c r="N120" s="68"/>
      <c r="O120" s="62"/>
      <c r="P120" s="69"/>
      <c r="Q120" s="70"/>
      <c r="R120" s="50">
        <f t="shared" si="35"/>
        <v>0</v>
      </c>
      <c r="S120" s="138"/>
      <c r="T120" s="69"/>
      <c r="U120" s="72"/>
      <c r="V120" s="139"/>
      <c r="W120" s="140"/>
      <c r="X120" s="141"/>
      <c r="Y120" s="141"/>
      <c r="Z120" s="142"/>
      <c r="AA120" s="143"/>
      <c r="AB120" s="139"/>
      <c r="AC120" s="140"/>
      <c r="AD120" s="141"/>
      <c r="AE120" s="141"/>
      <c r="AF120" s="141"/>
      <c r="AG120" s="141"/>
      <c r="AH120" s="141"/>
      <c r="AI120" s="141"/>
      <c r="AJ120" s="144"/>
      <c r="AK120" s="139"/>
      <c r="AL120" s="141"/>
      <c r="AM120" s="141"/>
      <c r="AN120" s="141"/>
      <c r="AO120" s="141"/>
      <c r="AP120" s="141"/>
      <c r="AQ120" s="141"/>
      <c r="AR120" s="141"/>
      <c r="AS120" s="144"/>
      <c r="AT120" s="139"/>
      <c r="AU120" s="144"/>
      <c r="AV120" s="139"/>
      <c r="AW120" s="141"/>
      <c r="AX120" s="141"/>
      <c r="AY120" s="141"/>
      <c r="AZ120" s="144"/>
      <c r="BA120" s="139"/>
      <c r="BB120" s="141"/>
      <c r="BC120" s="141"/>
      <c r="BD120" s="143"/>
      <c r="BE120" s="6">
        <f>I120-SUM(AB120:BD120)</f>
        <v>0</v>
      </c>
    </row>
    <row r="121" spans="1:57" ht="15" customHeight="1">
      <c r="A121" s="136"/>
      <c r="B121" s="40"/>
      <c r="C121" s="146"/>
      <c r="D121" s="147"/>
      <c r="E121" s="147"/>
      <c r="F121" s="147"/>
      <c r="G121" s="147"/>
      <c r="H121" s="147"/>
      <c r="I121" s="148"/>
      <c r="J121" s="149"/>
      <c r="K121" s="150"/>
      <c r="L121" s="151"/>
      <c r="M121" s="152"/>
      <c r="N121" s="153"/>
      <c r="O121" s="146"/>
      <c r="P121" s="154"/>
      <c r="Q121" s="155"/>
      <c r="R121" s="50">
        <f t="shared" si="35"/>
        <v>0</v>
      </c>
      <c r="S121" s="138"/>
      <c r="T121" s="69"/>
      <c r="U121" s="72"/>
      <c r="V121" s="156"/>
      <c r="W121" s="157"/>
      <c r="X121" s="158"/>
      <c r="Y121" s="158"/>
      <c r="Z121" s="159"/>
      <c r="AA121" s="160"/>
      <c r="AB121" s="156"/>
      <c r="AC121" s="157"/>
      <c r="AD121" s="158"/>
      <c r="AE121" s="158"/>
      <c r="AF121" s="158"/>
      <c r="AG121" s="158"/>
      <c r="AH121" s="158"/>
      <c r="AI121" s="158"/>
      <c r="AJ121" s="161"/>
      <c r="AK121" s="156"/>
      <c r="AL121" s="158"/>
      <c r="AM121" s="157"/>
      <c r="AN121" s="158"/>
      <c r="AO121" s="158"/>
      <c r="AP121" s="158"/>
      <c r="AQ121" s="158"/>
      <c r="AR121" s="158"/>
      <c r="AS121" s="161"/>
      <c r="AT121" s="156"/>
      <c r="AU121" s="161"/>
      <c r="AV121" s="156"/>
      <c r="AW121" s="158"/>
      <c r="AX121" s="158"/>
      <c r="AY121" s="158"/>
      <c r="AZ121" s="161"/>
      <c r="BA121" s="156"/>
      <c r="BB121" s="158"/>
      <c r="BC121" s="158"/>
      <c r="BD121" s="160"/>
    </row>
    <row r="122" spans="1:57" s="3" customFormat="1" ht="15" customHeight="1">
      <c r="A122" s="162" t="s">
        <v>119</v>
      </c>
      <c r="B122" s="163"/>
      <c r="C122" s="164">
        <f t="shared" ref="C122:Q122" si="37">SUM(C116:C120)</f>
        <v>0</v>
      </c>
      <c r="D122" s="165">
        <f t="shared" si="37"/>
        <v>0</v>
      </c>
      <c r="E122" s="165">
        <f t="shared" si="37"/>
        <v>0</v>
      </c>
      <c r="F122" s="165">
        <f t="shared" si="37"/>
        <v>0</v>
      </c>
      <c r="G122" s="165">
        <f t="shared" si="37"/>
        <v>0</v>
      </c>
      <c r="H122" s="165">
        <f t="shared" si="37"/>
        <v>0</v>
      </c>
      <c r="I122" s="166">
        <f t="shared" si="37"/>
        <v>0</v>
      </c>
      <c r="J122" s="167">
        <f t="shared" si="37"/>
        <v>0</v>
      </c>
      <c r="K122" s="167">
        <f>SUM(K116:K121)</f>
        <v>0</v>
      </c>
      <c r="L122" s="168">
        <f>SUM(L116:L120)</f>
        <v>0</v>
      </c>
      <c r="M122" s="169">
        <f>SUM(M116:M120)</f>
        <v>0</v>
      </c>
      <c r="N122" s="170">
        <f t="shared" si="37"/>
        <v>0</v>
      </c>
      <c r="O122" s="164"/>
      <c r="P122" s="171">
        <f t="shared" si="37"/>
        <v>0</v>
      </c>
      <c r="Q122" s="172">
        <f t="shared" si="37"/>
        <v>0</v>
      </c>
      <c r="R122" s="173">
        <f t="shared" si="35"/>
        <v>0</v>
      </c>
      <c r="S122" s="174"/>
      <c r="T122" s="171"/>
      <c r="U122" s="175"/>
      <c r="V122" s="176">
        <f>SUM(V116:V120)</f>
        <v>0</v>
      </c>
      <c r="W122" s="177"/>
      <c r="X122" s="178">
        <f>SUM(X116:X120)</f>
        <v>0</v>
      </c>
      <c r="Y122" s="178"/>
      <c r="Z122" s="179">
        <f>SUM(Z116:Z120)</f>
        <v>0</v>
      </c>
      <c r="AA122" s="180">
        <f>SUM(AA116:AA120)</f>
        <v>0</v>
      </c>
      <c r="AB122" s="176">
        <f t="shared" ref="AB122:BD122" si="38">SUM(AB116:AB120)</f>
        <v>0</v>
      </c>
      <c r="AC122" s="177"/>
      <c r="AD122" s="178">
        <f t="shared" si="38"/>
        <v>0</v>
      </c>
      <c r="AE122" s="178">
        <f t="shared" si="38"/>
        <v>0</v>
      </c>
      <c r="AF122" s="178">
        <f t="shared" si="38"/>
        <v>0</v>
      </c>
      <c r="AG122" s="178">
        <f t="shared" si="38"/>
        <v>0</v>
      </c>
      <c r="AH122" s="178">
        <f t="shared" si="38"/>
        <v>0</v>
      </c>
      <c r="AI122" s="178">
        <f t="shared" si="38"/>
        <v>0</v>
      </c>
      <c r="AJ122" s="181">
        <f t="shared" si="38"/>
        <v>0</v>
      </c>
      <c r="AK122" s="176">
        <f t="shared" si="38"/>
        <v>0</v>
      </c>
      <c r="AL122" s="178">
        <f t="shared" si="38"/>
        <v>0</v>
      </c>
      <c r="AM122" s="176">
        <f t="shared" si="38"/>
        <v>0</v>
      </c>
      <c r="AN122" s="178">
        <f t="shared" si="38"/>
        <v>0</v>
      </c>
      <c r="AO122" s="178">
        <f t="shared" si="38"/>
        <v>0</v>
      </c>
      <c r="AP122" s="178">
        <f t="shared" si="38"/>
        <v>0</v>
      </c>
      <c r="AQ122" s="178">
        <f t="shared" si="38"/>
        <v>0</v>
      </c>
      <c r="AR122" s="178">
        <f t="shared" si="38"/>
        <v>0</v>
      </c>
      <c r="AS122" s="181">
        <f t="shared" si="38"/>
        <v>0</v>
      </c>
      <c r="AT122" s="176">
        <f t="shared" si="38"/>
        <v>0</v>
      </c>
      <c r="AU122" s="181">
        <f t="shared" si="38"/>
        <v>0</v>
      </c>
      <c r="AV122" s="176">
        <f t="shared" si="38"/>
        <v>0</v>
      </c>
      <c r="AW122" s="178">
        <f t="shared" si="38"/>
        <v>0</v>
      </c>
      <c r="AX122" s="178">
        <f t="shared" si="38"/>
        <v>0</v>
      </c>
      <c r="AY122" s="178">
        <f t="shared" si="38"/>
        <v>0</v>
      </c>
      <c r="AZ122" s="181">
        <f t="shared" si="38"/>
        <v>0</v>
      </c>
      <c r="BA122" s="176">
        <f t="shared" si="38"/>
        <v>0</v>
      </c>
      <c r="BB122" s="178">
        <f t="shared" si="38"/>
        <v>0</v>
      </c>
      <c r="BC122" s="178">
        <f t="shared" si="38"/>
        <v>0</v>
      </c>
      <c r="BD122" s="180">
        <f t="shared" si="38"/>
        <v>0</v>
      </c>
      <c r="BE122" s="6">
        <f>I122-SUM(AB122:BD122)</f>
        <v>0</v>
      </c>
    </row>
    <row r="123" spans="1:57" s="4" customFormat="1" ht="14.25" customHeight="1">
      <c r="B123" s="5"/>
      <c r="C123" s="182"/>
      <c r="D123" s="182"/>
      <c r="E123" s="182"/>
      <c r="F123" s="182"/>
      <c r="I123" s="183"/>
      <c r="P123" s="2"/>
      <c r="R123" s="183"/>
      <c r="S123" s="183"/>
      <c r="T123" s="2"/>
      <c r="U123" s="2"/>
      <c r="Z123" s="2"/>
      <c r="BE123" s="182"/>
    </row>
    <row r="124" spans="1:57" s="4" customFormat="1" ht="14.25" customHeight="1">
      <c r="B124" s="5"/>
      <c r="C124" s="183"/>
      <c r="D124" s="183"/>
      <c r="E124" s="183"/>
      <c r="F124" s="183"/>
      <c r="G124" s="183"/>
      <c r="H124" s="183"/>
      <c r="I124" s="183"/>
      <c r="J124" s="183"/>
      <c r="K124" s="183"/>
      <c r="L124" s="183"/>
      <c r="M124" s="183"/>
      <c r="N124" s="183"/>
      <c r="O124" s="183"/>
      <c r="P124" s="184"/>
      <c r="Q124" s="183"/>
      <c r="R124" s="183"/>
      <c r="S124" s="183"/>
      <c r="T124" s="184"/>
      <c r="U124" s="184"/>
      <c r="V124" s="183"/>
      <c r="W124" s="183"/>
      <c r="X124" s="183"/>
      <c r="Y124" s="183"/>
      <c r="Z124" s="183"/>
      <c r="AA124" s="183"/>
      <c r="AB124" s="183"/>
      <c r="AC124" s="183"/>
      <c r="AD124" s="183"/>
      <c r="AE124" s="183"/>
      <c r="AF124" s="183"/>
      <c r="AG124" s="183"/>
      <c r="AH124" s="183"/>
      <c r="AI124" s="183"/>
      <c r="AJ124" s="183"/>
      <c r="AK124" s="183"/>
      <c r="AL124" s="183"/>
      <c r="AM124" s="183"/>
      <c r="AN124" s="183"/>
      <c r="AO124" s="183"/>
      <c r="AP124" s="183"/>
      <c r="AQ124" s="183"/>
      <c r="AR124" s="183"/>
      <c r="AS124" s="183"/>
      <c r="AT124" s="183"/>
      <c r="AU124" s="183"/>
      <c r="AV124" s="183"/>
      <c r="AW124" s="183"/>
      <c r="AX124" s="183"/>
      <c r="AY124" s="183"/>
      <c r="AZ124" s="183"/>
      <c r="BA124" s="183"/>
      <c r="BB124" s="183"/>
      <c r="BC124" s="183"/>
      <c r="BD124" s="183"/>
      <c r="BE124" s="182"/>
    </row>
    <row r="125" spans="1:57" ht="31.5" customHeight="1">
      <c r="AB125" s="185"/>
      <c r="AC125" s="185"/>
    </row>
    <row r="126" spans="1:57" ht="21.75" customHeight="1">
      <c r="R126" s="186"/>
      <c r="AB126" s="187"/>
      <c r="AC126" s="187"/>
    </row>
  </sheetData>
  <autoFilter ref="A3:BE126" xr:uid="{00000000-0009-0000-0000-000009000000}"/>
  <mergeCells count="26">
    <mergeCell ref="V2:AA2"/>
    <mergeCell ref="AB2:AJ2"/>
    <mergeCell ref="AK2:AS2"/>
    <mergeCell ref="AT2:AU2"/>
    <mergeCell ref="AV2:AZ2"/>
    <mergeCell ref="BA2:BD2"/>
    <mergeCell ref="A4:B4"/>
    <mergeCell ref="A114:B114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R2:R3"/>
    <mergeCell ref="S2:S3"/>
    <mergeCell ref="T2:T3"/>
    <mergeCell ref="U2:U3"/>
    <mergeCell ref="N2:Q2"/>
  </mergeCells>
  <phoneticPr fontId="46" type="noConversion"/>
  <hyperlinks>
    <hyperlink ref="A1" location="汇总表!A1" display="←返回" xr:uid="{00000000-0004-0000-0900-000000000000}"/>
  </hyperlinks>
  <pageMargins left="0.7" right="0.7" top="0.75" bottom="0.75" header="0.3" footer="0.3"/>
  <pageSetup paperSize="9" orientation="landscape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年度财务收支表</vt:lpstr>
      <vt:lpstr>汇总表</vt:lpstr>
      <vt:lpstr>1.建行Q1</vt:lpstr>
      <vt:lpstr>1.建行Q2</vt:lpstr>
      <vt:lpstr>2、账户</vt:lpstr>
      <vt:lpstr>3、账户</vt:lpstr>
      <vt:lpstr>4、账户</vt:lpstr>
      <vt:lpstr>5、支付宝</vt:lpstr>
      <vt:lpstr>6、现金</vt:lpstr>
      <vt:lpstr>7、备用表</vt:lpstr>
    </vt:vector>
  </TitlesOfParts>
  <Company>Windsys.win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WindsysUser</dc:creator>
  <cp:lastModifiedBy>e60179</cp:lastModifiedBy>
  <dcterms:created xsi:type="dcterms:W3CDTF">2020-01-06T07:06:00Z</dcterms:created>
  <dcterms:modified xsi:type="dcterms:W3CDTF">2026-06-17T04:49:15Z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DE926F50061D42ED96A4F806E743FFE6_13</vt:lpwstr>
  </property>
  <property fmtid="{D5CDD505-2E9C-101B-9397-08002B2CF9AE}" pid="3" name="KSOProductBuildVer">
    <vt:lpwstr>2052-12.1.0.25865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